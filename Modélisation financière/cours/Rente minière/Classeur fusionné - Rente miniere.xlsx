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01_02_Rente_min" sheetId="2" state="visible" r:id="rId2"/>
    <sheet name="02_03_Impots_su" sheetId="3" state="visible" r:id="rId3"/>
    <sheet name="03_04_Charges_d_1" sheetId="4" state="visible" r:id="rId4"/>
    <sheet name="03_04_Charges_d_2" sheetId="5" state="visible" r:id="rId5"/>
    <sheet name="04_05_Charges_f_1" sheetId="6" state="visible" r:id="rId6"/>
    <sheet name="04_05_Charges_f_2" sheetId="7" state="visible" r:id="rId7"/>
    <sheet name="05_05_Charges_f_1" sheetId="8" state="visible" r:id="rId8"/>
    <sheet name="05_05_Charges_f_2" sheetId="9" state="visible" r:id="rId9"/>
    <sheet name="06_06_IS_IMF_1" sheetId="10" state="visible" r:id="rId10"/>
    <sheet name="06_06_IS_IMF_2" sheetId="11" state="visible" r:id="rId11"/>
    <sheet name="07_07_TEMI_1" sheetId="12" state="visible" r:id="rId12"/>
    <sheet name="07_07_TEMI_2" sheetId="13" state="visible" r:id="rId13"/>
    <sheet name="08_08_Taxe_sur__1" sheetId="14" state="visible" r:id="rId14"/>
    <sheet name="08_08_Taxe_sur__2" sheetId="15" state="visible" r:id="rId15"/>
    <sheet name="09_09_Participa_1" sheetId="16" state="visible" r:id="rId16"/>
    <sheet name="09_09_Participa_2" sheetId="17" state="visible" r:id="rId17"/>
    <sheet name="10_10_Illustrat_1" sheetId="18" state="visible" r:id="rId18"/>
    <sheet name="10_10_Illustrat_2" sheetId="19" state="visible" r:id="rId19"/>
    <sheet name="10_10_Illustrat_3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family val="2"/>
      <b val="1"/>
      <color theme="0"/>
      <sz val="9"/>
    </font>
    <font>
      <name val="Arial"/>
      <family val="2"/>
      <b val="1"/>
      <color rgb="FF104258"/>
      <sz val="9"/>
    </font>
    <font>
      <name val="Arial"/>
      <family val="2"/>
      <color theme="0"/>
      <sz val="9"/>
    </font>
    <font>
      <name val="Arial"/>
      <family val="2"/>
      <color rgb="FF104258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Times New Roman"/>
      <family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104258"/>
        <bgColor indexed="64"/>
      </patternFill>
    </fill>
    <fill>
      <patternFill patternType="solid">
        <fgColor rgb="FFCFDCE8"/>
        <bgColor indexed="64"/>
      </patternFill>
    </fill>
    <fill>
      <patternFill patternType="solid">
        <fgColor rgb="FF026E8F"/>
        <bgColor indexed="64"/>
      </patternFill>
    </fill>
    <fill>
      <patternFill patternType="solid">
        <fgColor rgb="FFE75D5C"/>
        <bgColor indexed="64"/>
      </patternFill>
    </fill>
    <fill>
      <patternFill patternType="solid">
        <fgColor rgb="FFD53738"/>
        <bgColor indexed="64"/>
      </patternFill>
    </fill>
    <fill>
      <patternFill patternType="solid">
        <fgColor rgb="FFE3A728"/>
        <bgColor indexed="64"/>
      </patternFill>
    </fill>
    <fill>
      <patternFill patternType="solid">
        <fgColor rgb="FFA63535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center" vertical="top"/>
    </xf>
    <xf numFmtId="3" fontId="3" fillId="0" borderId="0" applyAlignment="1" pivotButton="0" quotePrefix="0" xfId="0">
      <alignment horizontal="right" vertical="top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vertical="top"/>
    </xf>
    <xf numFmtId="0" fontId="4" fillId="3" borderId="0" applyAlignment="1" pivotButton="0" quotePrefix="0" xfId="0">
      <alignment vertical="top"/>
    </xf>
    <xf numFmtId="3" fontId="3" fillId="4" borderId="0" applyAlignment="1" pivotButton="0" quotePrefix="0" xfId="0">
      <alignment horizontal="right" vertical="top"/>
    </xf>
    <xf numFmtId="3" fontId="3" fillId="5" borderId="0" applyAlignment="1" pivotButton="0" quotePrefix="0" xfId="0">
      <alignment horizontal="right" vertical="top"/>
    </xf>
    <xf numFmtId="3" fontId="3" fillId="6" borderId="0" applyAlignment="1" pivotButton="0" quotePrefix="0" xfId="0">
      <alignment horizontal="right" vertical="top"/>
    </xf>
    <xf numFmtId="0" fontId="4" fillId="3" borderId="0" applyAlignment="1" pivotButton="0" quotePrefix="0" xfId="0">
      <alignment horizontal="right" vertical="top"/>
    </xf>
    <xf numFmtId="0" fontId="3" fillId="5" borderId="0" applyAlignment="1" pivotButton="0" quotePrefix="0" xfId="0">
      <alignment horizontal="right" vertical="top"/>
    </xf>
    <xf numFmtId="0" fontId="5" fillId="3" borderId="0" applyAlignment="1" pivotButton="0" quotePrefix="0" xfId="0">
      <alignment horizontal="right" vertical="top"/>
    </xf>
    <xf numFmtId="9" fontId="3" fillId="6" borderId="0" applyAlignment="1" pivotButton="0" quotePrefix="0" xfId="0">
      <alignment horizontal="right" vertical="top"/>
    </xf>
    <xf numFmtId="0" fontId="3" fillId="6" borderId="0" applyAlignment="1" pivotButton="0" quotePrefix="0" xfId="0">
      <alignment horizontal="right" vertical="top"/>
    </xf>
    <xf numFmtId="9" fontId="3" fillId="0" borderId="0" applyAlignment="1" pivotButton="0" quotePrefix="0" xfId="0">
      <alignment horizontal="right" vertical="top"/>
    </xf>
    <xf numFmtId="0" fontId="3" fillId="0" borderId="0" applyAlignment="1" pivotButton="0" quotePrefix="0" xfId="0">
      <alignment horizontal="right" vertical="top"/>
    </xf>
    <xf numFmtId="0" fontId="6" fillId="3" borderId="0" applyAlignment="1" pivotButton="0" quotePrefix="0" xfId="0">
      <alignment horizontal="center" vertical="top"/>
    </xf>
    <xf numFmtId="3" fontId="3" fillId="7" borderId="0" applyAlignment="1" pivotButton="0" quotePrefix="0" xfId="0">
      <alignment horizontal="right" vertical="top"/>
    </xf>
    <xf numFmtId="0" fontId="3" fillId="3" borderId="0" applyAlignment="1" pivotButton="0" quotePrefix="0" xfId="0">
      <alignment horizontal="right" vertical="top"/>
    </xf>
    <xf numFmtId="9" fontId="3" fillId="7" borderId="0" applyAlignment="1" pivotButton="0" quotePrefix="0" xfId="0">
      <alignment horizontal="right" vertical="top"/>
    </xf>
    <xf numFmtId="0" fontId="4" fillId="0" borderId="0" applyAlignment="1" pivotButton="0" quotePrefix="0" xfId="0">
      <alignment horizontal="left" vertical="top"/>
    </xf>
    <xf numFmtId="3" fontId="3" fillId="2" borderId="0" applyAlignment="1" pivotButton="0" quotePrefix="0" xfId="0">
      <alignment horizontal="right" vertical="top"/>
    </xf>
    <xf numFmtId="0" fontId="4" fillId="3" borderId="0" applyAlignment="1" pivotButton="0" quotePrefix="0" xfId="0">
      <alignment horizontal="left" vertical="top"/>
    </xf>
    <xf numFmtId="0" fontId="5" fillId="3" borderId="0" applyAlignment="1" pivotButton="0" quotePrefix="0" xfId="0">
      <alignment horizontal="left" vertical="top"/>
    </xf>
    <xf numFmtId="3" fontId="5" fillId="0" borderId="0" applyAlignment="1" pivotButton="0" quotePrefix="0" xfId="0">
      <alignment horizontal="right" vertical="top"/>
    </xf>
    <xf numFmtId="9" fontId="4" fillId="3" borderId="0" applyAlignment="1" pivotButton="0" quotePrefix="0" xfId="0">
      <alignment horizontal="right" vertical="top"/>
    </xf>
    <xf numFmtId="3" fontId="4" fillId="3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right" vertical="top"/>
    </xf>
    <xf numFmtId="3" fontId="3" fillId="8" borderId="0" applyAlignment="1" pivotButton="0" quotePrefix="0" xfId="0">
      <alignment horizontal="right" vertical="top"/>
    </xf>
    <xf numFmtId="164" fontId="3" fillId="8" borderId="0" applyAlignment="1" pivotButton="0" quotePrefix="0" xfId="0">
      <alignment horizontal="right" vertical="top"/>
    </xf>
    <xf numFmtId="9" fontId="3" fillId="5" borderId="0" applyAlignment="1" pivotButton="0" quotePrefix="0" xfId="0">
      <alignment horizontal="right" vertical="top"/>
    </xf>
    <xf numFmtId="3" fontId="7" fillId="0" borderId="0" applyAlignment="1" pivotButton="0" quotePrefix="0" xfId="0">
      <alignment horizontal="left" vertical="top"/>
    </xf>
    <xf numFmtId="9" fontId="3" fillId="4" borderId="0" applyAlignment="1" pivotButton="0" quotePrefix="0" xfId="0">
      <alignment horizontal="right" vertical="top"/>
    </xf>
    <xf numFmtId="0" fontId="6" fillId="0" borderId="0" applyAlignment="1" pivotButton="0" quotePrefix="0" xfId="0">
      <alignment horizontal="left" vertical="top"/>
    </xf>
    <xf numFmtId="0" fontId="6" fillId="9" borderId="0" applyAlignment="1" pivotButton="0" quotePrefix="0" xfId="0">
      <alignment horizontal="left" vertical="top"/>
    </xf>
    <xf numFmtId="0" fontId="5" fillId="10" borderId="0" applyAlignment="1" pivotButton="0" quotePrefix="0" xfId="0">
      <alignment horizontal="left" vertical="top"/>
    </xf>
    <xf numFmtId="164" fontId="5" fillId="11" borderId="0" applyAlignment="1" pivotButton="0" quotePrefix="0" xfId="0">
      <alignment horizontal="right" vertical="top"/>
    </xf>
    <xf numFmtId="3" fontId="5" fillId="11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Feuille</t>
        </is>
      </c>
      <c r="B1" t="inlineStr">
        <is>
          <t>Fichier source</t>
        </is>
      </c>
      <c r="C1" t="inlineStr">
        <is>
          <t>Feuille d'origine</t>
        </is>
      </c>
    </row>
    <row r="2">
      <c r="A2" t="inlineStr">
        <is>
          <t>01_02_Rente_min</t>
        </is>
      </c>
      <c r="B2" t="inlineStr">
        <is>
          <t>02-Rente-miniere.xlsx</t>
        </is>
      </c>
      <c r="C2" t="inlineStr">
        <is>
          <t>Modèle</t>
        </is>
      </c>
    </row>
    <row r="3">
      <c r="A3" t="inlineStr">
        <is>
          <t>02_03_Impots_su</t>
        </is>
      </c>
      <c r="B3" t="inlineStr">
        <is>
          <t>03-Impots-sur-la-production.xlsx</t>
        </is>
      </c>
      <c r="C3" t="inlineStr">
        <is>
          <t>Modèle</t>
        </is>
      </c>
    </row>
    <row r="4">
      <c r="A4" t="inlineStr">
        <is>
          <t>03_04_Charges_d_1</t>
        </is>
      </c>
      <c r="B4" t="inlineStr">
        <is>
          <t>04-Charges-d-amortissement.xlsx</t>
        </is>
      </c>
      <c r="C4" t="inlineStr">
        <is>
          <t>Modèle</t>
        </is>
      </c>
    </row>
    <row r="5">
      <c r="A5" t="inlineStr">
        <is>
          <t>03_04_Charges_d_2</t>
        </is>
      </c>
      <c r="B5" t="inlineStr">
        <is>
          <t>04-Charges-d-amortissement.xlsx</t>
        </is>
      </c>
      <c r="C5" t="inlineStr">
        <is>
          <t>Amortissements</t>
        </is>
      </c>
    </row>
    <row r="6">
      <c r="A6" t="inlineStr">
        <is>
          <t>04_05_Charges_f_1</t>
        </is>
      </c>
      <c r="B6" t="inlineStr">
        <is>
          <t>05-Charges-financieres (1).xlsx</t>
        </is>
      </c>
      <c r="C6" t="inlineStr">
        <is>
          <t>Modèle</t>
        </is>
      </c>
    </row>
    <row r="7">
      <c r="A7" t="inlineStr">
        <is>
          <t>04_05_Charges_f_2</t>
        </is>
      </c>
      <c r="B7" t="inlineStr">
        <is>
          <t>05-Charges-financieres (1).xlsx</t>
        </is>
      </c>
      <c r="C7" t="inlineStr">
        <is>
          <t>Amortissements et Emprunt</t>
        </is>
      </c>
    </row>
    <row r="8">
      <c r="A8" t="inlineStr">
        <is>
          <t>05_05_Charges_f_1</t>
        </is>
      </c>
      <c r="B8" t="inlineStr">
        <is>
          <t>05-Charges-financieres.xlsx</t>
        </is>
      </c>
      <c r="C8" t="inlineStr">
        <is>
          <t>Modèle</t>
        </is>
      </c>
    </row>
    <row r="9">
      <c r="A9" t="inlineStr">
        <is>
          <t>05_05_Charges_f_2</t>
        </is>
      </c>
      <c r="B9" t="inlineStr">
        <is>
          <t>05-Charges-financieres.xlsx</t>
        </is>
      </c>
      <c r="C9" t="inlineStr">
        <is>
          <t>Amortissements et Emprunt</t>
        </is>
      </c>
    </row>
    <row r="10">
      <c r="A10" t="inlineStr">
        <is>
          <t>06_06_IS_IMF_1</t>
        </is>
      </c>
      <c r="B10" t="inlineStr">
        <is>
          <t>06-IS-IMF.xlsx</t>
        </is>
      </c>
      <c r="C10" t="inlineStr">
        <is>
          <t>Modèle</t>
        </is>
      </c>
    </row>
    <row r="11">
      <c r="A11" t="inlineStr">
        <is>
          <t>06_06_IS_IMF_2</t>
        </is>
      </c>
      <c r="B11" t="inlineStr">
        <is>
          <t>06-IS-IMF.xlsx</t>
        </is>
      </c>
      <c r="C11" t="inlineStr">
        <is>
          <t>Amortissements et Emprunt</t>
        </is>
      </c>
    </row>
    <row r="12">
      <c r="A12" t="inlineStr">
        <is>
          <t>07_07_TEMI_1</t>
        </is>
      </c>
      <c r="B12" t="inlineStr">
        <is>
          <t>07-TEMI.xlsx</t>
        </is>
      </c>
      <c r="C12" t="inlineStr">
        <is>
          <t>Modèle</t>
        </is>
      </c>
    </row>
    <row r="13">
      <c r="A13" t="inlineStr">
        <is>
          <t>07_07_TEMI_2</t>
        </is>
      </c>
      <c r="B13" t="inlineStr">
        <is>
          <t>07-TEMI.xlsx</t>
        </is>
      </c>
      <c r="C13" t="inlineStr">
        <is>
          <t>Amortissements et Emprunt</t>
        </is>
      </c>
    </row>
    <row r="14">
      <c r="A14" t="inlineStr">
        <is>
          <t>08_08_Taxe_sur__1</t>
        </is>
      </c>
      <c r="B14" t="inlineStr">
        <is>
          <t>08-Taxe-sur-la-rente.xlsx</t>
        </is>
      </c>
      <c r="C14" t="inlineStr">
        <is>
          <t>Modèle</t>
        </is>
      </c>
    </row>
    <row r="15">
      <c r="A15" t="inlineStr">
        <is>
          <t>08_08_Taxe_sur__2</t>
        </is>
      </c>
      <c r="B15" t="inlineStr">
        <is>
          <t>08-Taxe-sur-la-rente.xlsx</t>
        </is>
      </c>
      <c r="C15" t="inlineStr">
        <is>
          <t>Amortissements et Emprunt</t>
        </is>
      </c>
    </row>
    <row r="16">
      <c r="A16" t="inlineStr">
        <is>
          <t>09_09_Participa_1</t>
        </is>
      </c>
      <c r="B16" t="inlineStr">
        <is>
          <t>09-Participation-de-l-Etat-IRVM.xlsx</t>
        </is>
      </c>
      <c r="C16" t="inlineStr">
        <is>
          <t>Modèle</t>
        </is>
      </c>
    </row>
    <row r="17">
      <c r="A17" t="inlineStr">
        <is>
          <t>09_09_Participa_2</t>
        </is>
      </c>
      <c r="B17" t="inlineStr">
        <is>
          <t>09-Participation-de-l-Etat-IRVM.xlsx</t>
        </is>
      </c>
      <c r="C17" t="inlineStr">
        <is>
          <t>Amortissements et Emprunt</t>
        </is>
      </c>
    </row>
    <row r="18">
      <c r="A18" t="inlineStr">
        <is>
          <t>10_10_Illustrat_1</t>
        </is>
      </c>
      <c r="B18" t="inlineStr">
        <is>
          <t>10-Illustrations-graphiques.xlsx</t>
        </is>
      </c>
      <c r="C18" t="inlineStr">
        <is>
          <t>Modèle</t>
        </is>
      </c>
    </row>
    <row r="19">
      <c r="A19" t="inlineStr">
        <is>
          <t>10_10_Illustrat_2</t>
        </is>
      </c>
      <c r="B19" t="inlineStr">
        <is>
          <t>10-Illustrations-graphiques.xlsx</t>
        </is>
      </c>
      <c r="C19" t="inlineStr">
        <is>
          <t>Amortissements et Emprunt</t>
        </is>
      </c>
    </row>
    <row r="20">
      <c r="A20" t="inlineStr">
        <is>
          <t>10_10_Illustrat_3</t>
        </is>
      </c>
      <c r="B20" t="inlineStr">
        <is>
          <t>10-Illustrations-graphiques.xlsx</t>
        </is>
      </c>
      <c r="C20" t="inlineStr">
        <is>
          <t>Graphiques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40.77734375" customWidth="1" min="1" max="1"/>
    <col width="10.77734375" customWidth="1" min="2" max="2"/>
    <col width="15.77734375" customWidth="1" min="3" max="3"/>
    <col width="10.77734375" customWidth="1" min="16" max="16"/>
  </cols>
  <sheetData>
    <row r="1">
      <c r="A1" s="1" t="inlineStr">
        <is>
          <t>Nom</t>
        </is>
      </c>
      <c r="B1" s="1" t="inlineStr">
        <is>
          <t>Unité</t>
        </is>
      </c>
      <c r="C1" s="1" t="inlineStr">
        <is>
          <t>Année 1</t>
        </is>
      </c>
      <c r="D1" s="1" t="inlineStr">
        <is>
          <t>Année 2</t>
        </is>
      </c>
      <c r="E1" s="1" t="inlineStr">
        <is>
          <t>Année 3</t>
        </is>
      </c>
      <c r="F1" s="1" t="inlineStr">
        <is>
          <t>Année 4</t>
        </is>
      </c>
      <c r="G1" s="1" t="inlineStr">
        <is>
          <t>Année 5</t>
        </is>
      </c>
      <c r="H1" s="1" t="inlineStr">
        <is>
          <t>Année 6</t>
        </is>
      </c>
      <c r="I1" s="1" t="inlineStr">
        <is>
          <t>Année 7</t>
        </is>
      </c>
      <c r="J1" s="1" t="inlineStr">
        <is>
          <t>Année 8</t>
        </is>
      </c>
      <c r="K1" s="1" t="inlineStr">
        <is>
          <t>Année 9</t>
        </is>
      </c>
      <c r="L1" s="1" t="inlineStr">
        <is>
          <t>Année 10</t>
        </is>
      </c>
      <c r="M1" s="1" t="inlineStr">
        <is>
          <t>Année 11</t>
        </is>
      </c>
      <c r="N1" s="1" t="inlineStr">
        <is>
          <t>SOMME</t>
        </is>
      </c>
      <c r="O1" s="1" t="inlineStr">
        <is>
          <t>VAN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5" t="inlineStr">
        <is>
          <t>I. PRODUCTION</t>
        </is>
      </c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</row>
    <row r="4">
      <c r="A4" s="2" t="inlineStr">
        <is>
          <t>Production d'or</t>
        </is>
      </c>
      <c r="B4" s="3" t="inlineStr">
        <is>
          <t>oz</t>
        </is>
      </c>
      <c r="C4" s="8" t="n"/>
      <c r="D4" s="8" t="n"/>
      <c r="E4" s="8" t="n">
        <v>250000</v>
      </c>
      <c r="F4" s="8" t="n">
        <v>250000</v>
      </c>
      <c r="G4" s="8" t="n">
        <v>250000</v>
      </c>
      <c r="H4" s="8" t="n">
        <v>250000</v>
      </c>
      <c r="I4" s="8" t="n">
        <v>250000</v>
      </c>
      <c r="J4" s="8" t="n">
        <v>250000</v>
      </c>
      <c r="K4" s="8" t="n">
        <v>250000</v>
      </c>
      <c r="L4" s="8" t="n">
        <v>250000</v>
      </c>
      <c r="M4" s="8" t="n"/>
      <c r="N4" s="9">
        <f>SUM($C4:$M4)</f>
        <v/>
      </c>
      <c r="O4" s="9" t="n"/>
    </row>
    <row r="5">
      <c r="A5" s="2" t="inlineStr">
        <is>
          <t>Cours de l'or</t>
        </is>
      </c>
      <c r="B5" s="3" t="inlineStr">
        <is>
          <t>USD/oz</t>
        </is>
      </c>
      <c r="C5" s="8" t="n"/>
      <c r="D5" s="8" t="n"/>
      <c r="E5" s="8" t="n">
        <v>1300</v>
      </c>
      <c r="F5" s="8" t="n">
        <v>1300</v>
      </c>
      <c r="G5" s="8" t="n">
        <v>1300</v>
      </c>
      <c r="H5" s="8" t="n">
        <v>1300</v>
      </c>
      <c r="I5" s="8" t="n">
        <v>1300</v>
      </c>
      <c r="J5" s="8" t="n">
        <v>1300</v>
      </c>
      <c r="K5" s="8" t="n">
        <v>1300</v>
      </c>
      <c r="L5" s="8" t="n">
        <v>1300</v>
      </c>
      <c r="M5" s="8" t="n"/>
      <c r="N5" s="9" t="n"/>
      <c r="O5" s="9" t="n"/>
    </row>
    <row r="6">
      <c r="A6" s="2" t="inlineStr">
        <is>
          <t>Chiffre d'affaires</t>
        </is>
      </c>
      <c r="B6" s="3" t="inlineStr">
        <is>
          <t>USD</t>
        </is>
      </c>
      <c r="C6" s="10">
        <f>C$4*C$5</f>
        <v/>
      </c>
      <c r="D6" s="10">
        <f>D$4*D$5</f>
        <v/>
      </c>
      <c r="E6" s="10">
        <f>E$4*E$5</f>
        <v/>
      </c>
      <c r="F6" s="10">
        <f>F$4*F$5</f>
        <v/>
      </c>
      <c r="G6" s="10">
        <f>G$4*G$5</f>
        <v/>
      </c>
      <c r="H6" s="10">
        <f>H$4*H$5</f>
        <v/>
      </c>
      <c r="I6" s="10">
        <f>I$4*I$5</f>
        <v/>
      </c>
      <c r="J6" s="10">
        <f>J$4*J$5</f>
        <v/>
      </c>
      <c r="K6" s="10">
        <f>K$4*K$5</f>
        <v/>
      </c>
      <c r="L6" s="10">
        <f>L$4*L$5</f>
        <v/>
      </c>
      <c r="M6" s="10">
        <f>M$4*M$5</f>
        <v/>
      </c>
      <c r="N6" s="10">
        <f>SUM($C6:$M6)</f>
        <v/>
      </c>
      <c r="O6" s="10">
        <f>$C6+NPV(10%,$D6:$M6)</f>
        <v/>
      </c>
    </row>
    <row r="7">
      <c r="A7" s="2" t="n"/>
      <c r="B7" s="3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5" t="inlineStr">
        <is>
          <t>II. DEPENSES D'INVESTISSEMENT (CAPEX)</t>
        </is>
      </c>
      <c r="B8" s="6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</row>
    <row r="9">
      <c r="A9" s="2" t="inlineStr">
        <is>
          <t>Coûts des construction industrielles</t>
        </is>
      </c>
      <c r="B9" s="3" t="inlineStr">
        <is>
          <t>USD</t>
        </is>
      </c>
      <c r="C9" s="8" t="n">
        <v>50000000</v>
      </c>
      <c r="D9" s="8" t="n">
        <v>100000000</v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9">
        <f>SUM($C9:$M9)</f>
        <v/>
      </c>
      <c r="O9" s="9">
        <f>$C9+NPV(10%,$D9:$M9)</f>
        <v/>
      </c>
    </row>
    <row r="10">
      <c r="A10" s="2" t="inlineStr">
        <is>
          <t>Coûts des biens d'équipement</t>
        </is>
      </c>
      <c r="B10" s="3" t="inlineStr">
        <is>
          <t>USD</t>
        </is>
      </c>
      <c r="C10" s="8" t="n"/>
      <c r="D10" s="8" t="n">
        <v>50000000</v>
      </c>
      <c r="E10" s="8" t="n">
        <v>5000000</v>
      </c>
      <c r="F10" s="8" t="n">
        <v>5000000</v>
      </c>
      <c r="G10" s="8" t="n">
        <v>5000000</v>
      </c>
      <c r="H10" s="8" t="n">
        <v>5000000</v>
      </c>
      <c r="I10" s="8" t="n">
        <v>5000000</v>
      </c>
      <c r="J10" s="8" t="n">
        <v>5000000</v>
      </c>
      <c r="K10" s="8" t="n">
        <v>5000000</v>
      </c>
      <c r="L10" s="8" t="n">
        <v>5000000</v>
      </c>
      <c r="M10" s="8" t="n"/>
      <c r="N10" s="9">
        <f>SUM($C10:$M10)</f>
        <v/>
      </c>
      <c r="O10" s="9">
        <f>$C10+NPV(10%,$D10:$M10)</f>
        <v/>
      </c>
    </row>
    <row r="11">
      <c r="A11" s="2" t="inlineStr">
        <is>
          <t>Coûts de réhabilitation du site</t>
        </is>
      </c>
      <c r="B11" s="3" t="inlineStr">
        <is>
          <t>USD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>
        <v>10000000</v>
      </c>
      <c r="N11" s="9">
        <f>SUM($C11:$M11)</f>
        <v/>
      </c>
      <c r="O11" s="9">
        <f>$C11+NPV(10%,$D11:$M11)</f>
        <v/>
      </c>
    </row>
    <row r="12">
      <c r="A12" s="2" t="inlineStr">
        <is>
          <t>Total des dépenses d'investissement</t>
        </is>
      </c>
      <c r="B12" s="3" t="inlineStr">
        <is>
          <t>USD</t>
        </is>
      </c>
      <c r="C12" s="10">
        <f>SUM(C$9:C$11)</f>
        <v/>
      </c>
      <c r="D12" s="10">
        <f>SUM(D$9:D$11)</f>
        <v/>
      </c>
      <c r="E12" s="10">
        <f>SUM(E$9:E$11)</f>
        <v/>
      </c>
      <c r="F12" s="10">
        <f>SUM(F$9:F$11)</f>
        <v/>
      </c>
      <c r="G12" s="10">
        <f>SUM(G$9:G$11)</f>
        <v/>
      </c>
      <c r="H12" s="10">
        <f>SUM(H$9:H$11)</f>
        <v/>
      </c>
      <c r="I12" s="10">
        <f>SUM(I$9:I$11)</f>
        <v/>
      </c>
      <c r="J12" s="10">
        <f>SUM(J$9:J$11)</f>
        <v/>
      </c>
      <c r="K12" s="10">
        <f>SUM(K$9:K$11)</f>
        <v/>
      </c>
      <c r="L12" s="10">
        <f>SUM(L$9:L$11)</f>
        <v/>
      </c>
      <c r="M12" s="10">
        <f>SUM(M$9:M$11)</f>
        <v/>
      </c>
      <c r="N12" s="10">
        <f>SUM($C12:$M12)</f>
        <v/>
      </c>
      <c r="O12" s="10">
        <f>$C12+NPV(10%,$D12:$M12)</f>
        <v/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5" t="inlineStr">
        <is>
          <t>III. COÛTS D'EXPLOITATION (OPEX)</t>
        </is>
      </c>
      <c r="B14" s="6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</row>
    <row r="15">
      <c r="A15" s="2" t="inlineStr">
        <is>
          <t>Coût moyen d'exploitation</t>
        </is>
      </c>
      <c r="B15" s="3" t="inlineStr">
        <is>
          <t>USD/oz</t>
        </is>
      </c>
      <c r="C15" s="8" t="n"/>
      <c r="D15" s="8" t="n"/>
      <c r="E15" s="8" t="n">
        <v>700</v>
      </c>
      <c r="F15" s="8" t="n">
        <v>700</v>
      </c>
      <c r="G15" s="8" t="n">
        <v>700</v>
      </c>
      <c r="H15" s="8" t="n">
        <v>700</v>
      </c>
      <c r="I15" s="8" t="n">
        <v>700</v>
      </c>
      <c r="J15" s="8" t="n">
        <v>700</v>
      </c>
      <c r="K15" s="8" t="n">
        <v>700</v>
      </c>
      <c r="L15" s="8" t="n">
        <v>700</v>
      </c>
      <c r="M15" s="8" t="n"/>
      <c r="N15" s="12" t="n"/>
      <c r="O15" s="12" t="n"/>
    </row>
    <row r="16">
      <c r="A16" s="2" t="inlineStr">
        <is>
          <t>Total des coûts d'exploitation</t>
        </is>
      </c>
      <c r="B16" s="3" t="inlineStr">
        <is>
          <t>USD</t>
        </is>
      </c>
      <c r="C16" s="10">
        <f>C$4*C$15</f>
        <v/>
      </c>
      <c r="D16" s="10">
        <f>D$4*D$15</f>
        <v/>
      </c>
      <c r="E16" s="10">
        <f>E$4*E$15</f>
        <v/>
      </c>
      <c r="F16" s="10">
        <f>F$4*F$15</f>
        <v/>
      </c>
      <c r="G16" s="10">
        <f>G$4*G$15</f>
        <v/>
      </c>
      <c r="H16" s="10">
        <f>H$4*H$15</f>
        <v/>
      </c>
      <c r="I16" s="10">
        <f>I$4*I$15</f>
        <v/>
      </c>
      <c r="J16" s="10">
        <f>J$4*J$15</f>
        <v/>
      </c>
      <c r="K16" s="10">
        <f>K$4*K$15</f>
        <v/>
      </c>
      <c r="L16" s="10">
        <f>L$4*L$15</f>
        <v/>
      </c>
      <c r="M16" s="10">
        <f>M$4*M$15</f>
        <v/>
      </c>
      <c r="N16" s="10">
        <f>SUM($C16:$M16)</f>
        <v/>
      </c>
      <c r="O16" s="10">
        <f>$C16+NPV(10%,$D16:$M16)</f>
        <v/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5" t="inlineStr">
        <is>
          <t>IV. FLUX NETS DE TRESORERIE AVANT IMPÔTS</t>
        </is>
      </c>
      <c r="B18" s="6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</row>
    <row r="19">
      <c r="A19" s="2" t="inlineStr">
        <is>
          <t>Flux nets de trésorerie avant impôts</t>
        </is>
      </c>
      <c r="B19" s="3" t="inlineStr">
        <is>
          <t>USD</t>
        </is>
      </c>
      <c r="C19" s="10">
        <f>C$6-C$12-C$16</f>
        <v/>
      </c>
      <c r="D19" s="10">
        <f>D$6-D$12-D$16</f>
        <v/>
      </c>
      <c r="E19" s="10">
        <f>E$6-E$12-E$16</f>
        <v/>
      </c>
      <c r="F19" s="10">
        <f>F$6-F$12-F$16</f>
        <v/>
      </c>
      <c r="G19" s="10">
        <f>G$6-G$12-G$16</f>
        <v/>
      </c>
      <c r="H19" s="10">
        <f>H$6-H$12-H$16</f>
        <v/>
      </c>
      <c r="I19" s="10">
        <f>I$6-I$12-I$16</f>
        <v/>
      </c>
      <c r="J19" s="10">
        <f>J$6-J$12-J$16</f>
        <v/>
      </c>
      <c r="K19" s="10">
        <f>K$6-K$12-K$16</f>
        <v/>
      </c>
      <c r="L19" s="10">
        <f>L$6-L$12-L$16</f>
        <v/>
      </c>
      <c r="M19" s="10">
        <f>M$6-M$12-M$16</f>
        <v/>
      </c>
      <c r="N19" s="10">
        <f>SUM($C19:$M19)</f>
        <v/>
      </c>
      <c r="O19" s="10">
        <f>$C19+NPV(10%,$D19:$M19)</f>
        <v/>
      </c>
    </row>
    <row r="20">
      <c r="A20" s="2" t="inlineStr">
        <is>
          <t>Taux de rendement interne avant impôts</t>
        </is>
      </c>
      <c r="B20" s="3" t="inlineStr">
        <is>
          <t>%</t>
        </is>
      </c>
      <c r="C20" s="14">
        <f>IF(ISNUMBER(IRR($C19:C19)),IF(IRR($C19:C19)&gt;0,IRR($C19:C19),""),"")</f>
        <v/>
      </c>
      <c r="D20" s="14">
        <f>IF(ISNUMBER(IRR($C19:D19)),IF(IRR($C19:D19)&gt;0,IRR($C19:D19),""),"")</f>
        <v/>
      </c>
      <c r="E20" s="14">
        <f>IF(ISNUMBER(IRR($C19:E19)),IF(IRR($C19:E19)&gt;0,IRR($C19:E19),""),"")</f>
        <v/>
      </c>
      <c r="F20" s="14">
        <f>IF(ISNUMBER(IRR($C19:F19)),IF(IRR($C19:F19)&gt;0,IRR($C19:F19),""),"")</f>
        <v/>
      </c>
      <c r="G20" s="14">
        <f>IF(ISNUMBER(IRR($C19:G19)),IF(IRR($C19:G19)&gt;0,IRR($C19:G19),""),"")</f>
        <v/>
      </c>
      <c r="H20" s="14">
        <f>IF(ISNUMBER(IRR($C19:H19)),IF(IRR($C19:H19)&gt;0,IRR($C19:H19),""),"")</f>
        <v/>
      </c>
      <c r="I20" s="14">
        <f>IF(ISNUMBER(IRR($C19:I19)),IF(IRR($C19:I19)&gt;0,IRR($C19:I19),""),"")</f>
        <v/>
      </c>
      <c r="J20" s="14">
        <f>IF(ISNUMBER(IRR($C19:J19)),IF(IRR($C19:J19)&gt;0,IRR($C19:J19),""),"")</f>
        <v/>
      </c>
      <c r="K20" s="14">
        <f>IF(ISNUMBER(IRR($C19:K19)),IF(IRR($C19:K19)&gt;0,IRR($C19:K19),""),"")</f>
        <v/>
      </c>
      <c r="L20" s="14">
        <f>IF(ISNUMBER(IRR($C19:L19)),IF(IRR($C19:L19)&gt;0,IRR($C19:L19),""),"")</f>
        <v/>
      </c>
      <c r="M20" s="14">
        <f>IF(ISNUMBER(IRR($C19:M19)),IF(IRR($C19:M19)&gt;0,IRR($C19:M19),""),"")</f>
        <v/>
      </c>
      <c r="N20" s="15" t="n"/>
      <c r="O20" s="15" t="n"/>
    </row>
    <row r="21"/>
    <row r="22"/>
    <row r="23">
      <c r="A23" s="5" t="inlineStr">
        <is>
          <t>V. IMPOT SUR LA PRODUCTION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2" t="inlineStr">
        <is>
          <t>Droit fixes</t>
        </is>
      </c>
      <c r="B24" s="3" t="inlineStr">
        <is>
          <t>USD</t>
        </is>
      </c>
      <c r="C24" s="8" t="n">
        <v>100000</v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12" t="n"/>
      <c r="O24" s="12" t="n"/>
    </row>
    <row r="25">
      <c r="A25" s="2" t="inlineStr">
        <is>
          <t>Redevance superficiaire</t>
        </is>
      </c>
      <c r="B25" s="3" t="inlineStr">
        <is>
          <t>USD</t>
        </is>
      </c>
      <c r="C25" s="8">
        <f>100*100</f>
        <v/>
      </c>
      <c r="D25" s="8">
        <f>100*100</f>
        <v/>
      </c>
      <c r="E25" s="8">
        <f>100*100</f>
        <v/>
      </c>
      <c r="F25" s="8">
        <f>100*100</f>
        <v/>
      </c>
      <c r="G25" s="8">
        <f>100*100</f>
        <v/>
      </c>
      <c r="H25" s="8">
        <f>100*100</f>
        <v/>
      </c>
      <c r="I25" s="8">
        <f>100*100</f>
        <v/>
      </c>
      <c r="J25" s="8">
        <f>100*100</f>
        <v/>
      </c>
      <c r="K25" s="8">
        <f>100*100</f>
        <v/>
      </c>
      <c r="L25" s="8">
        <f>100*100</f>
        <v/>
      </c>
      <c r="M25" s="8">
        <f>100*100</f>
        <v/>
      </c>
      <c r="N25" s="12" t="n"/>
      <c r="O25" s="12" t="n"/>
    </row>
    <row r="26">
      <c r="A26" s="2" t="inlineStr">
        <is>
          <t>Redevance minière</t>
        </is>
      </c>
      <c r="B26" s="3" t="inlineStr">
        <is>
          <t>USD</t>
        </is>
      </c>
      <c r="C26" s="8" t="n"/>
      <c r="D26" s="8" t="n"/>
      <c r="E26" s="8">
        <f>E6*0.04</f>
        <v/>
      </c>
      <c r="F26" s="8">
        <f>F6*0.04</f>
        <v/>
      </c>
      <c r="G26" s="8">
        <f>G6*0.04</f>
        <v/>
      </c>
      <c r="H26" s="8">
        <f>H6*0.04</f>
        <v/>
      </c>
      <c r="I26" s="8">
        <f>I6*0.04</f>
        <v/>
      </c>
      <c r="J26" s="8">
        <f>J6*0.04</f>
        <v/>
      </c>
      <c r="K26" s="8">
        <f>K6*0.04</f>
        <v/>
      </c>
      <c r="L26" s="8">
        <f>L6*0.04</f>
        <v/>
      </c>
      <c r="M26" s="8">
        <f>M6*0.04</f>
        <v/>
      </c>
      <c r="N26" s="12" t="n"/>
      <c r="O26" s="1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40.83203125" customWidth="1" min="1" max="1"/>
    <col width="10.83203125" customWidth="1" min="2" max="2"/>
    <col width="15.83203125" customWidth="1" min="3" max="3"/>
    <col width="10.83203125" customWidth="1" min="16" max="16"/>
  </cols>
  <sheetData>
    <row r="1">
      <c r="A1" s="1" t="inlineStr">
        <is>
          <t>Nom</t>
        </is>
      </c>
      <c r="B1" s="1" t="inlineStr">
        <is>
          <t>Unité</t>
        </is>
      </c>
      <c r="C1" s="1" t="inlineStr">
        <is>
          <t>Année 1</t>
        </is>
      </c>
      <c r="D1" s="1" t="inlineStr">
        <is>
          <t>Année 2</t>
        </is>
      </c>
      <c r="E1" s="1" t="inlineStr">
        <is>
          <t>Année 3</t>
        </is>
      </c>
      <c r="F1" s="1" t="inlineStr">
        <is>
          <t>Année 4</t>
        </is>
      </c>
      <c r="G1" s="1" t="inlineStr">
        <is>
          <t>Année 5</t>
        </is>
      </c>
      <c r="H1" s="1" t="inlineStr">
        <is>
          <t>Année 6</t>
        </is>
      </c>
      <c r="I1" s="1" t="inlineStr">
        <is>
          <t>Année 7</t>
        </is>
      </c>
      <c r="J1" s="1" t="inlineStr">
        <is>
          <t>Année 8</t>
        </is>
      </c>
      <c r="K1" s="1" t="inlineStr">
        <is>
          <t>Année 9</t>
        </is>
      </c>
      <c r="L1" s="1" t="inlineStr">
        <is>
          <t>Année 10</t>
        </is>
      </c>
      <c r="M1" s="1" t="inlineStr">
        <is>
          <t>Année 11</t>
        </is>
      </c>
      <c r="N1" s="1" t="inlineStr">
        <is>
          <t>SOMME</t>
        </is>
      </c>
      <c r="O1" s="1" t="inlineStr">
        <is>
          <t>VAN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5" t="inlineStr">
        <is>
          <t>I. PRODUCTION</t>
        </is>
      </c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</row>
    <row r="4">
      <c r="A4" s="2" t="inlineStr">
        <is>
          <t>Production d'or</t>
        </is>
      </c>
      <c r="B4" s="3" t="inlineStr">
        <is>
          <t>oz</t>
        </is>
      </c>
      <c r="C4" s="8" t="n"/>
      <c r="D4" s="8" t="n"/>
      <c r="E4" s="8" t="n">
        <v>250000</v>
      </c>
      <c r="F4" s="8" t="n">
        <v>250000</v>
      </c>
      <c r="G4" s="8" t="n">
        <v>250000</v>
      </c>
      <c r="H4" s="8" t="n">
        <v>250000</v>
      </c>
      <c r="I4" s="8" t="n">
        <v>250000</v>
      </c>
      <c r="J4" s="8" t="n">
        <v>250000</v>
      </c>
      <c r="K4" s="8" t="n">
        <v>250000</v>
      </c>
      <c r="L4" s="8" t="n">
        <v>250000</v>
      </c>
      <c r="M4" s="8" t="n"/>
      <c r="N4" s="9">
        <f>SUM($C4:$M4)</f>
        <v/>
      </c>
      <c r="O4" s="9" t="n"/>
    </row>
    <row r="5">
      <c r="A5" s="2" t="inlineStr">
        <is>
          <t>Cours de l'or</t>
        </is>
      </c>
      <c r="B5" s="3" t="inlineStr">
        <is>
          <t>USD/oz</t>
        </is>
      </c>
      <c r="C5" s="8" t="n"/>
      <c r="D5" s="8" t="n"/>
      <c r="E5" s="8" t="n">
        <v>1300</v>
      </c>
      <c r="F5" s="8" t="n">
        <v>1300</v>
      </c>
      <c r="G5" s="8" t="n">
        <v>1300</v>
      </c>
      <c r="H5" s="8" t="n">
        <v>1300</v>
      </c>
      <c r="I5" s="8" t="n">
        <v>1300</v>
      </c>
      <c r="J5" s="8" t="n">
        <v>1300</v>
      </c>
      <c r="K5" s="8" t="n">
        <v>1300</v>
      </c>
      <c r="L5" s="8" t="n">
        <v>1300</v>
      </c>
      <c r="M5" s="8" t="n"/>
      <c r="N5" s="9" t="n"/>
      <c r="O5" s="9" t="n"/>
    </row>
    <row r="6">
      <c r="A6" s="2" t="inlineStr">
        <is>
          <t>Chiffre d'affaires</t>
        </is>
      </c>
      <c r="B6" s="3" t="inlineStr">
        <is>
          <t>USD</t>
        </is>
      </c>
      <c r="C6" s="10">
        <f>C$4*C$5</f>
        <v/>
      </c>
      <c r="D6" s="10">
        <f>D$4*D$5</f>
        <v/>
      </c>
      <c r="E6" s="10">
        <f>E$4*E$5</f>
        <v/>
      </c>
      <c r="F6" s="10">
        <f>F$4*F$5</f>
        <v/>
      </c>
      <c r="G6" s="10">
        <f>G$4*G$5</f>
        <v/>
      </c>
      <c r="H6" s="10">
        <f>H$4*H$5</f>
        <v/>
      </c>
      <c r="I6" s="10">
        <f>I$4*I$5</f>
        <v/>
      </c>
      <c r="J6" s="10">
        <f>J$4*J$5</f>
        <v/>
      </c>
      <c r="K6" s="10">
        <f>K$4*K$5</f>
        <v/>
      </c>
      <c r="L6" s="10">
        <f>L$4*L$5</f>
        <v/>
      </c>
      <c r="M6" s="10">
        <f>M$4*M$5</f>
        <v/>
      </c>
      <c r="N6" s="10">
        <f>SUM($C6:$M6)</f>
        <v/>
      </c>
      <c r="O6" s="10">
        <f>$C6+NPV(10%,$D6:$M6)</f>
        <v/>
      </c>
    </row>
    <row r="7">
      <c r="A7" s="2" t="n"/>
      <c r="B7" s="3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5" t="inlineStr">
        <is>
          <t>II. DEPENSES D'INVESTISSEMENT (CAPEX)</t>
        </is>
      </c>
      <c r="B8" s="6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</row>
    <row r="9">
      <c r="A9" s="2" t="inlineStr">
        <is>
          <t>Coûts des construction industrielles</t>
        </is>
      </c>
      <c r="B9" s="3" t="inlineStr">
        <is>
          <t>USD</t>
        </is>
      </c>
      <c r="C9" s="8" t="n">
        <v>50000000</v>
      </c>
      <c r="D9" s="8" t="n">
        <v>100000000</v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9">
        <f>SUM($C9:$M9)</f>
        <v/>
      </c>
      <c r="O9" s="9">
        <f>$C9+NPV(10%,$D9:$M9)</f>
        <v/>
      </c>
    </row>
    <row r="10">
      <c r="A10" s="2" t="inlineStr">
        <is>
          <t>Coûts des biens d'équipement</t>
        </is>
      </c>
      <c r="B10" s="3" t="inlineStr">
        <is>
          <t>USD</t>
        </is>
      </c>
      <c r="C10" s="8" t="n"/>
      <c r="D10" s="8" t="n">
        <v>50000000</v>
      </c>
      <c r="E10" s="8" t="n">
        <v>5000000</v>
      </c>
      <c r="F10" s="8" t="n">
        <v>5000000</v>
      </c>
      <c r="G10" s="8" t="n">
        <v>5000000</v>
      </c>
      <c r="H10" s="8" t="n">
        <v>5000000</v>
      </c>
      <c r="I10" s="8" t="n">
        <v>5000000</v>
      </c>
      <c r="J10" s="8" t="n">
        <v>5000000</v>
      </c>
      <c r="K10" s="8" t="n">
        <v>5000000</v>
      </c>
      <c r="L10" s="8" t="n">
        <v>5000000</v>
      </c>
      <c r="M10" s="8" t="n"/>
      <c r="N10" s="9">
        <f>SUM($C10:$M10)</f>
        <v/>
      </c>
      <c r="O10" s="9">
        <f>$C10+NPV(10%,$D10:$M10)</f>
        <v/>
      </c>
    </row>
    <row r="11">
      <c r="A11" s="2" t="inlineStr">
        <is>
          <t>Coûts de réhabilitation du site</t>
        </is>
      </c>
      <c r="B11" s="3" t="inlineStr">
        <is>
          <t>USD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>
        <v>10000000</v>
      </c>
      <c r="N11" s="9">
        <f>SUM($C11:$M11)</f>
        <v/>
      </c>
      <c r="O11" s="9">
        <f>$C11+NPV(10%,$D11:$M11)</f>
        <v/>
      </c>
    </row>
    <row r="12">
      <c r="A12" s="2" t="inlineStr">
        <is>
          <t>Total des dépenses d'investissement</t>
        </is>
      </c>
      <c r="B12" s="3" t="inlineStr">
        <is>
          <t>USD</t>
        </is>
      </c>
      <c r="C12" s="10">
        <f>SUM(C$9:C$11)</f>
        <v/>
      </c>
      <c r="D12" s="10">
        <f>SUM(D$9:D$11)</f>
        <v/>
      </c>
      <c r="E12" s="10">
        <f>SUM(E$9:E$11)</f>
        <v/>
      </c>
      <c r="F12" s="10">
        <f>SUM(F$9:F$11)</f>
        <v/>
      </c>
      <c r="G12" s="10">
        <f>SUM(G$9:G$11)</f>
        <v/>
      </c>
      <c r="H12" s="10">
        <f>SUM(H$9:H$11)</f>
        <v/>
      </c>
      <c r="I12" s="10">
        <f>SUM(I$9:I$11)</f>
        <v/>
      </c>
      <c r="J12" s="10">
        <f>SUM(J$9:J$11)</f>
        <v/>
      </c>
      <c r="K12" s="10">
        <f>SUM(K$9:K$11)</f>
        <v/>
      </c>
      <c r="L12" s="10">
        <f>SUM(L$9:L$11)</f>
        <v/>
      </c>
      <c r="M12" s="10">
        <f>SUM(M$9:M$11)</f>
        <v/>
      </c>
      <c r="N12" s="10">
        <f>SUM($C12:$M12)</f>
        <v/>
      </c>
      <c r="O12" s="10">
        <f>$C12+NPV(10%,$D12:$M12)</f>
        <v/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5" t="inlineStr">
        <is>
          <t>III. COÛTS D'EXPLOITATION (OPEX)</t>
        </is>
      </c>
      <c r="B14" s="6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</row>
    <row r="15">
      <c r="A15" s="2" t="inlineStr">
        <is>
          <t>Coût moyen d'exploitation</t>
        </is>
      </c>
      <c r="B15" s="3" t="inlineStr">
        <is>
          <t>USD/oz</t>
        </is>
      </c>
      <c r="C15" s="8" t="n"/>
      <c r="D15" s="8" t="n"/>
      <c r="E15" s="8" t="n">
        <v>700</v>
      </c>
      <c r="F15" s="8" t="n">
        <v>700</v>
      </c>
      <c r="G15" s="8" t="n">
        <v>700</v>
      </c>
      <c r="H15" s="8" t="n">
        <v>700</v>
      </c>
      <c r="I15" s="8" t="n">
        <v>700</v>
      </c>
      <c r="J15" s="8" t="n">
        <v>700</v>
      </c>
      <c r="K15" s="8" t="n">
        <v>700</v>
      </c>
      <c r="L15" s="8" t="n">
        <v>700</v>
      </c>
      <c r="M15" s="8" t="n"/>
      <c r="N15" s="12" t="n"/>
      <c r="O15" s="12" t="n"/>
    </row>
    <row r="16">
      <c r="A16" s="2" t="inlineStr">
        <is>
          <t>Total des coûts d'exploitation</t>
        </is>
      </c>
      <c r="B16" s="3" t="inlineStr">
        <is>
          <t>USD</t>
        </is>
      </c>
      <c r="C16" s="10">
        <f>C$4*C$15</f>
        <v/>
      </c>
      <c r="D16" s="10">
        <f>D$4*D$15</f>
        <v/>
      </c>
      <c r="E16" s="10">
        <f>E$4*E$15</f>
        <v/>
      </c>
      <c r="F16" s="10">
        <f>F$4*F$15</f>
        <v/>
      </c>
      <c r="G16" s="10">
        <f>G$4*G$15</f>
        <v/>
      </c>
      <c r="H16" s="10">
        <f>H$4*H$15</f>
        <v/>
      </c>
      <c r="I16" s="10">
        <f>I$4*I$15</f>
        <v/>
      </c>
      <c r="J16" s="10">
        <f>J$4*J$15</f>
        <v/>
      </c>
      <c r="K16" s="10">
        <f>K$4*K$15</f>
        <v/>
      </c>
      <c r="L16" s="10">
        <f>L$4*L$15</f>
        <v/>
      </c>
      <c r="M16" s="10">
        <f>M$4*M$15</f>
        <v/>
      </c>
      <c r="N16" s="10">
        <f>SUM($C16:$M16)</f>
        <v/>
      </c>
      <c r="O16" s="10">
        <f>$C16+NPV(10%,$D16:$M16)</f>
        <v/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5" t="inlineStr">
        <is>
          <t>IV. FLUX NETS DE TRESORERIE AVANT IMPÔTS</t>
        </is>
      </c>
      <c r="B18" s="6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</row>
    <row r="19">
      <c r="A19" s="2" t="inlineStr">
        <is>
          <t>Flux nets de trésorerie avant impôts</t>
        </is>
      </c>
      <c r="B19" s="3" t="inlineStr">
        <is>
          <t>USD</t>
        </is>
      </c>
      <c r="C19" s="10">
        <f>C$6-C$12-C$16</f>
        <v/>
      </c>
      <c r="D19" s="10">
        <f>D$6-D$12-D$16</f>
        <v/>
      </c>
      <c r="E19" s="10">
        <f>E$6-E$12-E$16</f>
        <v/>
      </c>
      <c r="F19" s="10">
        <f>F$6-F$12-F$16</f>
        <v/>
      </c>
      <c r="G19" s="10">
        <f>G$6-G$12-G$16</f>
        <v/>
      </c>
      <c r="H19" s="10">
        <f>H$6-H$12-H$16</f>
        <v/>
      </c>
      <c r="I19" s="10">
        <f>I$6-I$12-I$16</f>
        <v/>
      </c>
      <c r="J19" s="10">
        <f>J$6-J$12-J$16</f>
        <v/>
      </c>
      <c r="K19" s="10">
        <f>K$6-K$12-K$16</f>
        <v/>
      </c>
      <c r="L19" s="10">
        <f>L$6-L$12-L$16</f>
        <v/>
      </c>
      <c r="M19" s="10">
        <f>M$6-M$12-M$16</f>
        <v/>
      </c>
      <c r="N19" s="10">
        <f>SUM($C19:$M19)</f>
        <v/>
      </c>
      <c r="O19" s="10">
        <f>$C19+NPV(10%,$D19:$M19)</f>
        <v/>
      </c>
    </row>
    <row r="20">
      <c r="A20" s="2" t="inlineStr">
        <is>
          <t>Taux de rendement interne avant impôts</t>
        </is>
      </c>
      <c r="B20" s="3" t="inlineStr">
        <is>
          <t>%</t>
        </is>
      </c>
      <c r="C20" s="14">
        <f>IF(ISNUMBER(IRR($C19:C19)),IF(IRR($C19:C19)&gt;0,IRR($C19:C19),""),"")</f>
        <v/>
      </c>
      <c r="D20" s="14">
        <f>IF(ISNUMBER(IRR($C19:D19)),IF(IRR($C19:D19)&gt;0,IRR($C19:D19),""),"")</f>
        <v/>
      </c>
      <c r="E20" s="14">
        <f>IF(ISNUMBER(IRR($C19:E19)),IF(IRR($C19:E19)&gt;0,IRR($C19:E19),""),"")</f>
        <v/>
      </c>
      <c r="F20" s="14">
        <f>IF(ISNUMBER(IRR($C19:F19)),IF(IRR($C19:F19)&gt;0,IRR($C19:F19),""),"")</f>
        <v/>
      </c>
      <c r="G20" s="14">
        <f>IF(ISNUMBER(IRR($C19:G19)),IF(IRR($C19:G19)&gt;0,IRR($C19:G19),""),"")</f>
        <v/>
      </c>
      <c r="H20" s="14">
        <f>IF(ISNUMBER(IRR($C19:H19)),IF(IRR($C19:H19)&gt;0,IRR($C19:H19),""),"")</f>
        <v/>
      </c>
      <c r="I20" s="14">
        <f>IF(ISNUMBER(IRR($C19:I19)),IF(IRR($C19:I19)&gt;0,IRR($C19:I19),""),"")</f>
        <v/>
      </c>
      <c r="J20" s="14">
        <f>IF(ISNUMBER(IRR($C19:J19)),IF(IRR($C19:J19)&gt;0,IRR($C19:J19),""),"")</f>
        <v/>
      </c>
      <c r="K20" s="14">
        <f>IF(ISNUMBER(IRR($C19:K19)),IF(IRR($C19:K19)&gt;0,IRR($C19:K19),""),"")</f>
        <v/>
      </c>
      <c r="L20" s="14">
        <f>IF(ISNUMBER(IRR($C19:L19)),IF(IRR($C19:L19)&gt;0,IRR($C19:L19),""),"")</f>
        <v/>
      </c>
      <c r="M20" s="14">
        <f>IF(ISNUMBER(IRR($C19:M19)),IF(IRR($C19:M19)&gt;0,IRR($C19:M19),""),"")</f>
        <v/>
      </c>
      <c r="N20" s="15" t="n"/>
      <c r="O20" s="15" t="n"/>
    </row>
    <row r="21">
      <c r="A21" s="2" t="n"/>
      <c r="B21" s="3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7" t="n"/>
      <c r="O21" s="17" t="n"/>
    </row>
    <row r="22">
      <c r="A22" s="5" t="inlineStr">
        <is>
          <t>V. DROITS FIXES</t>
        </is>
      </c>
      <c r="B22" s="18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</row>
    <row r="23">
      <c r="A23" s="2" t="inlineStr">
        <is>
          <t>Droits fixes</t>
        </is>
      </c>
      <c r="B23" s="3" t="inlineStr">
        <is>
          <t>USD</t>
        </is>
      </c>
      <c r="C23" s="19" t="n">
        <v>100000</v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0">
        <f>SUM($C23:$M23)</f>
        <v/>
      </c>
      <c r="O23" s="10">
        <f>$C23+NPV(10%,$D23:$M23)</f>
        <v/>
      </c>
    </row>
    <row r="24">
      <c r="A24" s="2" t="n"/>
      <c r="B24" s="3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7" t="n"/>
      <c r="O24" s="17" t="n"/>
    </row>
    <row r="25">
      <c r="A25" s="5" t="inlineStr">
        <is>
          <t>VI. REDEVANCE SUPERFICAIRE</t>
        </is>
      </c>
      <c r="B25" s="6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>
      <c r="A26" s="2" t="inlineStr">
        <is>
          <t>Superficie de la mine</t>
        </is>
      </c>
      <c r="B26" s="3" t="inlineStr">
        <is>
          <t>km²</t>
        </is>
      </c>
      <c r="C26" s="8" t="n">
        <v>100</v>
      </c>
      <c r="D26" s="8" t="n">
        <v>100</v>
      </c>
      <c r="E26" s="8" t="n">
        <v>100</v>
      </c>
      <c r="F26" s="8" t="n">
        <v>100</v>
      </c>
      <c r="G26" s="8" t="n">
        <v>100</v>
      </c>
      <c r="H26" s="8" t="n">
        <v>100</v>
      </c>
      <c r="I26" s="8" t="n">
        <v>100</v>
      </c>
      <c r="J26" s="8" t="n">
        <v>100</v>
      </c>
      <c r="K26" s="8" t="n">
        <v>100</v>
      </c>
      <c r="L26" s="8" t="n">
        <v>100</v>
      </c>
      <c r="M26" s="8" t="n">
        <v>100</v>
      </c>
      <c r="N26" s="12" t="n"/>
      <c r="O26" s="12" t="n"/>
    </row>
    <row r="27">
      <c r="A27" s="2" t="inlineStr">
        <is>
          <t>Montant de la redevance superfiaire</t>
        </is>
      </c>
      <c r="B27" s="3" t="inlineStr">
        <is>
          <t>USD/km²</t>
        </is>
      </c>
      <c r="C27" s="19" t="n">
        <v>100</v>
      </c>
      <c r="D27" s="19" t="n">
        <v>100</v>
      </c>
      <c r="E27" s="19" t="n">
        <v>100</v>
      </c>
      <c r="F27" s="19" t="n">
        <v>100</v>
      </c>
      <c r="G27" s="19" t="n">
        <v>100</v>
      </c>
      <c r="H27" s="19" t="n">
        <v>100</v>
      </c>
      <c r="I27" s="19" t="n">
        <v>100</v>
      </c>
      <c r="J27" s="19" t="n">
        <v>100</v>
      </c>
      <c r="K27" s="19" t="n">
        <v>100</v>
      </c>
      <c r="L27" s="19" t="n">
        <v>100</v>
      </c>
      <c r="M27" s="19" t="n">
        <v>100</v>
      </c>
      <c r="N27" s="12" t="n"/>
      <c r="O27" s="12" t="n"/>
    </row>
    <row r="28">
      <c r="A28" s="2" t="inlineStr">
        <is>
          <t>Redevance superficiaire</t>
        </is>
      </c>
      <c r="B28" s="3" t="inlineStr">
        <is>
          <t>USD</t>
        </is>
      </c>
      <c r="C28" s="10">
        <f>C$26*C$27</f>
        <v/>
      </c>
      <c r="D28" s="10">
        <f>D$26*D$27</f>
        <v/>
      </c>
      <c r="E28" s="10">
        <f>E$26*E$27</f>
        <v/>
      </c>
      <c r="F28" s="10">
        <f>F$26*F$27</f>
        <v/>
      </c>
      <c r="G28" s="10">
        <f>G$26*G$27</f>
        <v/>
      </c>
      <c r="H28" s="10">
        <f>H$26*H$27</f>
        <v/>
      </c>
      <c r="I28" s="10">
        <f>I$26*I$27</f>
        <v/>
      </c>
      <c r="J28" s="10">
        <f>J$26*J$27</f>
        <v/>
      </c>
      <c r="K28" s="10">
        <f>K$26*K$27</f>
        <v/>
      </c>
      <c r="L28" s="10">
        <f>L$26*L$27</f>
        <v/>
      </c>
      <c r="M28" s="10">
        <f>M$26*M$27</f>
        <v/>
      </c>
      <c r="N28" s="10">
        <f>SUM($C28:$M28)</f>
        <v/>
      </c>
      <c r="O28" s="10">
        <f>$C28+NPV(10%,$D28:$M28)</f>
        <v/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5" t="inlineStr">
        <is>
          <t>VII. REDEVANCE MINIERE</t>
        </is>
      </c>
      <c r="B30" s="6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  <row r="31">
      <c r="A31" s="2" t="inlineStr">
        <is>
          <t>Taux de la redevance minière</t>
        </is>
      </c>
      <c r="B31" s="3" t="inlineStr">
        <is>
          <t>%</t>
        </is>
      </c>
      <c r="C31" s="21">
        <f>IF(ISNUMBER(C5),IF(C$5&lt;1300,3%,IF(C$5&lt;1500,4%,5%)),"")</f>
        <v/>
      </c>
      <c r="D31" s="21">
        <f>IF(ISNUMBER(D5),IF(D$5&lt;1300,3%,IF(D$5&lt;1500,4%,5%)),"")</f>
        <v/>
      </c>
      <c r="E31" s="21">
        <f>IF(ISNUMBER(E5),IF(E$5&lt;1300,3%,IF(E$5&lt;1500,4%,5%)),"")</f>
        <v/>
      </c>
      <c r="F31" s="21">
        <f>IF(ISNUMBER(F5),IF(F$5&lt;1300,3%,IF(F$5&lt;1500,4%,5%)),"")</f>
        <v/>
      </c>
      <c r="G31" s="21">
        <f>IF(ISNUMBER(G5),IF(G$5&lt;1300,3%,IF(G$5&lt;1500,4%,5%)),"")</f>
        <v/>
      </c>
      <c r="H31" s="21">
        <f>IF(ISNUMBER(H5),IF(H$5&lt;1300,3%,IF(H$5&lt;1500,4%,5%)),"")</f>
        <v/>
      </c>
      <c r="I31" s="21">
        <f>IF(ISNUMBER(I5),IF(I$5&lt;1300,3%,IF(I$5&lt;1500,4%,5%)),"")</f>
        <v/>
      </c>
      <c r="J31" s="21">
        <f>IF(ISNUMBER(J5),IF(J$5&lt;1300,3%,IF(J$5&lt;1500,4%,5%)),"")</f>
        <v/>
      </c>
      <c r="K31" s="21">
        <f>IF(ISNUMBER(K5),IF(K$5&lt;1300,3%,IF(K$5&lt;1500,4%,5%)),"")</f>
        <v/>
      </c>
      <c r="L31" s="21">
        <f>IF(ISNUMBER(L5),IF(L$5&lt;1300,3%,IF(L$5&lt;1500,4%,5%)),"")</f>
        <v/>
      </c>
      <c r="M31" s="21">
        <f>IF(ISNUMBER(M5),IF(M$5&lt;1300,3%,IF(M$5&lt;1500,4%,5%)),"")</f>
        <v/>
      </c>
      <c r="N31" s="12" t="n"/>
      <c r="O31" s="12" t="n"/>
    </row>
    <row r="32">
      <c r="A32" s="2" t="inlineStr">
        <is>
          <t>Redevance minière</t>
        </is>
      </c>
      <c r="B32" s="3" t="inlineStr">
        <is>
          <t>USD</t>
        </is>
      </c>
      <c r="C32" s="10">
        <f>IF(ISNUMBER(C31),C$6*C$31,0)</f>
        <v/>
      </c>
      <c r="D32" s="10">
        <f>IF(ISNUMBER(D31),D$6*D$31,0)</f>
        <v/>
      </c>
      <c r="E32" s="10">
        <f>IF(ISNUMBER(E31),E$6*E$31,0)</f>
        <v/>
      </c>
      <c r="F32" s="10">
        <f>IF(ISNUMBER(F31),F$6*F$31,0)</f>
        <v/>
      </c>
      <c r="G32" s="10">
        <f>IF(ISNUMBER(G31),G$6*G$31,0)</f>
        <v/>
      </c>
      <c r="H32" s="10">
        <f>IF(ISNUMBER(H31),H$6*H$31,0)</f>
        <v/>
      </c>
      <c r="I32" s="10">
        <f>IF(ISNUMBER(I31),I$6*I$31,0)</f>
        <v/>
      </c>
      <c r="J32" s="10">
        <f>IF(ISNUMBER(J31),J$6*J$31,0)</f>
        <v/>
      </c>
      <c r="K32" s="10">
        <f>IF(ISNUMBER(K31),K$6*K$31,0)</f>
        <v/>
      </c>
      <c r="L32" s="10">
        <f>IF(ISNUMBER(L31),L$6*L$31,0)</f>
        <v/>
      </c>
      <c r="M32" s="10">
        <f>IF(ISNUMBER(M31),M$6*M$31,0)</f>
        <v/>
      </c>
      <c r="N32" s="10">
        <f>SUM($C32:$M32)</f>
        <v/>
      </c>
      <c r="O32" s="10">
        <f>$C32+NPV(10%,$D32:$M32)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40.77734375" customWidth="1" min="1" max="1"/>
    <col width="10.77734375" customWidth="1" min="2" max="2"/>
    <col width="15.77734375" customWidth="1" min="3" max="3"/>
    <col width="10.77734375" customWidth="1" min="16" max="16"/>
  </cols>
  <sheetData>
    <row r="1">
      <c r="A1" s="1" t="inlineStr">
        <is>
          <t>Nom</t>
        </is>
      </c>
      <c r="B1" s="1" t="inlineStr">
        <is>
          <t>Unité</t>
        </is>
      </c>
      <c r="C1" s="1" t="inlineStr">
        <is>
          <t>Année 1</t>
        </is>
      </c>
      <c r="D1" s="1" t="inlineStr">
        <is>
          <t>Année 2</t>
        </is>
      </c>
      <c r="E1" s="1" t="inlineStr">
        <is>
          <t>Année 3</t>
        </is>
      </c>
      <c r="F1" s="1" t="inlineStr">
        <is>
          <t>Année 4</t>
        </is>
      </c>
      <c r="G1" s="1" t="inlineStr">
        <is>
          <t>Année 5</t>
        </is>
      </c>
      <c r="H1" s="1" t="inlineStr">
        <is>
          <t>Année 6</t>
        </is>
      </c>
      <c r="I1" s="1" t="inlineStr">
        <is>
          <t>Année 7</t>
        </is>
      </c>
      <c r="J1" s="1" t="inlineStr">
        <is>
          <t>Année 8</t>
        </is>
      </c>
      <c r="K1" s="1" t="inlineStr">
        <is>
          <t>Année 9</t>
        </is>
      </c>
      <c r="L1" s="1" t="inlineStr">
        <is>
          <t>Année 10</t>
        </is>
      </c>
      <c r="M1" s="1" t="inlineStr">
        <is>
          <t>Année 11</t>
        </is>
      </c>
      <c r="N1" s="1" t="inlineStr">
        <is>
          <t>SOMME</t>
        </is>
      </c>
      <c r="O1" s="1" t="inlineStr">
        <is>
          <t>VAN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5" t="inlineStr">
        <is>
          <t>I. PRODUCTION</t>
        </is>
      </c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</row>
    <row r="4">
      <c r="A4" s="2" t="inlineStr">
        <is>
          <t>Production d'or</t>
        </is>
      </c>
      <c r="B4" s="3" t="inlineStr">
        <is>
          <t>oz</t>
        </is>
      </c>
      <c r="C4" s="8" t="n"/>
      <c r="D4" s="8" t="n"/>
      <c r="E4" s="8" t="n">
        <v>250000</v>
      </c>
      <c r="F4" s="8" t="n">
        <v>250000</v>
      </c>
      <c r="G4" s="8" t="n">
        <v>250000</v>
      </c>
      <c r="H4" s="8" t="n">
        <v>250000</v>
      </c>
      <c r="I4" s="8" t="n">
        <v>250000</v>
      </c>
      <c r="J4" s="8" t="n">
        <v>250000</v>
      </c>
      <c r="K4" s="8" t="n">
        <v>250000</v>
      </c>
      <c r="L4" s="8" t="n">
        <v>250000</v>
      </c>
      <c r="M4" s="8" t="n"/>
      <c r="N4" s="9">
        <f>SUM($C4:$M4)</f>
        <v/>
      </c>
      <c r="O4" s="9" t="n"/>
    </row>
    <row r="5">
      <c r="A5" s="2" t="inlineStr">
        <is>
          <t>Cours de l'or</t>
        </is>
      </c>
      <c r="B5" s="3" t="inlineStr">
        <is>
          <t>USD/oz</t>
        </is>
      </c>
      <c r="C5" s="8" t="n"/>
      <c r="D5" s="8" t="n"/>
      <c r="E5" s="8" t="n">
        <v>1300</v>
      </c>
      <c r="F5" s="8" t="n">
        <v>1300</v>
      </c>
      <c r="G5" s="8" t="n">
        <v>1300</v>
      </c>
      <c r="H5" s="8" t="n">
        <v>1300</v>
      </c>
      <c r="I5" s="8" t="n">
        <v>1300</v>
      </c>
      <c r="J5" s="8" t="n">
        <v>1300</v>
      </c>
      <c r="K5" s="8" t="n">
        <v>1300</v>
      </c>
      <c r="L5" s="8" t="n">
        <v>1300</v>
      </c>
      <c r="M5" s="8" t="n"/>
      <c r="N5" s="9" t="n"/>
      <c r="O5" s="9" t="n"/>
    </row>
    <row r="6">
      <c r="A6" s="2" t="inlineStr">
        <is>
          <t>Chiffre d'affaires</t>
        </is>
      </c>
      <c r="B6" s="3" t="inlineStr">
        <is>
          <t>USD</t>
        </is>
      </c>
      <c r="C6" s="10">
        <f>C$4*C$5</f>
        <v/>
      </c>
      <c r="D6" s="10">
        <f>D$4*D$5</f>
        <v/>
      </c>
      <c r="E6" s="10">
        <f>E$4*E$5</f>
        <v/>
      </c>
      <c r="F6" s="10">
        <f>F$4*F$5</f>
        <v/>
      </c>
      <c r="G6" s="10">
        <f>G$4*G$5</f>
        <v/>
      </c>
      <c r="H6" s="10">
        <f>H$4*H$5</f>
        <v/>
      </c>
      <c r="I6" s="10">
        <f>I$4*I$5</f>
        <v/>
      </c>
      <c r="J6" s="10">
        <f>J$4*J$5</f>
        <v/>
      </c>
      <c r="K6" s="10">
        <f>K$4*K$5</f>
        <v/>
      </c>
      <c r="L6" s="10">
        <f>L$4*L$5</f>
        <v/>
      </c>
      <c r="M6" s="10">
        <f>M$4*M$5</f>
        <v/>
      </c>
      <c r="N6" s="10">
        <f>SUM($C6:$M6)</f>
        <v/>
      </c>
      <c r="O6" s="10">
        <f>$C6+NPV(10%,$D6:$M6)</f>
        <v/>
      </c>
    </row>
    <row r="7">
      <c r="A7" s="2" t="n"/>
      <c r="B7" s="3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5" t="inlineStr">
        <is>
          <t>II. DEPENSES D'INVESTISSEMENT (CAPEX)</t>
        </is>
      </c>
      <c r="B8" s="6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</row>
    <row r="9">
      <c r="A9" s="2" t="inlineStr">
        <is>
          <t>Coûts des construction industrielles</t>
        </is>
      </c>
      <c r="B9" s="3" t="inlineStr">
        <is>
          <t>USD</t>
        </is>
      </c>
      <c r="C9" s="8" t="n">
        <v>50000000</v>
      </c>
      <c r="D9" s="8" t="n">
        <v>100000000</v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9">
        <f>SUM($C9:$M9)</f>
        <v/>
      </c>
      <c r="O9" s="9">
        <f>$C9+NPV(10%,$D9:$M9)</f>
        <v/>
      </c>
    </row>
    <row r="10">
      <c r="A10" s="2" t="inlineStr">
        <is>
          <t>Coûts des biens d'équipement</t>
        </is>
      </c>
      <c r="B10" s="3" t="inlineStr">
        <is>
          <t>USD</t>
        </is>
      </c>
      <c r="C10" s="8" t="n"/>
      <c r="D10" s="8" t="n">
        <v>50000000</v>
      </c>
      <c r="E10" s="8" t="n">
        <v>5000000</v>
      </c>
      <c r="F10" s="8" t="n">
        <v>5000000</v>
      </c>
      <c r="G10" s="8" t="n">
        <v>5000000</v>
      </c>
      <c r="H10" s="8" t="n">
        <v>5000000</v>
      </c>
      <c r="I10" s="8" t="n">
        <v>5000000</v>
      </c>
      <c r="J10" s="8" t="n">
        <v>5000000</v>
      </c>
      <c r="K10" s="8" t="n">
        <v>5000000</v>
      </c>
      <c r="L10" s="8" t="n">
        <v>5000000</v>
      </c>
      <c r="M10" s="8" t="n"/>
      <c r="N10" s="9">
        <f>SUM($C10:$M10)</f>
        <v/>
      </c>
      <c r="O10" s="9">
        <f>$C10+NPV(10%,$D10:$M10)</f>
        <v/>
      </c>
    </row>
    <row r="11">
      <c r="A11" s="2" t="inlineStr">
        <is>
          <t>Coûts de réhabilitation du site</t>
        </is>
      </c>
      <c r="B11" s="3" t="inlineStr">
        <is>
          <t>USD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>
        <v>10000000</v>
      </c>
      <c r="N11" s="9">
        <f>SUM($C11:$M11)</f>
        <v/>
      </c>
      <c r="O11" s="9">
        <f>$C11+NPV(10%,$D11:$M11)</f>
        <v/>
      </c>
    </row>
    <row r="12">
      <c r="A12" s="2" t="inlineStr">
        <is>
          <t>Total des dépenses d'investissement</t>
        </is>
      </c>
      <c r="B12" s="3" t="inlineStr">
        <is>
          <t>USD</t>
        </is>
      </c>
      <c r="C12" s="10">
        <f>SUM(C$9:C$11)</f>
        <v/>
      </c>
      <c r="D12" s="10">
        <f>SUM(D$9:D$11)</f>
        <v/>
      </c>
      <c r="E12" s="10">
        <f>SUM(E$9:E$11)</f>
        <v/>
      </c>
      <c r="F12" s="10">
        <f>SUM(F$9:F$11)</f>
        <v/>
      </c>
      <c r="G12" s="10">
        <f>SUM(G$9:G$11)</f>
        <v/>
      </c>
      <c r="H12" s="10">
        <f>SUM(H$9:H$11)</f>
        <v/>
      </c>
      <c r="I12" s="10">
        <f>SUM(I$9:I$11)</f>
        <v/>
      </c>
      <c r="J12" s="10">
        <f>SUM(J$9:J$11)</f>
        <v/>
      </c>
      <c r="K12" s="10">
        <f>SUM(K$9:K$11)</f>
        <v/>
      </c>
      <c r="L12" s="10">
        <f>SUM(L$9:L$11)</f>
        <v/>
      </c>
      <c r="M12" s="10">
        <f>SUM(M$9:M$11)</f>
        <v/>
      </c>
      <c r="N12" s="10">
        <f>SUM($C12:$M12)</f>
        <v/>
      </c>
      <c r="O12" s="10">
        <f>$C12+NPV(10%,$D12:$M12)</f>
        <v/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5" t="inlineStr">
        <is>
          <t>III. COÛTS D'EXPLOITATION (OPEX)</t>
        </is>
      </c>
      <c r="B14" s="6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</row>
    <row r="15">
      <c r="A15" s="2" t="inlineStr">
        <is>
          <t>Coût moyen d'exploitation</t>
        </is>
      </c>
      <c r="B15" s="3" t="inlineStr">
        <is>
          <t>USD/oz</t>
        </is>
      </c>
      <c r="C15" s="8" t="n"/>
      <c r="D15" s="8" t="n"/>
      <c r="E15" s="8" t="n">
        <v>700</v>
      </c>
      <c r="F15" s="8" t="n">
        <v>700</v>
      </c>
      <c r="G15" s="8" t="n">
        <v>700</v>
      </c>
      <c r="H15" s="8" t="n">
        <v>700</v>
      </c>
      <c r="I15" s="8" t="n">
        <v>700</v>
      </c>
      <c r="J15" s="8" t="n">
        <v>700</v>
      </c>
      <c r="K15" s="8" t="n">
        <v>700</v>
      </c>
      <c r="L15" s="8" t="n">
        <v>700</v>
      </c>
      <c r="M15" s="8" t="n"/>
      <c r="N15" s="12" t="n"/>
      <c r="O15" s="12" t="n"/>
    </row>
    <row r="16">
      <c r="A16" s="2" t="inlineStr">
        <is>
          <t>Total des coûts d'exploitation</t>
        </is>
      </c>
      <c r="B16" s="3" t="inlineStr">
        <is>
          <t>USD</t>
        </is>
      </c>
      <c r="C16" s="10">
        <f>C$4*C$15</f>
        <v/>
      </c>
      <c r="D16" s="10">
        <f>D$4*D$15</f>
        <v/>
      </c>
      <c r="E16" s="10">
        <f>E$4*E$15</f>
        <v/>
      </c>
      <c r="F16" s="10">
        <f>F$4*F$15</f>
        <v/>
      </c>
      <c r="G16" s="10">
        <f>G$4*G$15</f>
        <v/>
      </c>
      <c r="H16" s="10">
        <f>H$4*H$15</f>
        <v/>
      </c>
      <c r="I16" s="10">
        <f>I$4*I$15</f>
        <v/>
      </c>
      <c r="J16" s="10">
        <f>J$4*J$15</f>
        <v/>
      </c>
      <c r="K16" s="10">
        <f>K$4*K$15</f>
        <v/>
      </c>
      <c r="L16" s="10">
        <f>L$4*L$15</f>
        <v/>
      </c>
      <c r="M16" s="10">
        <f>M$4*M$15</f>
        <v/>
      </c>
      <c r="N16" s="10">
        <f>SUM($C16:$M16)</f>
        <v/>
      </c>
      <c r="O16" s="10">
        <f>$C16+NPV(10%,$D16:$M16)</f>
        <v/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5" t="inlineStr">
        <is>
          <t>IV. FLUX NETS DE TRESORERIE AVANT IMPÔTS</t>
        </is>
      </c>
      <c r="B18" s="6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</row>
    <row r="19">
      <c r="A19" s="2" t="inlineStr">
        <is>
          <t>Flux nets de trésorerie avant impôts</t>
        </is>
      </c>
      <c r="B19" s="3" t="inlineStr">
        <is>
          <t>USD</t>
        </is>
      </c>
      <c r="C19" s="10">
        <f>C$6-C$12-C$16</f>
        <v/>
      </c>
      <c r="D19" s="10">
        <f>D$6-D$12-D$16</f>
        <v/>
      </c>
      <c r="E19" s="10">
        <f>E$6-E$12-E$16</f>
        <v/>
      </c>
      <c r="F19" s="10">
        <f>F$6-F$12-F$16</f>
        <v/>
      </c>
      <c r="G19" s="10">
        <f>G$6-G$12-G$16</f>
        <v/>
      </c>
      <c r="H19" s="10">
        <f>H$6-H$12-H$16</f>
        <v/>
      </c>
      <c r="I19" s="10">
        <f>I$6-I$12-I$16</f>
        <v/>
      </c>
      <c r="J19" s="10">
        <f>J$6-J$12-J$16</f>
        <v/>
      </c>
      <c r="K19" s="10">
        <f>K$6-K$12-K$16</f>
        <v/>
      </c>
      <c r="L19" s="10">
        <f>L$6-L$12-L$16</f>
        <v/>
      </c>
      <c r="M19" s="10">
        <f>M$6-M$12-M$16</f>
        <v/>
      </c>
      <c r="N19" s="10">
        <f>SUM($C19:$M19)</f>
        <v/>
      </c>
      <c r="O19" s="10">
        <f>$C19+NPV(10%,$D19:$M19)</f>
        <v/>
      </c>
    </row>
    <row r="20">
      <c r="A20" s="2" t="inlineStr">
        <is>
          <t>Taux de rendement interne avant impôts</t>
        </is>
      </c>
      <c r="B20" s="3" t="inlineStr">
        <is>
          <t>%</t>
        </is>
      </c>
      <c r="C20" s="14">
        <f>IF(ISNUMBER(IRR($C19:C19)),IF(IRR($C19:C19)&gt;0,IRR($C19:C19),""),"")</f>
        <v/>
      </c>
      <c r="D20" s="14">
        <f>IF(ISNUMBER(IRR($C19:D19)),IF(IRR($C19:D19)&gt;0,IRR($C19:D19),""),"")</f>
        <v/>
      </c>
      <c r="E20" s="14">
        <f>IF(ISNUMBER(IRR($C19:E19)),IF(IRR($C19:E19)&gt;0,IRR($C19:E19),""),"")</f>
        <v/>
      </c>
      <c r="F20" s="14">
        <f>IF(ISNUMBER(IRR($C19:F19)),IF(IRR($C19:F19)&gt;0,IRR($C19:F19),""),"")</f>
        <v/>
      </c>
      <c r="G20" s="14">
        <f>IF(ISNUMBER(IRR($C19:G19)),IF(IRR($C19:G19)&gt;0,IRR($C19:G19),""),"")</f>
        <v/>
      </c>
      <c r="H20" s="14">
        <f>IF(ISNUMBER(IRR($C19:H19)),IF(IRR($C19:H19)&gt;0,IRR($C19:H19),""),"")</f>
        <v/>
      </c>
      <c r="I20" s="14">
        <f>IF(ISNUMBER(IRR($C19:I19)),IF(IRR($C19:I19)&gt;0,IRR($C19:I19),""),"")</f>
        <v/>
      </c>
      <c r="J20" s="14">
        <f>IF(ISNUMBER(IRR($C19:J19)),IF(IRR($C19:J19)&gt;0,IRR($C19:J19),""),"")</f>
        <v/>
      </c>
      <c r="K20" s="14">
        <f>IF(ISNUMBER(IRR($C19:K19)),IF(IRR($C19:K19)&gt;0,IRR($C19:K19),""),"")</f>
        <v/>
      </c>
      <c r="L20" s="14">
        <f>IF(ISNUMBER(IRR($C19:L19)),IF(IRR($C19:L19)&gt;0,IRR($C19:L19),""),"")</f>
        <v/>
      </c>
      <c r="M20" s="14">
        <f>IF(ISNUMBER(IRR($C19:M19)),IF(IRR($C19:M19)&gt;0,IRR($C19:M19),""),"")</f>
        <v/>
      </c>
      <c r="N20" s="15" t="n"/>
      <c r="O20" s="15" t="n"/>
    </row>
    <row r="21">
      <c r="A21" s="2" t="n"/>
      <c r="B21" s="3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7" t="n"/>
      <c r="O21" s="17" t="n"/>
    </row>
    <row r="22">
      <c r="A22" s="5" t="inlineStr">
        <is>
          <t>V. DROITS FIXES</t>
        </is>
      </c>
      <c r="B22" s="18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</row>
    <row r="23">
      <c r="A23" s="2" t="inlineStr">
        <is>
          <t>Droits fixes</t>
        </is>
      </c>
      <c r="B23" s="3" t="inlineStr">
        <is>
          <t>USD</t>
        </is>
      </c>
      <c r="C23" s="19" t="n">
        <v>100000</v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0">
        <f>SUM($C23:$M23)</f>
        <v/>
      </c>
      <c r="O23" s="10">
        <f>$C23+NPV(10%,$D23:$M23)</f>
        <v/>
      </c>
    </row>
    <row r="24">
      <c r="A24" s="2" t="n"/>
      <c r="B24" s="3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7" t="n"/>
      <c r="O24" s="17" t="n"/>
    </row>
    <row r="25">
      <c r="A25" s="5" t="inlineStr">
        <is>
          <t>VI. REDEVANCE SUPERFICAIRE</t>
        </is>
      </c>
      <c r="B25" s="6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>
      <c r="A26" s="2" t="inlineStr">
        <is>
          <t>Superficie de la mine</t>
        </is>
      </c>
      <c r="B26" s="3" t="inlineStr">
        <is>
          <t>km²</t>
        </is>
      </c>
      <c r="C26" s="8" t="n">
        <v>100</v>
      </c>
      <c r="D26" s="8" t="n">
        <v>100</v>
      </c>
      <c r="E26" s="8" t="n">
        <v>100</v>
      </c>
      <c r="F26" s="8" t="n">
        <v>100</v>
      </c>
      <c r="G26" s="8" t="n">
        <v>100</v>
      </c>
      <c r="H26" s="8" t="n">
        <v>100</v>
      </c>
      <c r="I26" s="8" t="n">
        <v>100</v>
      </c>
      <c r="J26" s="8" t="n">
        <v>100</v>
      </c>
      <c r="K26" s="8" t="n">
        <v>100</v>
      </c>
      <c r="L26" s="8" t="n">
        <v>100</v>
      </c>
      <c r="M26" s="8" t="n">
        <v>100</v>
      </c>
      <c r="N26" s="12" t="n"/>
      <c r="O26" s="12" t="n"/>
    </row>
    <row r="27">
      <c r="A27" s="2" t="inlineStr">
        <is>
          <t>Montant de la redevance superfiaire</t>
        </is>
      </c>
      <c r="B27" s="3" t="inlineStr">
        <is>
          <t>USD/km²</t>
        </is>
      </c>
      <c r="C27" s="19" t="n">
        <v>100</v>
      </c>
      <c r="D27" s="19" t="n">
        <v>100</v>
      </c>
      <c r="E27" s="19" t="n">
        <v>100</v>
      </c>
      <c r="F27" s="19" t="n">
        <v>100</v>
      </c>
      <c r="G27" s="19" t="n">
        <v>100</v>
      </c>
      <c r="H27" s="19" t="n">
        <v>100</v>
      </c>
      <c r="I27" s="19" t="n">
        <v>100</v>
      </c>
      <c r="J27" s="19" t="n">
        <v>100</v>
      </c>
      <c r="K27" s="19" t="n">
        <v>100</v>
      </c>
      <c r="L27" s="19" t="n">
        <v>100</v>
      </c>
      <c r="M27" s="19" t="n">
        <v>100</v>
      </c>
      <c r="N27" s="12" t="n"/>
      <c r="O27" s="12" t="n"/>
    </row>
    <row r="28">
      <c r="A28" s="2" t="inlineStr">
        <is>
          <t>Redevance superficiaire</t>
        </is>
      </c>
      <c r="B28" s="3" t="inlineStr">
        <is>
          <t>USD</t>
        </is>
      </c>
      <c r="C28" s="10">
        <f>C$26*C$27</f>
        <v/>
      </c>
      <c r="D28" s="10">
        <f>D$26*D$27</f>
        <v/>
      </c>
      <c r="E28" s="10">
        <f>E$26*E$27</f>
        <v/>
      </c>
      <c r="F28" s="10">
        <f>F$26*F$27</f>
        <v/>
      </c>
      <c r="G28" s="10">
        <f>G$26*G$27</f>
        <v/>
      </c>
      <c r="H28" s="10">
        <f>H$26*H$27</f>
        <v/>
      </c>
      <c r="I28" s="10">
        <f>I$26*I$27</f>
        <v/>
      </c>
      <c r="J28" s="10">
        <f>J$26*J$27</f>
        <v/>
      </c>
      <c r="K28" s="10">
        <f>K$26*K$27</f>
        <v/>
      </c>
      <c r="L28" s="10">
        <f>L$26*L$27</f>
        <v/>
      </c>
      <c r="M28" s="10">
        <f>M$26*M$27</f>
        <v/>
      </c>
      <c r="N28" s="10">
        <f>SUM($C28:$M28)</f>
        <v/>
      </c>
      <c r="O28" s="10">
        <f>$C28+NPV(10%,$D28:$M28)</f>
        <v/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5" t="inlineStr">
        <is>
          <t>VII. REDEVANCE MINIERE</t>
        </is>
      </c>
      <c r="B30" s="6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  <row r="31">
      <c r="A31" s="2" t="inlineStr">
        <is>
          <t>Taux de la redevance minière</t>
        </is>
      </c>
      <c r="B31" s="3" t="inlineStr">
        <is>
          <t>%</t>
        </is>
      </c>
      <c r="C31" s="21">
        <f>IF(ISNUMBER(C5),IF(C$5&lt;1300,3%,IF(C$5&lt;1500,4%,5%)),"")</f>
        <v/>
      </c>
      <c r="D31" s="21">
        <f>IF(ISNUMBER(D5),IF(D$5&lt;1300,3%,IF(D$5&lt;1500,4%,5%)),"")</f>
        <v/>
      </c>
      <c r="E31" s="21">
        <f>IF(ISNUMBER(E5),IF(E$5&lt;1300,3%,IF(E$5&lt;1500,4%,5%)),"")</f>
        <v/>
      </c>
      <c r="F31" s="21">
        <f>IF(ISNUMBER(F5),IF(F$5&lt;1300,3%,IF(F$5&lt;1500,4%,5%)),"")</f>
        <v/>
      </c>
      <c r="G31" s="21">
        <f>IF(ISNUMBER(G5),IF(G$5&lt;1300,3%,IF(G$5&lt;1500,4%,5%)),"")</f>
        <v/>
      </c>
      <c r="H31" s="21">
        <f>IF(ISNUMBER(H5),IF(H$5&lt;1300,3%,IF(H$5&lt;1500,4%,5%)),"")</f>
        <v/>
      </c>
      <c r="I31" s="21">
        <f>IF(ISNUMBER(I5),IF(I$5&lt;1300,3%,IF(I$5&lt;1500,4%,5%)),"")</f>
        <v/>
      </c>
      <c r="J31" s="21">
        <f>IF(ISNUMBER(J5),IF(J$5&lt;1300,3%,IF(J$5&lt;1500,4%,5%)),"")</f>
        <v/>
      </c>
      <c r="K31" s="21">
        <f>IF(ISNUMBER(K5),IF(K$5&lt;1300,3%,IF(K$5&lt;1500,4%,5%)),"")</f>
        <v/>
      </c>
      <c r="L31" s="21">
        <f>IF(ISNUMBER(L5),IF(L$5&lt;1300,3%,IF(L$5&lt;1500,4%,5%)),"")</f>
        <v/>
      </c>
      <c r="M31" s="21">
        <f>IF(ISNUMBER(M5),IF(M$5&lt;1300,3%,IF(M$5&lt;1500,4%,5%)),"")</f>
        <v/>
      </c>
      <c r="N31" s="12" t="n"/>
      <c r="O31" s="12" t="n"/>
    </row>
    <row r="32">
      <c r="A32" s="2" t="inlineStr">
        <is>
          <t>Redevance minière</t>
        </is>
      </c>
      <c r="B32" s="3" t="inlineStr">
        <is>
          <t>USD</t>
        </is>
      </c>
      <c r="C32" s="10">
        <f>IF(ISNUMBER(C31),C$6*C$31,0)</f>
        <v/>
      </c>
      <c r="D32" s="10">
        <f>IF(ISNUMBER(D31),D$6*D$31,0)</f>
        <v/>
      </c>
      <c r="E32" s="10">
        <f>IF(ISNUMBER(E31),E$6*E$31,0)</f>
        <v/>
      </c>
      <c r="F32" s="10">
        <f>IF(ISNUMBER(F31),F$6*F$31,0)</f>
        <v/>
      </c>
      <c r="G32" s="10">
        <f>IF(ISNUMBER(G31),G$6*G$31,0)</f>
        <v/>
      </c>
      <c r="H32" s="10">
        <f>IF(ISNUMBER(H31),H$6*H$31,0)</f>
        <v/>
      </c>
      <c r="I32" s="10">
        <f>IF(ISNUMBER(I31),I$6*I$31,0)</f>
        <v/>
      </c>
      <c r="J32" s="10">
        <f>IF(ISNUMBER(J31),J$6*J$31,0)</f>
        <v/>
      </c>
      <c r="K32" s="10">
        <f>IF(ISNUMBER(K31),K$6*K$31,0)</f>
        <v/>
      </c>
      <c r="L32" s="10">
        <f>IF(ISNUMBER(L31),L$6*L$31,0)</f>
        <v/>
      </c>
      <c r="M32" s="10">
        <f>IF(ISNUMBER(M31),M$6*M$31,0)</f>
        <v/>
      </c>
      <c r="N32" s="10">
        <f>SUM($C32:$M32)</f>
        <v/>
      </c>
      <c r="O32" s="10">
        <f>$C32+NPV(10%,$D32:$M32)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cols>
    <col width="40.77734375" customWidth="1" min="1" max="1"/>
    <col width="10.77734375" customWidth="1" min="2" max="2"/>
    <col width="15.77734375" customWidth="1" min="3" max="3"/>
    <col width="10.77734375" customWidth="1" min="14" max="14"/>
  </cols>
  <sheetData>
    <row r="1">
      <c r="A1" s="1" t="inlineStr">
        <is>
          <t>Nom</t>
        </is>
      </c>
      <c r="B1" s="1" t="inlineStr">
        <is>
          <t>Unité</t>
        </is>
      </c>
      <c r="C1" s="1" t="inlineStr">
        <is>
          <t>Année 1</t>
        </is>
      </c>
      <c r="D1" s="1" t="inlineStr">
        <is>
          <t>Année 2</t>
        </is>
      </c>
      <c r="E1" s="1" t="inlineStr">
        <is>
          <t>Année 3</t>
        </is>
      </c>
      <c r="F1" s="1" t="inlineStr">
        <is>
          <t>Année 4</t>
        </is>
      </c>
      <c r="G1" s="1" t="inlineStr">
        <is>
          <t>Année 5</t>
        </is>
      </c>
      <c r="H1" s="1" t="inlineStr">
        <is>
          <t>Année 6</t>
        </is>
      </c>
      <c r="I1" s="1" t="inlineStr">
        <is>
          <t>Année 7</t>
        </is>
      </c>
      <c r="J1" s="1" t="inlineStr">
        <is>
          <t>Année 8</t>
        </is>
      </c>
      <c r="K1" s="1" t="inlineStr">
        <is>
          <t>Année 9</t>
        </is>
      </c>
      <c r="L1" s="1" t="inlineStr">
        <is>
          <t>Année 10</t>
        </is>
      </c>
      <c r="M1" s="1" t="inlineStr">
        <is>
          <t>Année 11</t>
        </is>
      </c>
    </row>
    <row r="2"/>
    <row r="3">
      <c r="A3" s="2" t="inlineStr">
        <is>
          <t>Durée restante maximum</t>
        </is>
      </c>
      <c r="B3" s="22" t="inlineStr">
        <is>
          <t>Années</t>
        </is>
      </c>
      <c r="C3" s="23" t="n">
        <v>11</v>
      </c>
      <c r="D3" s="23" t="n">
        <v>10</v>
      </c>
      <c r="E3" s="23" t="n">
        <v>9</v>
      </c>
      <c r="F3" s="23" t="n">
        <v>8</v>
      </c>
      <c r="G3" s="23" t="n">
        <v>7</v>
      </c>
      <c r="H3" s="23" t="n">
        <v>6</v>
      </c>
      <c r="I3" s="23" t="n">
        <v>5</v>
      </c>
      <c r="J3" s="23" t="n">
        <v>4</v>
      </c>
      <c r="K3" s="23" t="n">
        <v>3</v>
      </c>
      <c r="L3" s="23" t="n">
        <v>2</v>
      </c>
      <c r="M3" s="23" t="n">
        <v>1</v>
      </c>
    </row>
    <row r="4">
      <c r="A4" s="22" t="n"/>
      <c r="B4" s="22" t="n"/>
    </row>
    <row r="5">
      <c r="A5" s="5" t="inlineStr">
        <is>
          <t>I. AMORTISSEMENTS DES CONSTRUCTIONS INDUSTRIELLES</t>
        </is>
      </c>
      <c r="B5" s="24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</row>
    <row r="6">
      <c r="A6" s="2" t="inlineStr">
        <is>
          <t>Durée d'amortissement linéaire</t>
        </is>
      </c>
      <c r="B6" s="22" t="inlineStr">
        <is>
          <t>Années</t>
        </is>
      </c>
      <c r="C6" s="19" t="n">
        <v>10</v>
      </c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</row>
    <row r="7">
      <c r="A7" s="2" t="inlineStr">
        <is>
          <t>Coefficient d'amortissement dégressif</t>
        </is>
      </c>
      <c r="B7" s="22" t="inlineStr">
        <is>
          <t>Coefficient</t>
        </is>
      </c>
      <c r="C7" s="19" t="n">
        <v>1</v>
      </c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</row>
    <row r="8">
      <c r="A8" s="22" t="n"/>
      <c r="B8" s="22" t="n"/>
    </row>
    <row r="9">
      <c r="A9" s="2" t="inlineStr">
        <is>
          <t>Immobilisations de l'année A1</t>
        </is>
      </c>
      <c r="B9" s="22" t="n"/>
    </row>
    <row r="10">
      <c r="A10" s="22" t="inlineStr">
        <is>
          <t>Durée restante</t>
        </is>
      </c>
      <c r="B10" s="22" t="inlineStr">
        <is>
          <t>Années</t>
        </is>
      </c>
      <c r="C10" s="23">
        <f>IF($C$6&lt;C$3,$C$6,C$3)</f>
        <v/>
      </c>
      <c r="D10" s="8">
        <f>IF(C10=0,0,IF(C10-1&lt;D$3,C10-1,D$3))</f>
        <v/>
      </c>
      <c r="E10" s="8">
        <f>IF(D10=0,0,IF(D10-1&lt;E$3,D10-1,E$3))</f>
        <v/>
      </c>
      <c r="F10" s="8">
        <f>IF(E10=0,0,IF(E10-1&lt;F$3,E10-1,F$3))</f>
        <v/>
      </c>
      <c r="G10" s="8">
        <f>IF(F10=0,0,IF(F10-1&lt;G$3,F10-1,G$3))</f>
        <v/>
      </c>
      <c r="H10" s="8">
        <f>IF(G10=0,0,IF(G10-1&lt;H$3,G10-1,H$3))</f>
        <v/>
      </c>
      <c r="I10" s="8">
        <f>IF(H10=0,0,IF(H10-1&lt;I$3,H10-1,I$3))</f>
        <v/>
      </c>
      <c r="J10" s="8">
        <f>IF(I10=0,0,IF(I10-1&lt;J$3,I10-1,J$3))</f>
        <v/>
      </c>
      <c r="K10" s="8">
        <f>IF(J10=0,0,IF(J10-1&lt;K$3,J10-1,K$3))</f>
        <v/>
      </c>
      <c r="L10" s="8">
        <f>IF(K10=0,0,IF(K10-1&lt;L$3,K10-1,L$3))</f>
        <v/>
      </c>
      <c r="M10" s="8">
        <f>IF(L10=0,0,IF(L10-1&lt;M$3,L10-1,M$3))</f>
        <v/>
      </c>
    </row>
    <row r="11">
      <c r="A11" s="22" t="inlineStr">
        <is>
          <t>Base amortissable</t>
        </is>
      </c>
      <c r="B11" s="22" t="inlineStr">
        <is>
          <t>USD</t>
        </is>
      </c>
      <c r="C11" s="23">
        <f>Modèle!C$9</f>
        <v/>
      </c>
      <c r="D11" s="8">
        <f>C15</f>
        <v/>
      </c>
      <c r="E11" s="8">
        <f>D15</f>
        <v/>
      </c>
      <c r="F11" s="8">
        <f>E15</f>
        <v/>
      </c>
      <c r="G11" s="8">
        <f>F15</f>
        <v/>
      </c>
      <c r="H11" s="8">
        <f>G15</f>
        <v/>
      </c>
      <c r="I11" s="8">
        <f>H15</f>
        <v/>
      </c>
      <c r="J11" s="8">
        <f>I15</f>
        <v/>
      </c>
      <c r="K11" s="8">
        <f>J15</f>
        <v/>
      </c>
      <c r="L11" s="8">
        <f>K15</f>
        <v/>
      </c>
      <c r="M11" s="8">
        <f>L15</f>
        <v/>
      </c>
    </row>
    <row r="12">
      <c r="A12" s="22" t="inlineStr">
        <is>
          <t>Inverse de la durée restante</t>
        </is>
      </c>
      <c r="B12" s="22" t="inlineStr">
        <is>
          <t>%</t>
        </is>
      </c>
      <c r="C12" s="27">
        <f>IF(C10=0,0,1/C10)</f>
        <v/>
      </c>
      <c r="D12" s="27">
        <f>IF(D10=0,0,1/D10)</f>
        <v/>
      </c>
      <c r="E12" s="27">
        <f>IF(E10=0,0,1/E10)</f>
        <v/>
      </c>
      <c r="F12" s="27">
        <f>IF(F10=0,0,1/F10)</f>
        <v/>
      </c>
      <c r="G12" s="27">
        <f>IF(G10=0,0,1/G10)</f>
        <v/>
      </c>
      <c r="H12" s="27">
        <f>IF(H10=0,0,1/H10)</f>
        <v/>
      </c>
      <c r="I12" s="27">
        <f>IF(I10=0,0,1/I10)</f>
        <v/>
      </c>
      <c r="J12" s="27">
        <f>IF(J10=0,0,1/J10)</f>
        <v/>
      </c>
      <c r="K12" s="27">
        <f>IF(K10=0,0,1/K10)</f>
        <v/>
      </c>
      <c r="L12" s="27">
        <f>IF(L10=0,0,1/L10)</f>
        <v/>
      </c>
      <c r="M12" s="27">
        <f>IF(M10=0,0,1/M10)</f>
        <v/>
      </c>
    </row>
    <row r="13">
      <c r="A13" s="22" t="inlineStr">
        <is>
          <t>Taux dégressif</t>
        </is>
      </c>
      <c r="B13" s="22" t="inlineStr">
        <is>
          <t>%</t>
        </is>
      </c>
      <c r="C13" s="27">
        <f>IF(C10=0,0,IF($C$7*1/$C$6&gt;C12,$C$7*1/$C$6,C12))</f>
        <v/>
      </c>
      <c r="D13" s="27">
        <f>IF(D10=0,0,IF($C$7*1/$C$6&gt;D12,$C$7*1/$C$6,D12))</f>
        <v/>
      </c>
      <c r="E13" s="27">
        <f>IF(E10=0,0,IF($C$7*1/$C$6&gt;E12,$C$7*1/$C$6,E12))</f>
        <v/>
      </c>
      <c r="F13" s="27">
        <f>IF(F10=0,0,IF($C$7*1/$C$6&gt;F12,$C$7*1/$C$6,F12))</f>
        <v/>
      </c>
      <c r="G13" s="27">
        <f>IF(G10=0,0,IF($C$7*1/$C$6&gt;G12,$C$7*1/$C$6,G12))</f>
        <v/>
      </c>
      <c r="H13" s="27">
        <f>IF(H10=0,0,IF($C$7*1/$C$6&gt;H12,$C$7*1/$C$6,H12))</f>
        <v/>
      </c>
      <c r="I13" s="27">
        <f>IF(I10=0,0,IF($C$7*1/$C$6&gt;I12,$C$7*1/$C$6,I12))</f>
        <v/>
      </c>
      <c r="J13" s="27">
        <f>IF(J10=0,0,IF($C$7*1/$C$6&gt;J12,$C$7*1/$C$6,J12))</f>
        <v/>
      </c>
      <c r="K13" s="27">
        <f>IF(K10=0,0,IF($C$7*1/$C$6&gt;K12,$C$7*1/$C$6,K12))</f>
        <v/>
      </c>
      <c r="L13" s="27">
        <f>IF(L10=0,0,IF($C$7*1/$C$6&gt;L12,$C$7*1/$C$6,L12))</f>
        <v/>
      </c>
      <c r="M13" s="27">
        <f>IF(M10=0,0,IF($C$7*1/$C$6&gt;M12,$C$7*1/$C$6,M12))</f>
        <v/>
      </c>
    </row>
    <row r="14">
      <c r="A14" s="22" t="inlineStr">
        <is>
          <t>Charge d'amortissement</t>
        </is>
      </c>
      <c r="B14" s="22" t="inlineStr">
        <is>
          <t>USD</t>
        </is>
      </c>
      <c r="C14" s="8">
        <f>C11*C13</f>
        <v/>
      </c>
      <c r="D14" s="8">
        <f>D11*D13</f>
        <v/>
      </c>
      <c r="E14" s="8">
        <f>E11*E13</f>
        <v/>
      </c>
      <c r="F14" s="8">
        <f>F11*F13</f>
        <v/>
      </c>
      <c r="G14" s="8">
        <f>G11*G13</f>
        <v/>
      </c>
      <c r="H14" s="8">
        <f>H11*H13</f>
        <v/>
      </c>
      <c r="I14" s="8">
        <f>I11*I13</f>
        <v/>
      </c>
      <c r="J14" s="8">
        <f>J11*J13</f>
        <v/>
      </c>
      <c r="K14" s="8">
        <f>K11*K13</f>
        <v/>
      </c>
      <c r="L14" s="8">
        <f>L11*L13</f>
        <v/>
      </c>
      <c r="M14" s="8">
        <f>M11*M13</f>
        <v/>
      </c>
    </row>
    <row r="15">
      <c r="A15" s="22" t="inlineStr">
        <is>
          <t>Amortissement restant</t>
        </is>
      </c>
      <c r="B15" s="22" t="inlineStr">
        <is>
          <t>USD</t>
        </is>
      </c>
      <c r="C15" s="8">
        <f>C11-C14</f>
        <v/>
      </c>
      <c r="D15" s="8">
        <f>D11-D14</f>
        <v/>
      </c>
      <c r="E15" s="8">
        <f>E11-E14</f>
        <v/>
      </c>
      <c r="F15" s="8">
        <f>F11-F14</f>
        <v/>
      </c>
      <c r="G15" s="8">
        <f>G11-G14</f>
        <v/>
      </c>
      <c r="H15" s="8">
        <f>H11-H14</f>
        <v/>
      </c>
      <c r="I15" s="8">
        <f>I11-I14</f>
        <v/>
      </c>
      <c r="J15" s="8">
        <f>J11-J14</f>
        <v/>
      </c>
      <c r="K15" s="8">
        <f>K11-K14</f>
        <v/>
      </c>
      <c r="L15" s="8">
        <f>L11-L14</f>
        <v/>
      </c>
      <c r="M15" s="8">
        <f>M11-M14</f>
        <v/>
      </c>
    </row>
    <row r="16">
      <c r="A16" s="22" t="n"/>
      <c r="B16" s="22" t="n"/>
    </row>
    <row r="17">
      <c r="A17" s="2" t="inlineStr">
        <is>
          <t>Immobilisations de l'année A2</t>
        </is>
      </c>
      <c r="B17" s="22" t="n"/>
    </row>
    <row r="18">
      <c r="A18" s="22" t="inlineStr">
        <is>
          <t>Durée restante</t>
        </is>
      </c>
      <c r="B18" s="22" t="inlineStr">
        <is>
          <t>Années</t>
        </is>
      </c>
      <c r="D18" s="23">
        <f>IF($C$6&lt;D$3,$C$6,D$3)</f>
        <v/>
      </c>
      <c r="E18" s="8">
        <f>IF(D18=0,0,IF(D18-1&lt;E$3,D18-1,E$3))</f>
        <v/>
      </c>
      <c r="F18" s="8">
        <f>IF(E18=0,0,IF(E18-1&lt;F$3,E18-1,F$3))</f>
        <v/>
      </c>
      <c r="G18" s="8">
        <f>IF(F18=0,0,IF(F18-1&lt;G$3,F18-1,G$3))</f>
        <v/>
      </c>
      <c r="H18" s="8">
        <f>IF(G18=0,0,IF(G18-1&lt;H$3,G18-1,H$3))</f>
        <v/>
      </c>
      <c r="I18" s="8">
        <f>IF(H18=0,0,IF(H18-1&lt;I$3,H18-1,I$3))</f>
        <v/>
      </c>
      <c r="J18" s="8">
        <f>IF(I18=0,0,IF(I18-1&lt;J$3,I18-1,J$3))</f>
        <v/>
      </c>
      <c r="K18" s="8">
        <f>IF(J18=0,0,IF(J18-1&lt;K$3,J18-1,K$3))</f>
        <v/>
      </c>
      <c r="L18" s="8">
        <f>IF(K18=0,0,IF(K18-1&lt;L$3,K18-1,L$3))</f>
        <v/>
      </c>
      <c r="M18" s="8">
        <f>IF(L18=0,0,IF(L18-1&lt;M$3,L18-1,M$3))</f>
        <v/>
      </c>
    </row>
    <row r="19">
      <c r="A19" s="22" t="inlineStr">
        <is>
          <t>Base amortissable</t>
        </is>
      </c>
      <c r="B19" s="22" t="inlineStr">
        <is>
          <t>USD</t>
        </is>
      </c>
      <c r="D19" s="23">
        <f>Modèle!D$9</f>
        <v/>
      </c>
      <c r="E19" s="8">
        <f>D23</f>
        <v/>
      </c>
      <c r="F19" s="8">
        <f>E23</f>
        <v/>
      </c>
      <c r="G19" s="8">
        <f>F23</f>
        <v/>
      </c>
      <c r="H19" s="8">
        <f>G23</f>
        <v/>
      </c>
      <c r="I19" s="8">
        <f>H23</f>
        <v/>
      </c>
      <c r="J19" s="8">
        <f>I23</f>
        <v/>
      </c>
      <c r="K19" s="8">
        <f>J23</f>
        <v/>
      </c>
      <c r="L19" s="8">
        <f>K23</f>
        <v/>
      </c>
      <c r="M19" s="8">
        <f>L23</f>
        <v/>
      </c>
    </row>
    <row r="20">
      <c r="A20" s="22" t="inlineStr">
        <is>
          <t>Inverse de la durée restante</t>
        </is>
      </c>
      <c r="B20" s="22" t="inlineStr">
        <is>
          <t>%</t>
        </is>
      </c>
      <c r="D20" s="27">
        <f>IF(D18=0,0,1/D18)</f>
        <v/>
      </c>
      <c r="E20" s="27">
        <f>IF(E18=0,0,1/E18)</f>
        <v/>
      </c>
      <c r="F20" s="27">
        <f>IF(F18=0,0,1/F18)</f>
        <v/>
      </c>
      <c r="G20" s="27">
        <f>IF(G18=0,0,1/G18)</f>
        <v/>
      </c>
      <c r="H20" s="27">
        <f>IF(H18=0,0,1/H18)</f>
        <v/>
      </c>
      <c r="I20" s="27">
        <f>IF(I18=0,0,1/I18)</f>
        <v/>
      </c>
      <c r="J20" s="27">
        <f>IF(J18=0,0,1/J18)</f>
        <v/>
      </c>
      <c r="K20" s="27">
        <f>IF(K18=0,0,1/K18)</f>
        <v/>
      </c>
      <c r="L20" s="27">
        <f>IF(L18=0,0,1/L18)</f>
        <v/>
      </c>
      <c r="M20" s="27">
        <f>IF(M18=0,0,1/M18)</f>
        <v/>
      </c>
    </row>
    <row r="21">
      <c r="A21" s="22" t="inlineStr">
        <is>
          <t>Taux dégressif</t>
        </is>
      </c>
      <c r="B21" s="22" t="inlineStr">
        <is>
          <t>%</t>
        </is>
      </c>
      <c r="D21" s="27">
        <f>IF(D18=0,0,IF($C$7*1/$C$6&gt;D20,$C$7*1/$C$6,D20))</f>
        <v/>
      </c>
      <c r="E21" s="27">
        <f>IF(E18=0,0,IF($C$7*1/$C$6&gt;E20,$C$7*1/$C$6,E20))</f>
        <v/>
      </c>
      <c r="F21" s="27">
        <f>IF(F18=0,0,IF($C$7*1/$C$6&gt;F20,$C$7*1/$C$6,F20))</f>
        <v/>
      </c>
      <c r="G21" s="27">
        <f>IF(G18=0,0,IF($C$7*1/$C$6&gt;G20,$C$7*1/$C$6,G20))</f>
        <v/>
      </c>
      <c r="H21" s="27">
        <f>IF(H18=0,0,IF($C$7*1/$C$6&gt;H20,$C$7*1/$C$6,H20))</f>
        <v/>
      </c>
      <c r="I21" s="27">
        <f>IF(I18=0,0,IF($C$7*1/$C$6&gt;I20,$C$7*1/$C$6,I20))</f>
        <v/>
      </c>
      <c r="J21" s="27">
        <f>IF(J18=0,0,IF($C$7*1/$C$6&gt;J20,$C$7*1/$C$6,J20))</f>
        <v/>
      </c>
      <c r="K21" s="27">
        <f>IF(K18=0,0,IF($C$7*1/$C$6&gt;K20,$C$7*1/$C$6,K20))</f>
        <v/>
      </c>
      <c r="L21" s="27">
        <f>IF(L18=0,0,IF($C$7*1/$C$6&gt;L20,$C$7*1/$C$6,L20))</f>
        <v/>
      </c>
      <c r="M21" s="27">
        <f>IF(M18=0,0,IF($C$7*1/$C$6&gt;M20,$C$7*1/$C$6,M20))</f>
        <v/>
      </c>
    </row>
    <row r="22">
      <c r="A22" s="22" t="inlineStr">
        <is>
          <t>Charge d'amortissement</t>
        </is>
      </c>
      <c r="B22" s="22" t="inlineStr">
        <is>
          <t>USD</t>
        </is>
      </c>
      <c r="D22" s="8">
        <f>D19*D21</f>
        <v/>
      </c>
      <c r="E22" s="8">
        <f>E19*E21</f>
        <v/>
      </c>
      <c r="F22" s="8">
        <f>F19*F21</f>
        <v/>
      </c>
      <c r="G22" s="8">
        <f>G19*G21</f>
        <v/>
      </c>
      <c r="H22" s="8">
        <f>H19*H21</f>
        <v/>
      </c>
      <c r="I22" s="8">
        <f>I19*I21</f>
        <v/>
      </c>
      <c r="J22" s="8">
        <f>J19*J21</f>
        <v/>
      </c>
      <c r="K22" s="8">
        <f>K19*K21</f>
        <v/>
      </c>
      <c r="L22" s="8">
        <f>L19*L21</f>
        <v/>
      </c>
      <c r="M22" s="8">
        <f>M19*M21</f>
        <v/>
      </c>
    </row>
    <row r="23">
      <c r="A23" s="22" t="inlineStr">
        <is>
          <t>Amortissement restant</t>
        </is>
      </c>
      <c r="B23" s="22" t="inlineStr">
        <is>
          <t>USD</t>
        </is>
      </c>
      <c r="D23" s="8">
        <f>D19-D22</f>
        <v/>
      </c>
      <c r="E23" s="8">
        <f>E19-E22</f>
        <v/>
      </c>
      <c r="F23" s="8">
        <f>F19-F22</f>
        <v/>
      </c>
      <c r="G23" s="8">
        <f>G19-G22</f>
        <v/>
      </c>
      <c r="H23" s="8">
        <f>H19-H22</f>
        <v/>
      </c>
      <c r="I23" s="8">
        <f>I19-I22</f>
        <v/>
      </c>
      <c r="J23" s="8">
        <f>J19-J22</f>
        <v/>
      </c>
      <c r="K23" s="8">
        <f>K19-K22</f>
        <v/>
      </c>
      <c r="L23" s="8">
        <f>L19-L22</f>
        <v/>
      </c>
      <c r="M23" s="8">
        <f>M19-M22</f>
        <v/>
      </c>
    </row>
    <row r="24">
      <c r="A24" s="22" t="n"/>
      <c r="B24" s="22" t="n"/>
    </row>
    <row r="25">
      <c r="A25" s="2" t="inlineStr">
        <is>
          <t>Amortissements des constructions industrielles</t>
        </is>
      </c>
      <c r="B25" s="22" t="inlineStr">
        <is>
          <t>USD</t>
        </is>
      </c>
      <c r="C25" s="8">
        <f>C$14+C$22</f>
        <v/>
      </c>
      <c r="D25" s="8">
        <f>D$14+D$22</f>
        <v/>
      </c>
      <c r="E25" s="8">
        <f>E$14+E$22</f>
        <v/>
      </c>
      <c r="F25" s="8">
        <f>F$14+F$22</f>
        <v/>
      </c>
      <c r="G25" s="8">
        <f>G$14+G$22</f>
        <v/>
      </c>
      <c r="H25" s="8">
        <f>H$14+H$22</f>
        <v/>
      </c>
      <c r="I25" s="8">
        <f>I$14+I$22</f>
        <v/>
      </c>
      <c r="J25" s="8">
        <f>J$14+J$22</f>
        <v/>
      </c>
      <c r="K25" s="8">
        <f>K$14+K$22</f>
        <v/>
      </c>
      <c r="L25" s="8">
        <f>L$14+L$22</f>
        <v/>
      </c>
      <c r="M25" s="8">
        <f>M$14+M$22</f>
        <v/>
      </c>
    </row>
    <row r="26">
      <c r="A26" s="22" t="n"/>
      <c r="B26" s="22" t="n"/>
    </row>
    <row r="27">
      <c r="A27" s="5" t="inlineStr">
        <is>
          <t>II. AMORTISSEMENTS DES BIENS D'EQUIPEMENT</t>
        </is>
      </c>
      <c r="B27" s="24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</row>
    <row r="28">
      <c r="A28" s="2" t="inlineStr">
        <is>
          <t>Durée d'amortissement linéaire</t>
        </is>
      </c>
      <c r="B28" s="22" t="inlineStr">
        <is>
          <t>Années</t>
        </is>
      </c>
      <c r="C28" s="19" t="n">
        <v>5</v>
      </c>
    </row>
    <row r="29">
      <c r="A29" s="2" t="inlineStr">
        <is>
          <t>Coefficient d'amortissement dégressif</t>
        </is>
      </c>
      <c r="B29" s="22" t="inlineStr">
        <is>
          <t>Coefficient</t>
        </is>
      </c>
      <c r="C29" s="19" t="n">
        <v>2</v>
      </c>
    </row>
    <row r="30">
      <c r="A30" s="22" t="n"/>
      <c r="B30" s="22" t="n"/>
    </row>
    <row r="31">
      <c r="A31" s="2" t="inlineStr">
        <is>
          <t>Immobilisations de l'année A1</t>
        </is>
      </c>
      <c r="B31" s="22" t="n"/>
    </row>
    <row r="32">
      <c r="A32" s="22" t="inlineStr">
        <is>
          <t>Durée restante</t>
        </is>
      </c>
      <c r="B32" s="22" t="inlineStr">
        <is>
          <t>Années</t>
        </is>
      </c>
      <c r="C32" s="23">
        <f>IF($C$28&lt;C$3,$C$28,C$3)</f>
        <v/>
      </c>
      <c r="D32" s="8">
        <f>IF(C32=0,0,IF(C32-1&lt;D$3,C32-1,D$3))</f>
        <v/>
      </c>
      <c r="E32" s="8">
        <f>IF(D32=0,0,IF(D32-1&lt;E$3,D32-1,E$3))</f>
        <v/>
      </c>
      <c r="F32" s="8">
        <f>IF(E32=0,0,IF(E32-1&lt;F$3,E32-1,F$3))</f>
        <v/>
      </c>
      <c r="G32" s="8">
        <f>IF(F32=0,0,IF(F32-1&lt;G$3,F32-1,G$3))</f>
        <v/>
      </c>
      <c r="H32" s="8">
        <f>IF(G32=0,0,IF(G32-1&lt;H$3,G32-1,H$3))</f>
        <v/>
      </c>
      <c r="I32" s="8">
        <f>IF(H32=0,0,IF(H32-1&lt;I$3,H32-1,I$3))</f>
        <v/>
      </c>
      <c r="J32" s="8">
        <f>IF(I32=0,0,IF(I32-1&lt;J$3,I32-1,J$3))</f>
        <v/>
      </c>
      <c r="K32" s="8">
        <f>IF(J32=0,0,IF(J32-1&lt;K$3,J32-1,K$3))</f>
        <v/>
      </c>
      <c r="L32" s="8">
        <f>IF(K32=0,0,IF(K32-1&lt;L$3,K32-1,L$3))</f>
        <v/>
      </c>
      <c r="M32" s="8">
        <f>IF(L32=0,0,IF(L32-1&lt;M$3,L32-1,M$3))</f>
        <v/>
      </c>
    </row>
    <row r="33">
      <c r="A33" s="22" t="inlineStr">
        <is>
          <t>Base amortissable</t>
        </is>
      </c>
      <c r="B33" s="22" t="inlineStr">
        <is>
          <t>USD</t>
        </is>
      </c>
      <c r="C33" s="23">
        <f>Modèle!C$10</f>
        <v/>
      </c>
      <c r="D33" s="8">
        <f>C37</f>
        <v/>
      </c>
      <c r="E33" s="8">
        <f>D37</f>
        <v/>
      </c>
      <c r="F33" s="8">
        <f>E37</f>
        <v/>
      </c>
      <c r="G33" s="8">
        <f>F37</f>
        <v/>
      </c>
      <c r="H33" s="8">
        <f>G37</f>
        <v/>
      </c>
      <c r="I33" s="8">
        <f>H37</f>
        <v/>
      </c>
      <c r="J33" s="8">
        <f>I37</f>
        <v/>
      </c>
      <c r="K33" s="8">
        <f>J37</f>
        <v/>
      </c>
      <c r="L33" s="8">
        <f>K37</f>
        <v/>
      </c>
      <c r="M33" s="8">
        <f>L37</f>
        <v/>
      </c>
    </row>
    <row r="34">
      <c r="A34" s="22" t="inlineStr">
        <is>
          <t>Inverse de la durée restante</t>
        </is>
      </c>
      <c r="B34" s="22" t="inlineStr">
        <is>
          <t>%</t>
        </is>
      </c>
      <c r="C34" s="27">
        <f>IF(C32=0,0,1/C32)</f>
        <v/>
      </c>
      <c r="D34" s="27">
        <f>IF(D32=0,0,1/D32)</f>
        <v/>
      </c>
      <c r="E34" s="27">
        <f>IF(E32=0,0,1/E32)</f>
        <v/>
      </c>
      <c r="F34" s="27">
        <f>IF(F32=0,0,1/F32)</f>
        <v/>
      </c>
      <c r="G34" s="27">
        <f>IF(G32=0,0,1/G32)</f>
        <v/>
      </c>
      <c r="H34" s="27">
        <f>IF(H32=0,0,1/H32)</f>
        <v/>
      </c>
      <c r="I34" s="27">
        <f>IF(I32=0,0,1/I32)</f>
        <v/>
      </c>
      <c r="J34" s="27">
        <f>IF(J32=0,0,1/J32)</f>
        <v/>
      </c>
      <c r="K34" s="27">
        <f>IF(K32=0,0,1/K32)</f>
        <v/>
      </c>
      <c r="L34" s="27">
        <f>IF(L32=0,0,1/L32)</f>
        <v/>
      </c>
      <c r="M34" s="27">
        <f>IF(M32=0,0,1/M32)</f>
        <v/>
      </c>
    </row>
    <row r="35">
      <c r="A35" s="22" t="inlineStr">
        <is>
          <t>Taux dégressif</t>
        </is>
      </c>
      <c r="B35" s="22" t="inlineStr">
        <is>
          <t>%</t>
        </is>
      </c>
      <c r="C35" s="27">
        <f>IF(C32=0,0,IF($C$29*1/$C$28&gt;C34,$C$29*1/$C$28,C34))</f>
        <v/>
      </c>
      <c r="D35" s="27">
        <f>IF(D32=0,0,IF($C$29*1/$C$28&gt;D34,$C$29*1/$C$28,D34))</f>
        <v/>
      </c>
      <c r="E35" s="27">
        <f>IF(E32=0,0,IF($C$29*1/$C$28&gt;E34,$C$29*1/$C$28,E34))</f>
        <v/>
      </c>
      <c r="F35" s="27">
        <f>IF(F32=0,0,IF($C$29*1/$C$28&gt;F34,$C$29*1/$C$28,F34))</f>
        <v/>
      </c>
      <c r="G35" s="27">
        <f>IF(G32=0,0,IF($C$29*1/$C$28&gt;G34,$C$29*1/$C$28,G34))</f>
        <v/>
      </c>
      <c r="H35" s="27">
        <f>IF(H32=0,0,IF($C$29*1/$C$28&gt;H34,$C$29*1/$C$28,H34))</f>
        <v/>
      </c>
      <c r="I35" s="27">
        <f>IF(I32=0,0,IF($C$29*1/$C$28&gt;I34,$C$29*1/$C$28,I34))</f>
        <v/>
      </c>
      <c r="J35" s="27">
        <f>IF(J32=0,0,IF($C$29*1/$C$28&gt;J34,$C$29*1/$C$28,J34))</f>
        <v/>
      </c>
      <c r="K35" s="27">
        <f>IF(K32=0,0,IF($C$29*1/$C$28&gt;K34,$C$29*1/$C$28,K34))</f>
        <v/>
      </c>
      <c r="L35" s="27">
        <f>IF(L32=0,0,IF($C$29*1/$C$28&gt;L34,$C$29*1/$C$28,L34))</f>
        <v/>
      </c>
      <c r="M35" s="27">
        <f>IF(M32=0,0,IF($C$29*1/$C$28&gt;M34,$C$29*1/$C$28,M34))</f>
        <v/>
      </c>
    </row>
    <row r="36">
      <c r="A36" s="22" t="inlineStr">
        <is>
          <t>Charge d'amortissement</t>
        </is>
      </c>
      <c r="B36" s="22" t="inlineStr">
        <is>
          <t>USD</t>
        </is>
      </c>
      <c r="C36" s="8">
        <f>C33*C35</f>
        <v/>
      </c>
      <c r="D36" s="8">
        <f>D33*D35</f>
        <v/>
      </c>
      <c r="E36" s="8">
        <f>E33*E35</f>
        <v/>
      </c>
      <c r="F36" s="8">
        <f>F33*F35</f>
        <v/>
      </c>
      <c r="G36" s="8">
        <f>G33*G35</f>
        <v/>
      </c>
      <c r="H36" s="8">
        <f>H33*H35</f>
        <v/>
      </c>
      <c r="I36" s="8">
        <f>I33*I35</f>
        <v/>
      </c>
      <c r="J36" s="8">
        <f>J33*J35</f>
        <v/>
      </c>
      <c r="K36" s="8">
        <f>K33*K35</f>
        <v/>
      </c>
      <c r="L36" s="8">
        <f>L33*L35</f>
        <v/>
      </c>
      <c r="M36" s="8">
        <f>M33*M35</f>
        <v/>
      </c>
    </row>
    <row r="37">
      <c r="A37" s="22" t="inlineStr">
        <is>
          <t>Amortissement restant</t>
        </is>
      </c>
      <c r="B37" s="22" t="inlineStr">
        <is>
          <t>USD</t>
        </is>
      </c>
      <c r="C37" s="8">
        <f>C33-C36</f>
        <v/>
      </c>
      <c r="D37" s="8">
        <f>D33-D36</f>
        <v/>
      </c>
      <c r="E37" s="8">
        <f>E33-E36</f>
        <v/>
      </c>
      <c r="F37" s="8">
        <f>F33-F36</f>
        <v/>
      </c>
      <c r="G37" s="8">
        <f>G33-G36</f>
        <v/>
      </c>
      <c r="H37" s="8">
        <f>H33-H36</f>
        <v/>
      </c>
      <c r="I37" s="8">
        <f>I33-I36</f>
        <v/>
      </c>
      <c r="J37" s="8">
        <f>J33-J36</f>
        <v/>
      </c>
      <c r="K37" s="8">
        <f>K33-K36</f>
        <v/>
      </c>
      <c r="L37" s="8">
        <f>L33-L36</f>
        <v/>
      </c>
      <c r="M37" s="8">
        <f>M33-M36</f>
        <v/>
      </c>
    </row>
    <row r="38">
      <c r="A38" s="22" t="n"/>
      <c r="B38" s="22" t="n"/>
    </row>
    <row r="39">
      <c r="A39" s="2" t="inlineStr">
        <is>
          <t>Immobilisations de l'année A2</t>
        </is>
      </c>
      <c r="B39" s="22" t="n"/>
    </row>
    <row r="40">
      <c r="A40" s="22" t="inlineStr">
        <is>
          <t>Durée restante</t>
        </is>
      </c>
      <c r="B40" s="22" t="inlineStr">
        <is>
          <t>Années</t>
        </is>
      </c>
      <c r="D40" s="23">
        <f>IF($C$28&lt;D$3,$C$28,D$3)</f>
        <v/>
      </c>
      <c r="E40" s="8">
        <f>IF(D40=0,0,IF(D40-1&lt;E$3,D40-1,E$3))</f>
        <v/>
      </c>
      <c r="F40" s="8">
        <f>IF(E40=0,0,IF(E40-1&lt;F$3,E40-1,F$3))</f>
        <v/>
      </c>
      <c r="G40" s="8">
        <f>IF(F40=0,0,IF(F40-1&lt;G$3,F40-1,G$3))</f>
        <v/>
      </c>
      <c r="H40" s="8">
        <f>IF(G40=0,0,IF(G40-1&lt;H$3,G40-1,H$3))</f>
        <v/>
      </c>
      <c r="I40" s="8">
        <f>IF(H40=0,0,IF(H40-1&lt;I$3,H40-1,I$3))</f>
        <v/>
      </c>
      <c r="J40" s="8">
        <f>IF(I40=0,0,IF(I40-1&lt;J$3,I40-1,J$3))</f>
        <v/>
      </c>
      <c r="K40" s="8">
        <f>IF(J40=0,0,IF(J40-1&lt;K$3,J40-1,K$3))</f>
        <v/>
      </c>
      <c r="L40" s="8">
        <f>IF(K40=0,0,IF(K40-1&lt;L$3,K40-1,L$3))</f>
        <v/>
      </c>
      <c r="M40" s="8">
        <f>IF(L40=0,0,IF(L40-1&lt;M$3,L40-1,M$3))</f>
        <v/>
      </c>
    </row>
    <row r="41">
      <c r="A41" s="22" t="inlineStr">
        <is>
          <t>Base amortissable</t>
        </is>
      </c>
      <c r="B41" s="22" t="inlineStr">
        <is>
          <t>USD</t>
        </is>
      </c>
      <c r="D41" s="23">
        <f>Modèle!D$10</f>
        <v/>
      </c>
      <c r="E41" s="8">
        <f>D45</f>
        <v/>
      </c>
      <c r="F41" s="8">
        <f>E45</f>
        <v/>
      </c>
      <c r="G41" s="8">
        <f>F45</f>
        <v/>
      </c>
      <c r="H41" s="8">
        <f>G45</f>
        <v/>
      </c>
      <c r="I41" s="8">
        <f>H45</f>
        <v/>
      </c>
      <c r="J41" s="8">
        <f>I45</f>
        <v/>
      </c>
      <c r="K41" s="8">
        <f>J45</f>
        <v/>
      </c>
      <c r="L41" s="8">
        <f>K45</f>
        <v/>
      </c>
      <c r="M41" s="8">
        <f>L45</f>
        <v/>
      </c>
    </row>
    <row r="42">
      <c r="A42" s="22" t="inlineStr">
        <is>
          <t>Inverse de la durée restante</t>
        </is>
      </c>
      <c r="B42" s="22" t="inlineStr">
        <is>
          <t>%</t>
        </is>
      </c>
      <c r="D42" s="27">
        <f>IF(D40=0,0,1/D40)</f>
        <v/>
      </c>
      <c r="E42" s="27">
        <f>IF(E40=0,0,1/E40)</f>
        <v/>
      </c>
      <c r="F42" s="27">
        <f>IF(F40=0,0,1/F40)</f>
        <v/>
      </c>
      <c r="G42" s="27">
        <f>IF(G40=0,0,1/G40)</f>
        <v/>
      </c>
      <c r="H42" s="27">
        <f>IF(H40=0,0,1/H40)</f>
        <v/>
      </c>
      <c r="I42" s="27">
        <f>IF(I40=0,0,1/I40)</f>
        <v/>
      </c>
      <c r="J42" s="27">
        <f>IF(J40=0,0,1/J40)</f>
        <v/>
      </c>
      <c r="K42" s="27">
        <f>IF(K40=0,0,1/K40)</f>
        <v/>
      </c>
      <c r="L42" s="27">
        <f>IF(L40=0,0,1/L40)</f>
        <v/>
      </c>
      <c r="M42" s="27">
        <f>IF(M40=0,0,1/M40)</f>
        <v/>
      </c>
    </row>
    <row r="43">
      <c r="A43" s="22" t="inlineStr">
        <is>
          <t>Taux dégressif</t>
        </is>
      </c>
      <c r="B43" s="22" t="inlineStr">
        <is>
          <t>%</t>
        </is>
      </c>
      <c r="D43" s="27">
        <f>IF(D40=0,0,IF($C$29*1/$C$28&gt;D42,$C$29*1/$C$28,D42))</f>
        <v/>
      </c>
      <c r="E43" s="27">
        <f>IF(E40=0,0,IF($C$29*1/$C$28&gt;E42,$C$29*1/$C$28,E42))</f>
        <v/>
      </c>
      <c r="F43" s="27">
        <f>IF(F40=0,0,IF($C$29*1/$C$28&gt;F42,$C$29*1/$C$28,F42))</f>
        <v/>
      </c>
      <c r="G43" s="27">
        <f>IF(G40=0,0,IF($C$29*1/$C$28&gt;G42,$C$29*1/$C$28,G42))</f>
        <v/>
      </c>
      <c r="H43" s="27">
        <f>IF(H40=0,0,IF($C$29*1/$C$28&gt;H42,$C$29*1/$C$28,H42))</f>
        <v/>
      </c>
      <c r="I43" s="27">
        <f>IF(I40=0,0,IF($C$29*1/$C$28&gt;I42,$C$29*1/$C$28,I42))</f>
        <v/>
      </c>
      <c r="J43" s="27">
        <f>IF(J40=0,0,IF($C$29*1/$C$28&gt;J42,$C$29*1/$C$28,J42))</f>
        <v/>
      </c>
      <c r="K43" s="27">
        <f>IF(K40=0,0,IF($C$29*1/$C$28&gt;K42,$C$29*1/$C$28,K42))</f>
        <v/>
      </c>
      <c r="L43" s="27">
        <f>IF(L40=0,0,IF($C$29*1/$C$28&gt;L42,$C$29*1/$C$28,L42))</f>
        <v/>
      </c>
      <c r="M43" s="27">
        <f>IF(M40=0,0,IF($C$29*1/$C$28&gt;M42,$C$29*1/$C$28,M42))</f>
        <v/>
      </c>
    </row>
    <row r="44">
      <c r="A44" s="22" t="inlineStr">
        <is>
          <t>Charge d'amortissement</t>
        </is>
      </c>
      <c r="B44" s="22" t="inlineStr">
        <is>
          <t>USD</t>
        </is>
      </c>
      <c r="D44" s="8">
        <f>D41*D43</f>
        <v/>
      </c>
      <c r="E44" s="8">
        <f>E41*E43</f>
        <v/>
      </c>
      <c r="F44" s="8">
        <f>F41*F43</f>
        <v/>
      </c>
      <c r="G44" s="8">
        <f>G41*G43</f>
        <v/>
      </c>
      <c r="H44" s="8">
        <f>H41*H43</f>
        <v/>
      </c>
      <c r="I44" s="8">
        <f>I41*I43</f>
        <v/>
      </c>
      <c r="J44" s="8">
        <f>J41*J43</f>
        <v/>
      </c>
      <c r="K44" s="8">
        <f>K41*K43</f>
        <v/>
      </c>
      <c r="L44" s="8">
        <f>L41*L43</f>
        <v/>
      </c>
      <c r="M44" s="8">
        <f>M41*M43</f>
        <v/>
      </c>
    </row>
    <row r="45">
      <c r="A45" s="22" t="inlineStr">
        <is>
          <t>Amortissement restant</t>
        </is>
      </c>
      <c r="B45" s="22" t="inlineStr">
        <is>
          <t>USD</t>
        </is>
      </c>
      <c r="D45" s="8">
        <f>D41-D44</f>
        <v/>
      </c>
      <c r="E45" s="8">
        <f>E41-E44</f>
        <v/>
      </c>
      <c r="F45" s="8">
        <f>F41-F44</f>
        <v/>
      </c>
      <c r="G45" s="8">
        <f>G41-G44</f>
        <v/>
      </c>
      <c r="H45" s="8">
        <f>H41-H44</f>
        <v/>
      </c>
      <c r="I45" s="8">
        <f>I41-I44</f>
        <v/>
      </c>
      <c r="J45" s="8">
        <f>J41-J44</f>
        <v/>
      </c>
      <c r="K45" s="8">
        <f>K41-K44</f>
        <v/>
      </c>
      <c r="L45" s="8">
        <f>L41-L44</f>
        <v/>
      </c>
      <c r="M45" s="8">
        <f>M41-M44</f>
        <v/>
      </c>
    </row>
    <row r="46">
      <c r="A46" s="22" t="n"/>
      <c r="B46" s="22" t="n"/>
    </row>
    <row r="47">
      <c r="A47" s="2" t="inlineStr">
        <is>
          <t>Immobilisations de l'année A3</t>
        </is>
      </c>
      <c r="B47" s="22" t="n"/>
    </row>
    <row r="48">
      <c r="A48" s="22" t="inlineStr">
        <is>
          <t>Durée restante</t>
        </is>
      </c>
      <c r="B48" s="22" t="inlineStr">
        <is>
          <t>Années</t>
        </is>
      </c>
      <c r="E48" s="23">
        <f>IF($C$28&lt;E$3,$C$28,E$3)</f>
        <v/>
      </c>
      <c r="F48" s="8">
        <f>IF(E48=0,0,IF(E48-1&lt;F$3,E48-1,F$3))</f>
        <v/>
      </c>
      <c r="G48" s="8">
        <f>IF(F48=0,0,IF(F48-1&lt;G$3,F48-1,G$3))</f>
        <v/>
      </c>
      <c r="H48" s="8">
        <f>IF(G48=0,0,IF(G48-1&lt;H$3,G48-1,H$3))</f>
        <v/>
      </c>
      <c r="I48" s="8">
        <f>IF(H48=0,0,IF(H48-1&lt;I$3,H48-1,I$3))</f>
        <v/>
      </c>
      <c r="J48" s="8">
        <f>IF(I48=0,0,IF(I48-1&lt;J$3,I48-1,J$3))</f>
        <v/>
      </c>
      <c r="K48" s="8">
        <f>IF(J48=0,0,IF(J48-1&lt;K$3,J48-1,K$3))</f>
        <v/>
      </c>
      <c r="L48" s="8">
        <f>IF(K48=0,0,IF(K48-1&lt;L$3,K48-1,L$3))</f>
        <v/>
      </c>
      <c r="M48" s="8">
        <f>IF(L48=0,0,IF(L48-1&lt;M$3,L48-1,M$3))</f>
        <v/>
      </c>
    </row>
    <row r="49">
      <c r="A49" s="22" t="inlineStr">
        <is>
          <t>Base amortissable</t>
        </is>
      </c>
      <c r="B49" s="22" t="inlineStr">
        <is>
          <t>USD</t>
        </is>
      </c>
      <c r="E49" s="23">
        <f>Modèle!E$10</f>
        <v/>
      </c>
      <c r="F49" s="8">
        <f>E53</f>
        <v/>
      </c>
      <c r="G49" s="8">
        <f>F53</f>
        <v/>
      </c>
      <c r="H49" s="8">
        <f>G53</f>
        <v/>
      </c>
      <c r="I49" s="8">
        <f>H53</f>
        <v/>
      </c>
      <c r="J49" s="8">
        <f>I53</f>
        <v/>
      </c>
      <c r="K49" s="8">
        <f>J53</f>
        <v/>
      </c>
      <c r="L49" s="8">
        <f>K53</f>
        <v/>
      </c>
      <c r="M49" s="8">
        <f>L53</f>
        <v/>
      </c>
    </row>
    <row r="50">
      <c r="A50" s="22" t="inlineStr">
        <is>
          <t>Inverse de la durée restante</t>
        </is>
      </c>
      <c r="B50" s="22" t="inlineStr">
        <is>
          <t>%</t>
        </is>
      </c>
      <c r="E50" s="27">
        <f>IF(E48=0,0,1/E48)</f>
        <v/>
      </c>
      <c r="F50" s="27">
        <f>IF(F48=0,0,1/F48)</f>
        <v/>
      </c>
      <c r="G50" s="27">
        <f>IF(G48=0,0,1/G48)</f>
        <v/>
      </c>
      <c r="H50" s="27">
        <f>IF(H48=0,0,1/H48)</f>
        <v/>
      </c>
      <c r="I50" s="27">
        <f>IF(I48=0,0,1/I48)</f>
        <v/>
      </c>
      <c r="J50" s="27">
        <f>IF(J48=0,0,1/J48)</f>
        <v/>
      </c>
      <c r="K50" s="27">
        <f>IF(K48=0,0,1/K48)</f>
        <v/>
      </c>
      <c r="L50" s="27">
        <f>IF(L48=0,0,1/L48)</f>
        <v/>
      </c>
      <c r="M50" s="27">
        <f>IF(M48=0,0,1/M48)</f>
        <v/>
      </c>
    </row>
    <row r="51">
      <c r="A51" s="22" t="inlineStr">
        <is>
          <t>Taux dégressif</t>
        </is>
      </c>
      <c r="B51" s="22" t="inlineStr">
        <is>
          <t>%</t>
        </is>
      </c>
      <c r="E51" s="27">
        <f>IF(E48=0,0,IF($C$29*1/$C$28&gt;E50,$C$29*1/$C$28,E50))</f>
        <v/>
      </c>
      <c r="F51" s="27">
        <f>IF(F48=0,0,IF($C$29*1/$C$28&gt;F50,$C$29*1/$C$28,F50))</f>
        <v/>
      </c>
      <c r="G51" s="27">
        <f>IF(G48=0,0,IF($C$29*1/$C$28&gt;G50,$C$29*1/$C$28,G50))</f>
        <v/>
      </c>
      <c r="H51" s="27">
        <f>IF(H48=0,0,IF($C$29*1/$C$28&gt;H50,$C$29*1/$C$28,H50))</f>
        <v/>
      </c>
      <c r="I51" s="27">
        <f>IF(I48=0,0,IF($C$29*1/$C$28&gt;I50,$C$29*1/$C$28,I50))</f>
        <v/>
      </c>
      <c r="J51" s="27">
        <f>IF(J48=0,0,IF($C$29*1/$C$28&gt;J50,$C$29*1/$C$28,J50))</f>
        <v/>
      </c>
      <c r="K51" s="27">
        <f>IF(K48=0,0,IF($C$29*1/$C$28&gt;K50,$C$29*1/$C$28,K50))</f>
        <v/>
      </c>
      <c r="L51" s="27">
        <f>IF(L48=0,0,IF($C$29*1/$C$28&gt;L50,$C$29*1/$C$28,L50))</f>
        <v/>
      </c>
      <c r="M51" s="27">
        <f>IF(M48=0,0,IF($C$29*1/$C$28&gt;M50,$C$29*1/$C$28,M50))</f>
        <v/>
      </c>
    </row>
    <row r="52">
      <c r="A52" s="22" t="inlineStr">
        <is>
          <t>Charge d'amortissement</t>
        </is>
      </c>
      <c r="B52" s="22" t="inlineStr">
        <is>
          <t>USD</t>
        </is>
      </c>
      <c r="E52" s="8">
        <f>E49*E51</f>
        <v/>
      </c>
      <c r="F52" s="8">
        <f>F49*F51</f>
        <v/>
      </c>
      <c r="G52" s="8">
        <f>G49*G51</f>
        <v/>
      </c>
      <c r="H52" s="8">
        <f>H49*H51</f>
        <v/>
      </c>
      <c r="I52" s="8">
        <f>I49*I51</f>
        <v/>
      </c>
      <c r="J52" s="8">
        <f>J49*J51</f>
        <v/>
      </c>
      <c r="K52" s="8">
        <f>K49*K51</f>
        <v/>
      </c>
      <c r="L52" s="8">
        <f>L49*L51</f>
        <v/>
      </c>
      <c r="M52" s="8">
        <f>M49*M51</f>
        <v/>
      </c>
    </row>
    <row r="53">
      <c r="A53" s="22" t="inlineStr">
        <is>
          <t>Amortissement restant</t>
        </is>
      </c>
      <c r="B53" s="22" t="inlineStr">
        <is>
          <t>USD</t>
        </is>
      </c>
      <c r="E53" s="8">
        <f>E49-E52</f>
        <v/>
      </c>
      <c r="F53" s="8">
        <f>F49-F52</f>
        <v/>
      </c>
      <c r="G53" s="8">
        <f>G49-G52</f>
        <v/>
      </c>
      <c r="H53" s="8">
        <f>H49-H52</f>
        <v/>
      </c>
      <c r="I53" s="8">
        <f>I49-I52</f>
        <v/>
      </c>
      <c r="J53" s="8">
        <f>J49-J52</f>
        <v/>
      </c>
      <c r="K53" s="8">
        <f>K49-K52</f>
        <v/>
      </c>
      <c r="L53" s="8">
        <f>L49-L52</f>
        <v/>
      </c>
      <c r="M53" s="8">
        <f>M49-M52</f>
        <v/>
      </c>
    </row>
    <row r="54">
      <c r="A54" s="22" t="n"/>
      <c r="B54" s="22" t="n"/>
    </row>
    <row r="55">
      <c r="A55" s="2" t="inlineStr">
        <is>
          <t>Immobilisations de l'année A4</t>
        </is>
      </c>
      <c r="B55" s="22" t="n"/>
    </row>
    <row r="56">
      <c r="A56" s="22" t="inlineStr">
        <is>
          <t>Durée restante</t>
        </is>
      </c>
      <c r="B56" s="22" t="inlineStr">
        <is>
          <t>Années</t>
        </is>
      </c>
      <c r="F56" s="23">
        <f>IF($C$28&lt;F$3,$C$28,F$3)</f>
        <v/>
      </c>
      <c r="G56" s="8">
        <f>IF(F56=0,0,IF(F56-1&lt;G$3,F56-1,G$3))</f>
        <v/>
      </c>
      <c r="H56" s="8">
        <f>IF(G56=0,0,IF(G56-1&lt;H$3,G56-1,H$3))</f>
        <v/>
      </c>
      <c r="I56" s="8">
        <f>IF(H56=0,0,IF(H56-1&lt;I$3,H56-1,I$3))</f>
        <v/>
      </c>
      <c r="J56" s="8">
        <f>IF(I56=0,0,IF(I56-1&lt;J$3,I56-1,J$3))</f>
        <v/>
      </c>
      <c r="K56" s="8">
        <f>IF(J56=0,0,IF(J56-1&lt;K$3,J56-1,K$3))</f>
        <v/>
      </c>
      <c r="L56" s="8">
        <f>IF(K56=0,0,IF(K56-1&lt;L$3,K56-1,L$3))</f>
        <v/>
      </c>
      <c r="M56" s="8">
        <f>IF(L56=0,0,IF(L56-1&lt;M$3,L56-1,M$3))</f>
        <v/>
      </c>
    </row>
    <row r="57">
      <c r="A57" s="22" t="inlineStr">
        <is>
          <t>Base amortissable</t>
        </is>
      </c>
      <c r="B57" s="22" t="inlineStr">
        <is>
          <t>USD</t>
        </is>
      </c>
      <c r="F57" s="23">
        <f>Modèle!F$10</f>
        <v/>
      </c>
      <c r="G57" s="8">
        <f>F61</f>
        <v/>
      </c>
      <c r="H57" s="8">
        <f>G61</f>
        <v/>
      </c>
      <c r="I57" s="8">
        <f>H61</f>
        <v/>
      </c>
      <c r="J57" s="8">
        <f>I61</f>
        <v/>
      </c>
      <c r="K57" s="8">
        <f>J61</f>
        <v/>
      </c>
      <c r="L57" s="8">
        <f>K61</f>
        <v/>
      </c>
      <c r="M57" s="8">
        <f>L61</f>
        <v/>
      </c>
    </row>
    <row r="58">
      <c r="A58" s="22" t="inlineStr">
        <is>
          <t>Inverse de la durée restante</t>
        </is>
      </c>
      <c r="B58" s="22" t="inlineStr">
        <is>
          <t>%</t>
        </is>
      </c>
      <c r="F58" s="27">
        <f>IF(F56=0,0,1/F56)</f>
        <v/>
      </c>
      <c r="G58" s="27">
        <f>IF(G56=0,0,1/G56)</f>
        <v/>
      </c>
      <c r="H58" s="27">
        <f>IF(H56=0,0,1/H56)</f>
        <v/>
      </c>
      <c r="I58" s="27">
        <f>IF(I56=0,0,1/I56)</f>
        <v/>
      </c>
      <c r="J58" s="27">
        <f>IF(J56=0,0,1/J56)</f>
        <v/>
      </c>
      <c r="K58" s="27">
        <f>IF(K56=0,0,1/K56)</f>
        <v/>
      </c>
      <c r="L58" s="27">
        <f>IF(L56=0,0,1/L56)</f>
        <v/>
      </c>
      <c r="M58" s="27">
        <f>IF(M56=0,0,1/M56)</f>
        <v/>
      </c>
    </row>
    <row r="59">
      <c r="A59" s="22" t="inlineStr">
        <is>
          <t>Taux dégressif</t>
        </is>
      </c>
      <c r="B59" s="22" t="inlineStr">
        <is>
          <t>%</t>
        </is>
      </c>
      <c r="F59" s="27">
        <f>IF(F56=0,0,IF($C$29*1/$C$28&gt;F58,$C$29*1/$C$28,F58))</f>
        <v/>
      </c>
      <c r="G59" s="27">
        <f>IF(G56=0,0,IF($C$29*1/$C$28&gt;G58,$C$29*1/$C$28,G58))</f>
        <v/>
      </c>
      <c r="H59" s="27">
        <f>IF(H56=0,0,IF($C$29*1/$C$28&gt;H58,$C$29*1/$C$28,H58))</f>
        <v/>
      </c>
      <c r="I59" s="27">
        <f>IF(I56=0,0,IF($C$29*1/$C$28&gt;I58,$C$29*1/$C$28,I58))</f>
        <v/>
      </c>
      <c r="J59" s="27">
        <f>IF(J56=0,0,IF($C$29*1/$C$28&gt;J58,$C$29*1/$C$28,J58))</f>
        <v/>
      </c>
      <c r="K59" s="27">
        <f>IF(K56=0,0,IF($C$29*1/$C$28&gt;K58,$C$29*1/$C$28,K58))</f>
        <v/>
      </c>
      <c r="L59" s="27">
        <f>IF(L56=0,0,IF($C$29*1/$C$28&gt;L58,$C$29*1/$C$28,L58))</f>
        <v/>
      </c>
      <c r="M59" s="27">
        <f>IF(M56=0,0,IF($C$29*1/$C$28&gt;M58,$C$29*1/$C$28,M58))</f>
        <v/>
      </c>
    </row>
    <row r="60">
      <c r="A60" s="22" t="inlineStr">
        <is>
          <t>Charge d'amortissement</t>
        </is>
      </c>
      <c r="B60" s="22" t="inlineStr">
        <is>
          <t>USD</t>
        </is>
      </c>
      <c r="F60" s="8">
        <f>F57*F59</f>
        <v/>
      </c>
      <c r="G60" s="8">
        <f>G57*G59</f>
        <v/>
      </c>
      <c r="H60" s="8">
        <f>H57*H59</f>
        <v/>
      </c>
      <c r="I60" s="8">
        <f>I57*I59</f>
        <v/>
      </c>
      <c r="J60" s="8">
        <f>J57*J59</f>
        <v/>
      </c>
      <c r="K60" s="8">
        <f>K57*K59</f>
        <v/>
      </c>
      <c r="L60" s="8">
        <f>L57*L59</f>
        <v/>
      </c>
      <c r="M60" s="8">
        <f>M57*M59</f>
        <v/>
      </c>
    </row>
    <row r="61">
      <c r="A61" s="22" t="inlineStr">
        <is>
          <t>Amortissement restant</t>
        </is>
      </c>
      <c r="B61" s="22" t="inlineStr">
        <is>
          <t>USD</t>
        </is>
      </c>
      <c r="F61" s="8">
        <f>F57-F60</f>
        <v/>
      </c>
      <c r="G61" s="8">
        <f>G57-G60</f>
        <v/>
      </c>
      <c r="H61" s="8">
        <f>H57-H60</f>
        <v/>
      </c>
      <c r="I61" s="8">
        <f>I57-I60</f>
        <v/>
      </c>
      <c r="J61" s="8">
        <f>J57-J60</f>
        <v/>
      </c>
      <c r="K61" s="8">
        <f>K57-K60</f>
        <v/>
      </c>
      <c r="L61" s="8">
        <f>L57-L60</f>
        <v/>
      </c>
      <c r="M61" s="8">
        <f>M57-M60</f>
        <v/>
      </c>
    </row>
    <row r="62">
      <c r="A62" s="22" t="n"/>
      <c r="B62" s="22" t="n"/>
    </row>
    <row r="63">
      <c r="A63" s="2" t="inlineStr">
        <is>
          <t>Immobilisations de l'année A5</t>
        </is>
      </c>
      <c r="B63" s="22" t="n"/>
    </row>
    <row r="64">
      <c r="A64" s="22" t="inlineStr">
        <is>
          <t>Durée restante</t>
        </is>
      </c>
      <c r="B64" s="22" t="inlineStr">
        <is>
          <t>Années</t>
        </is>
      </c>
      <c r="G64" s="23">
        <f>IF($C$28&lt;G$3,$C$28,G$3)</f>
        <v/>
      </c>
      <c r="H64" s="8">
        <f>IF(G64=0,0,IF(G64-1&lt;H$3,G64-1,H$3))</f>
        <v/>
      </c>
      <c r="I64" s="8">
        <f>IF(H64=0,0,IF(H64-1&lt;I$3,H64-1,I$3))</f>
        <v/>
      </c>
      <c r="J64" s="8">
        <f>IF(I64=0,0,IF(I64-1&lt;J$3,I64-1,J$3))</f>
        <v/>
      </c>
      <c r="K64" s="8">
        <f>IF(J64=0,0,IF(J64-1&lt;K$3,J64-1,K$3))</f>
        <v/>
      </c>
      <c r="L64" s="8">
        <f>IF(K64=0,0,IF(K64-1&lt;L$3,K64-1,L$3))</f>
        <v/>
      </c>
      <c r="M64" s="8">
        <f>IF(L64=0,0,IF(L64-1&lt;M$3,L64-1,M$3))</f>
        <v/>
      </c>
    </row>
    <row r="65">
      <c r="A65" s="22" t="inlineStr">
        <is>
          <t>Base amortissable</t>
        </is>
      </c>
      <c r="B65" s="22" t="inlineStr">
        <is>
          <t>USD</t>
        </is>
      </c>
      <c r="G65" s="23">
        <f>Modèle!G$10</f>
        <v/>
      </c>
      <c r="H65" s="8">
        <f>G69</f>
        <v/>
      </c>
      <c r="I65" s="8">
        <f>H69</f>
        <v/>
      </c>
      <c r="J65" s="8">
        <f>I69</f>
        <v/>
      </c>
      <c r="K65" s="8">
        <f>J69</f>
        <v/>
      </c>
      <c r="L65" s="8">
        <f>K69</f>
        <v/>
      </c>
      <c r="M65" s="8">
        <f>L69</f>
        <v/>
      </c>
    </row>
    <row r="66">
      <c r="A66" s="22" t="inlineStr">
        <is>
          <t>Inverse de la durée restante</t>
        </is>
      </c>
      <c r="B66" s="22" t="inlineStr">
        <is>
          <t>%</t>
        </is>
      </c>
      <c r="G66" s="27">
        <f>IF(G64=0,0,1/G64)</f>
        <v/>
      </c>
      <c r="H66" s="27">
        <f>IF(H64=0,0,1/H64)</f>
        <v/>
      </c>
      <c r="I66" s="27">
        <f>IF(I64=0,0,1/I64)</f>
        <v/>
      </c>
      <c r="J66" s="27">
        <f>IF(J64=0,0,1/J64)</f>
        <v/>
      </c>
      <c r="K66" s="27">
        <f>IF(K64=0,0,1/K64)</f>
        <v/>
      </c>
      <c r="L66" s="27">
        <f>IF(L64=0,0,1/L64)</f>
        <v/>
      </c>
      <c r="M66" s="27">
        <f>IF(M64=0,0,1/M64)</f>
        <v/>
      </c>
    </row>
    <row r="67">
      <c r="A67" s="22" t="inlineStr">
        <is>
          <t>Taux dégressif</t>
        </is>
      </c>
      <c r="B67" s="22" t="inlineStr">
        <is>
          <t>%</t>
        </is>
      </c>
      <c r="G67" s="27">
        <f>IF(G64=0,0,IF($C$29*1/$C$28&gt;G66,$C$29*1/$C$28,G66))</f>
        <v/>
      </c>
      <c r="H67" s="27">
        <f>IF(H64=0,0,IF($C$29*1/$C$28&gt;H66,$C$29*1/$C$28,H66))</f>
        <v/>
      </c>
      <c r="I67" s="27">
        <f>IF(I64=0,0,IF($C$29*1/$C$28&gt;I66,$C$29*1/$C$28,I66))</f>
        <v/>
      </c>
      <c r="J67" s="27">
        <f>IF(J64=0,0,IF($C$29*1/$C$28&gt;J66,$C$29*1/$C$28,J66))</f>
        <v/>
      </c>
      <c r="K67" s="27">
        <f>IF(K64=0,0,IF($C$29*1/$C$28&gt;K66,$C$29*1/$C$28,K66))</f>
        <v/>
      </c>
      <c r="L67" s="27">
        <f>IF(L64=0,0,IF($C$29*1/$C$28&gt;L66,$C$29*1/$C$28,L66))</f>
        <v/>
      </c>
      <c r="M67" s="27">
        <f>IF(M64=0,0,IF($C$29*1/$C$28&gt;M66,$C$29*1/$C$28,M66))</f>
        <v/>
      </c>
    </row>
    <row r="68">
      <c r="A68" s="22" t="inlineStr">
        <is>
          <t>Charge d'amortissement</t>
        </is>
      </c>
      <c r="B68" s="22" t="inlineStr">
        <is>
          <t>USD</t>
        </is>
      </c>
      <c r="G68" s="8">
        <f>G65*G67</f>
        <v/>
      </c>
      <c r="H68" s="8">
        <f>H65*H67</f>
        <v/>
      </c>
      <c r="I68" s="8">
        <f>I65*I67</f>
        <v/>
      </c>
      <c r="J68" s="8">
        <f>J65*J67</f>
        <v/>
      </c>
      <c r="K68" s="8">
        <f>K65*K67</f>
        <v/>
      </c>
      <c r="L68" s="8">
        <f>L65*L67</f>
        <v/>
      </c>
      <c r="M68" s="8">
        <f>M65*M67</f>
        <v/>
      </c>
    </row>
    <row r="69">
      <c r="A69" s="22" t="inlineStr">
        <is>
          <t>Amortissement restant</t>
        </is>
      </c>
      <c r="B69" s="22" t="inlineStr">
        <is>
          <t>USD</t>
        </is>
      </c>
      <c r="G69" s="8">
        <f>G65-G68</f>
        <v/>
      </c>
      <c r="H69" s="8">
        <f>H65-H68</f>
        <v/>
      </c>
      <c r="I69" s="8">
        <f>I65-I68</f>
        <v/>
      </c>
      <c r="J69" s="8">
        <f>J65-J68</f>
        <v/>
      </c>
      <c r="K69" s="8">
        <f>K65-K68</f>
        <v/>
      </c>
      <c r="L69" s="8">
        <f>L65-L68</f>
        <v/>
      </c>
      <c r="M69" s="8">
        <f>M65-M68</f>
        <v/>
      </c>
    </row>
    <row r="70">
      <c r="A70" s="22" t="n"/>
      <c r="B70" s="22" t="n"/>
    </row>
    <row r="71">
      <c r="A71" s="2" t="inlineStr">
        <is>
          <t>Immobilisations de l'année A6</t>
        </is>
      </c>
      <c r="B71" s="22" t="n"/>
    </row>
    <row r="72">
      <c r="A72" s="22" t="inlineStr">
        <is>
          <t>Durée restante</t>
        </is>
      </c>
      <c r="B72" s="22" t="inlineStr">
        <is>
          <t>Années</t>
        </is>
      </c>
      <c r="H72" s="23">
        <f>IF($C$28&lt;H$3,$C$28,H$3)</f>
        <v/>
      </c>
      <c r="I72" s="8">
        <f>IF(H72=0,0,IF(H72-1&lt;I$3,H72-1,I$3))</f>
        <v/>
      </c>
      <c r="J72" s="8">
        <f>IF(I72=0,0,IF(I72-1&lt;J$3,I72-1,J$3))</f>
        <v/>
      </c>
      <c r="K72" s="8">
        <f>IF(J72=0,0,IF(J72-1&lt;K$3,J72-1,K$3))</f>
        <v/>
      </c>
      <c r="L72" s="8">
        <f>IF(K72=0,0,IF(K72-1&lt;L$3,K72-1,L$3))</f>
        <v/>
      </c>
      <c r="M72" s="8">
        <f>IF(L72=0,0,IF(L72-1&lt;M$3,L72-1,M$3))</f>
        <v/>
      </c>
    </row>
    <row r="73">
      <c r="A73" s="22" t="inlineStr">
        <is>
          <t>Base amortissable</t>
        </is>
      </c>
      <c r="B73" s="22" t="inlineStr">
        <is>
          <t>USD</t>
        </is>
      </c>
      <c r="H73" s="23">
        <f>Modèle!H$10</f>
        <v/>
      </c>
      <c r="I73" s="8">
        <f>H77</f>
        <v/>
      </c>
      <c r="J73" s="8">
        <f>I77</f>
        <v/>
      </c>
      <c r="K73" s="8">
        <f>J77</f>
        <v/>
      </c>
      <c r="L73" s="8">
        <f>K77</f>
        <v/>
      </c>
      <c r="M73" s="8">
        <f>L77</f>
        <v/>
      </c>
    </row>
    <row r="74">
      <c r="A74" s="22" t="inlineStr">
        <is>
          <t>Inverse de la durée restante</t>
        </is>
      </c>
      <c r="B74" s="22" t="inlineStr">
        <is>
          <t>%</t>
        </is>
      </c>
      <c r="H74" s="27">
        <f>IF(H72=0,0,1/H72)</f>
        <v/>
      </c>
      <c r="I74" s="27">
        <f>IF(I72=0,0,1/I72)</f>
        <v/>
      </c>
      <c r="J74" s="27">
        <f>IF(J72=0,0,1/J72)</f>
        <v/>
      </c>
      <c r="K74" s="27">
        <f>IF(K72=0,0,1/K72)</f>
        <v/>
      </c>
      <c r="L74" s="27">
        <f>IF(L72=0,0,1/L72)</f>
        <v/>
      </c>
      <c r="M74" s="27">
        <f>IF(M72=0,0,1/M72)</f>
        <v/>
      </c>
    </row>
    <row r="75">
      <c r="A75" s="22" t="inlineStr">
        <is>
          <t>Taux dégressif</t>
        </is>
      </c>
      <c r="B75" s="22" t="inlineStr">
        <is>
          <t>%</t>
        </is>
      </c>
      <c r="H75" s="27">
        <f>IF(H72=0,0,IF($C$29*1/$C$28&gt;H74,$C$29*1/$C$28,H74))</f>
        <v/>
      </c>
      <c r="I75" s="27">
        <f>IF(I72=0,0,IF($C$29*1/$C$28&gt;I74,$C$29*1/$C$28,I74))</f>
        <v/>
      </c>
      <c r="J75" s="27">
        <f>IF(J72=0,0,IF($C$29*1/$C$28&gt;J74,$C$29*1/$C$28,J74))</f>
        <v/>
      </c>
      <c r="K75" s="27">
        <f>IF(K72=0,0,IF($C$29*1/$C$28&gt;K74,$C$29*1/$C$28,K74))</f>
        <v/>
      </c>
      <c r="L75" s="27">
        <f>IF(L72=0,0,IF($C$29*1/$C$28&gt;L74,$C$29*1/$C$28,L74))</f>
        <v/>
      </c>
      <c r="M75" s="27">
        <f>IF(M72=0,0,IF($C$29*1/$C$28&gt;M74,$C$29*1/$C$28,M74))</f>
        <v/>
      </c>
    </row>
    <row r="76">
      <c r="A76" s="22" t="inlineStr">
        <is>
          <t>Charge d'amortissement</t>
        </is>
      </c>
      <c r="B76" s="22" t="inlineStr">
        <is>
          <t>USD</t>
        </is>
      </c>
      <c r="H76" s="8">
        <f>H73*H75</f>
        <v/>
      </c>
      <c r="I76" s="8">
        <f>I73*I75</f>
        <v/>
      </c>
      <c r="J76" s="8">
        <f>J73*J75</f>
        <v/>
      </c>
      <c r="K76" s="8">
        <f>K73*K75</f>
        <v/>
      </c>
      <c r="L76" s="8">
        <f>L73*L75</f>
        <v/>
      </c>
      <c r="M76" s="8">
        <f>M73*M75</f>
        <v/>
      </c>
    </row>
    <row r="77">
      <c r="A77" s="22" t="inlineStr">
        <is>
          <t>Amortissement restant</t>
        </is>
      </c>
      <c r="B77" s="22" t="inlineStr">
        <is>
          <t>USD</t>
        </is>
      </c>
      <c r="H77" s="8">
        <f>H73-H76</f>
        <v/>
      </c>
      <c r="I77" s="8">
        <f>I73-I76</f>
        <v/>
      </c>
      <c r="J77" s="8">
        <f>J73-J76</f>
        <v/>
      </c>
      <c r="K77" s="8">
        <f>K73-K76</f>
        <v/>
      </c>
      <c r="L77" s="8">
        <f>L73-L76</f>
        <v/>
      </c>
      <c r="M77" s="8">
        <f>M73-M76</f>
        <v/>
      </c>
    </row>
    <row r="78">
      <c r="A78" s="22" t="n"/>
      <c r="B78" s="22" t="n"/>
    </row>
    <row r="79">
      <c r="A79" s="2" t="inlineStr">
        <is>
          <t>Immobilisations de l'année A7</t>
        </is>
      </c>
      <c r="B79" s="22" t="n"/>
    </row>
    <row r="80">
      <c r="A80" s="22" t="inlineStr">
        <is>
          <t>Durée restante</t>
        </is>
      </c>
      <c r="B80" s="22" t="inlineStr">
        <is>
          <t>Années</t>
        </is>
      </c>
      <c r="I80" s="23">
        <f>IF($C$28&lt;I$3,$C$28,I$3)</f>
        <v/>
      </c>
      <c r="J80" s="8">
        <f>IF(I80=0,0,IF(I80-1&lt;J$3,I80-1,J$3))</f>
        <v/>
      </c>
      <c r="K80" s="8">
        <f>IF(J80=0,0,IF(J80-1&lt;K$3,J80-1,K$3))</f>
        <v/>
      </c>
      <c r="L80" s="8">
        <f>IF(K80=0,0,IF(K80-1&lt;L$3,K80-1,L$3))</f>
        <v/>
      </c>
      <c r="M80" s="8">
        <f>IF(L80=0,0,IF(L80-1&lt;M$3,L80-1,M$3))</f>
        <v/>
      </c>
    </row>
    <row r="81">
      <c r="A81" s="22" t="inlineStr">
        <is>
          <t>Base amortissable</t>
        </is>
      </c>
      <c r="B81" s="22" t="inlineStr">
        <is>
          <t>USD</t>
        </is>
      </c>
      <c r="I81" s="23">
        <f>Modèle!I$10</f>
        <v/>
      </c>
      <c r="J81" s="8">
        <f>I85</f>
        <v/>
      </c>
      <c r="K81" s="8">
        <f>J85</f>
        <v/>
      </c>
      <c r="L81" s="8">
        <f>K85</f>
        <v/>
      </c>
      <c r="M81" s="8">
        <f>L85</f>
        <v/>
      </c>
    </row>
    <row r="82">
      <c r="A82" s="22" t="inlineStr">
        <is>
          <t>Inverse de la durée restante</t>
        </is>
      </c>
      <c r="B82" s="22" t="inlineStr">
        <is>
          <t>%</t>
        </is>
      </c>
      <c r="I82" s="27">
        <f>IF(I80=0,0,1/I80)</f>
        <v/>
      </c>
      <c r="J82" s="27">
        <f>IF(J80=0,0,1/J80)</f>
        <v/>
      </c>
      <c r="K82" s="27">
        <f>IF(K80=0,0,1/K80)</f>
        <v/>
      </c>
      <c r="L82" s="27">
        <f>IF(L80=0,0,1/L80)</f>
        <v/>
      </c>
      <c r="M82" s="27">
        <f>IF(M80=0,0,1/M80)</f>
        <v/>
      </c>
    </row>
    <row r="83">
      <c r="A83" s="22" t="inlineStr">
        <is>
          <t>Taux dégressif</t>
        </is>
      </c>
      <c r="B83" s="22" t="inlineStr">
        <is>
          <t>%</t>
        </is>
      </c>
      <c r="I83" s="27">
        <f>IF(I80=0,0,IF($C$29*1/$C$28&gt;I82,$C$29*1/$C$28,I82))</f>
        <v/>
      </c>
      <c r="J83" s="27">
        <f>IF(J80=0,0,IF($C$29*1/$C$28&gt;J82,$C$29*1/$C$28,J82))</f>
        <v/>
      </c>
      <c r="K83" s="27">
        <f>IF(K80=0,0,IF($C$29*1/$C$28&gt;K82,$C$29*1/$C$28,K82))</f>
        <v/>
      </c>
      <c r="L83" s="27">
        <f>IF(L80=0,0,IF($C$29*1/$C$28&gt;L82,$C$29*1/$C$28,L82))</f>
        <v/>
      </c>
      <c r="M83" s="27">
        <f>IF(M80=0,0,IF($C$29*1/$C$28&gt;M82,$C$29*1/$C$28,M82))</f>
        <v/>
      </c>
    </row>
    <row r="84">
      <c r="A84" s="22" t="inlineStr">
        <is>
          <t>Charge d'amortissement</t>
        </is>
      </c>
      <c r="B84" s="22" t="inlineStr">
        <is>
          <t>USD</t>
        </is>
      </c>
      <c r="I84" s="8">
        <f>I81*I83</f>
        <v/>
      </c>
      <c r="J84" s="8">
        <f>J81*J83</f>
        <v/>
      </c>
      <c r="K84" s="8">
        <f>K81*K83</f>
        <v/>
      </c>
      <c r="L84" s="8">
        <f>L81*L83</f>
        <v/>
      </c>
      <c r="M84" s="8">
        <f>M81*M83</f>
        <v/>
      </c>
    </row>
    <row r="85">
      <c r="A85" s="22" t="inlineStr">
        <is>
          <t>Amortissement restant</t>
        </is>
      </c>
      <c r="B85" s="22" t="inlineStr">
        <is>
          <t>USD</t>
        </is>
      </c>
      <c r="I85" s="8">
        <f>I81-I84</f>
        <v/>
      </c>
      <c r="J85" s="8">
        <f>J81-J84</f>
        <v/>
      </c>
      <c r="K85" s="8">
        <f>K81-K84</f>
        <v/>
      </c>
      <c r="L85" s="8">
        <f>L81-L84</f>
        <v/>
      </c>
      <c r="M85" s="8">
        <f>M81-M84</f>
        <v/>
      </c>
    </row>
    <row r="86">
      <c r="A86" s="22" t="n"/>
      <c r="B86" s="22" t="n"/>
    </row>
    <row r="87">
      <c r="A87" s="2" t="inlineStr">
        <is>
          <t>Immobilisations de l'année A8</t>
        </is>
      </c>
      <c r="B87" s="22" t="n"/>
    </row>
    <row r="88">
      <c r="A88" s="22" t="inlineStr">
        <is>
          <t>Durée restante</t>
        </is>
      </c>
      <c r="B88" s="22" t="inlineStr">
        <is>
          <t>Années</t>
        </is>
      </c>
      <c r="J88" s="23">
        <f>IF($C$28&lt;J$3,$C$28,J$3)</f>
        <v/>
      </c>
      <c r="K88" s="8">
        <f>IF(J88=0,0,IF(J88-1&lt;K$3,J88-1,K$3))</f>
        <v/>
      </c>
      <c r="L88" s="8">
        <f>IF(K88=0,0,IF(K88-1&lt;L$3,K88-1,L$3))</f>
        <v/>
      </c>
      <c r="M88" s="8">
        <f>IF(L88=0,0,IF(L88-1&lt;M$3,L88-1,M$3))</f>
        <v/>
      </c>
    </row>
    <row r="89">
      <c r="A89" s="22" t="inlineStr">
        <is>
          <t>Base amortissable</t>
        </is>
      </c>
      <c r="B89" s="22" t="inlineStr">
        <is>
          <t>USD</t>
        </is>
      </c>
      <c r="J89" s="23">
        <f>Modèle!J$10</f>
        <v/>
      </c>
      <c r="K89" s="8">
        <f>J93</f>
        <v/>
      </c>
      <c r="L89" s="8">
        <f>K93</f>
        <v/>
      </c>
      <c r="M89" s="8">
        <f>L93</f>
        <v/>
      </c>
    </row>
    <row r="90">
      <c r="A90" s="22" t="inlineStr">
        <is>
          <t>Inverse de la durée restante</t>
        </is>
      </c>
      <c r="B90" s="22" t="inlineStr">
        <is>
          <t>%</t>
        </is>
      </c>
      <c r="J90" s="27">
        <f>IF(J88=0,0,1/J88)</f>
        <v/>
      </c>
      <c r="K90" s="27">
        <f>IF(K88=0,0,1/K88)</f>
        <v/>
      </c>
      <c r="L90" s="27">
        <f>IF(L88=0,0,1/L88)</f>
        <v/>
      </c>
      <c r="M90" s="27">
        <f>IF(M88=0,0,1/M88)</f>
        <v/>
      </c>
    </row>
    <row r="91">
      <c r="A91" s="22" t="inlineStr">
        <is>
          <t>Taux dégressif</t>
        </is>
      </c>
      <c r="B91" s="22" t="inlineStr">
        <is>
          <t>%</t>
        </is>
      </c>
      <c r="J91" s="27">
        <f>IF(J88=0,0,IF($C$29*1/$C$28&gt;J90,$C$29*1/$C$28,J90))</f>
        <v/>
      </c>
      <c r="K91" s="27">
        <f>IF(K88=0,0,IF($C$29*1/$C$28&gt;K90,$C$29*1/$C$28,K90))</f>
        <v/>
      </c>
      <c r="L91" s="27">
        <f>IF(L88=0,0,IF($C$29*1/$C$28&gt;L90,$C$29*1/$C$28,L90))</f>
        <v/>
      </c>
      <c r="M91" s="27">
        <f>IF(M88=0,0,IF($C$29*1/$C$28&gt;M90,$C$29*1/$C$28,M90))</f>
        <v/>
      </c>
    </row>
    <row r="92">
      <c r="A92" s="22" t="inlineStr">
        <is>
          <t>Charge d'amortissement</t>
        </is>
      </c>
      <c r="B92" s="22" t="inlineStr">
        <is>
          <t>USD</t>
        </is>
      </c>
      <c r="J92" s="8">
        <f>J89*J91</f>
        <v/>
      </c>
      <c r="K92" s="8">
        <f>K89*K91</f>
        <v/>
      </c>
      <c r="L92" s="8">
        <f>L89*L91</f>
        <v/>
      </c>
      <c r="M92" s="8">
        <f>M89*M91</f>
        <v/>
      </c>
    </row>
    <row r="93">
      <c r="A93" s="22" t="inlineStr">
        <is>
          <t>Amortissement restant</t>
        </is>
      </c>
      <c r="B93" s="22" t="inlineStr">
        <is>
          <t>USD</t>
        </is>
      </c>
      <c r="J93" s="8">
        <f>J89-J92</f>
        <v/>
      </c>
      <c r="K93" s="8">
        <f>K89-K92</f>
        <v/>
      </c>
      <c r="L93" s="8">
        <f>L89-L92</f>
        <v/>
      </c>
      <c r="M93" s="8">
        <f>M89-M92</f>
        <v/>
      </c>
    </row>
    <row r="94">
      <c r="A94" s="22" t="n"/>
      <c r="B94" s="22" t="n"/>
    </row>
    <row r="95">
      <c r="A95" s="2" t="inlineStr">
        <is>
          <t>Immobilisations de l'année A9</t>
        </is>
      </c>
      <c r="B95" s="22" t="n"/>
    </row>
    <row r="96">
      <c r="A96" s="22" t="inlineStr">
        <is>
          <t>Durée restante</t>
        </is>
      </c>
      <c r="B96" s="22" t="inlineStr">
        <is>
          <t>Années</t>
        </is>
      </c>
      <c r="K96" s="23">
        <f>IF($C$28&lt;K$3,$C$28,K$3)</f>
        <v/>
      </c>
      <c r="L96" s="8">
        <f>IF(K96=0,0,IF(K96-1&lt;L$3,K96-1,L$3))</f>
        <v/>
      </c>
      <c r="M96" s="8">
        <f>IF(L96=0,0,IF(L96-1&lt;M$3,L96-1,M$3))</f>
        <v/>
      </c>
    </row>
    <row r="97">
      <c r="A97" s="22" t="inlineStr">
        <is>
          <t>Base amortissable</t>
        </is>
      </c>
      <c r="B97" s="22" t="inlineStr">
        <is>
          <t>USD</t>
        </is>
      </c>
      <c r="K97" s="23">
        <f>Modèle!K$10</f>
        <v/>
      </c>
      <c r="L97" s="8">
        <f>K101</f>
        <v/>
      </c>
      <c r="M97" s="8">
        <f>L101</f>
        <v/>
      </c>
    </row>
    <row r="98">
      <c r="A98" s="22" t="inlineStr">
        <is>
          <t>Inverse de la durée restante</t>
        </is>
      </c>
      <c r="B98" s="22" t="inlineStr">
        <is>
          <t>%</t>
        </is>
      </c>
      <c r="K98" s="27">
        <f>IF(K96=0,0,1/K96)</f>
        <v/>
      </c>
      <c r="L98" s="27">
        <f>IF(L96=0,0,1/L96)</f>
        <v/>
      </c>
      <c r="M98" s="27">
        <f>IF(M96=0,0,1/M96)</f>
        <v/>
      </c>
    </row>
    <row r="99">
      <c r="A99" s="22" t="inlineStr">
        <is>
          <t>Taux dégressif</t>
        </is>
      </c>
      <c r="B99" s="22" t="inlineStr">
        <is>
          <t>%</t>
        </is>
      </c>
      <c r="K99" s="27">
        <f>IF(K96=0,0,IF($C$29*1/$C$28&gt;K98,$C$29*1/$C$28,K98))</f>
        <v/>
      </c>
      <c r="L99" s="27">
        <f>IF(L96=0,0,IF($C$29*1/$C$28&gt;L98,$C$29*1/$C$28,L98))</f>
        <v/>
      </c>
      <c r="M99" s="27">
        <f>IF(M96=0,0,IF($C$29*1/$C$28&gt;M98,$C$29*1/$C$28,M98))</f>
        <v/>
      </c>
    </row>
    <row r="100">
      <c r="A100" s="22" t="inlineStr">
        <is>
          <t>Charge d'amortissement</t>
        </is>
      </c>
      <c r="B100" s="22" t="inlineStr">
        <is>
          <t>USD</t>
        </is>
      </c>
      <c r="K100" s="8">
        <f>K97*K99</f>
        <v/>
      </c>
      <c r="L100" s="8">
        <f>L97*L99</f>
        <v/>
      </c>
      <c r="M100" s="8">
        <f>M97*M99</f>
        <v/>
      </c>
    </row>
    <row r="101">
      <c r="A101" s="22" t="inlineStr">
        <is>
          <t>Amortissement restant</t>
        </is>
      </c>
      <c r="B101" s="22" t="inlineStr">
        <is>
          <t>USD</t>
        </is>
      </c>
      <c r="K101" s="8">
        <f>K97-K100</f>
        <v/>
      </c>
      <c r="L101" s="8">
        <f>L97-L100</f>
        <v/>
      </c>
      <c r="M101" s="8">
        <f>M97-M100</f>
        <v/>
      </c>
    </row>
    <row r="102">
      <c r="A102" s="22" t="n"/>
      <c r="B102" s="22" t="n"/>
    </row>
    <row r="103">
      <c r="A103" s="2" t="inlineStr">
        <is>
          <t>Immobilisations de l'année A10</t>
        </is>
      </c>
      <c r="B103" s="22" t="n"/>
    </row>
    <row r="104">
      <c r="A104" s="22" t="inlineStr">
        <is>
          <t>Durée restante</t>
        </is>
      </c>
      <c r="B104" s="22" t="inlineStr">
        <is>
          <t>Années</t>
        </is>
      </c>
      <c r="L104" s="23">
        <f>IF($C$28&lt;L$3,$C$28,L$3)</f>
        <v/>
      </c>
      <c r="M104" s="8">
        <f>IF(L104=0,0,IF(L104-1&lt;M$3,L104-1,M$3))</f>
        <v/>
      </c>
    </row>
    <row r="105">
      <c r="A105" s="22" t="inlineStr">
        <is>
          <t>Base amortissable</t>
        </is>
      </c>
      <c r="B105" s="22" t="inlineStr">
        <is>
          <t>USD</t>
        </is>
      </c>
      <c r="L105" s="23">
        <f>Modèle!L$10</f>
        <v/>
      </c>
      <c r="M105" s="8">
        <f>L109</f>
        <v/>
      </c>
    </row>
    <row r="106">
      <c r="A106" s="22" t="inlineStr">
        <is>
          <t>Inverse de la durée restante</t>
        </is>
      </c>
      <c r="B106" s="22" t="inlineStr">
        <is>
          <t>%</t>
        </is>
      </c>
      <c r="L106" s="27">
        <f>IF(L104=0,0,1/L104)</f>
        <v/>
      </c>
      <c r="M106" s="27">
        <f>IF(M104=0,0,1/M104)</f>
        <v/>
      </c>
    </row>
    <row r="107">
      <c r="A107" s="22" t="inlineStr">
        <is>
          <t>Taux dégressif</t>
        </is>
      </c>
      <c r="B107" s="22" t="inlineStr">
        <is>
          <t>%</t>
        </is>
      </c>
      <c r="L107" s="27">
        <f>IF(L104=0,0,IF($C$29*1/$C$28&gt;L106,$C$29*1/$C$28,L106))</f>
        <v/>
      </c>
      <c r="M107" s="27">
        <f>IF(M104=0,0,IF($C$29*1/$C$28&gt;M106,$C$29*1/$C$28,M106))</f>
        <v/>
      </c>
    </row>
    <row r="108">
      <c r="A108" s="22" t="inlineStr">
        <is>
          <t>Charge d'amortissement</t>
        </is>
      </c>
      <c r="B108" s="22" t="inlineStr">
        <is>
          <t>USD</t>
        </is>
      </c>
      <c r="L108" s="8">
        <f>L105*L107</f>
        <v/>
      </c>
      <c r="M108" s="8">
        <f>M105*M107</f>
        <v/>
      </c>
    </row>
    <row r="109">
      <c r="A109" s="22" t="inlineStr">
        <is>
          <t>Amortissement restant</t>
        </is>
      </c>
      <c r="B109" s="22" t="inlineStr">
        <is>
          <t>USD</t>
        </is>
      </c>
      <c r="L109" s="8">
        <f>L105-L108</f>
        <v/>
      </c>
      <c r="M109" s="8">
        <f>M105-M108</f>
        <v/>
      </c>
    </row>
    <row r="110">
      <c r="A110" s="22" t="n"/>
      <c r="B110" s="22" t="n"/>
    </row>
    <row r="111">
      <c r="A111" s="2" t="inlineStr">
        <is>
          <t>Immobilisations de l'année A11</t>
        </is>
      </c>
      <c r="B111" s="22" t="n"/>
    </row>
    <row r="112">
      <c r="A112" s="22" t="inlineStr">
        <is>
          <t>Durée restante</t>
        </is>
      </c>
      <c r="B112" s="22" t="inlineStr">
        <is>
          <t>Années</t>
        </is>
      </c>
      <c r="M112" s="23">
        <f>IF($C$28&lt;M$3,$C$28,M$3)</f>
        <v/>
      </c>
    </row>
    <row r="113">
      <c r="A113" s="22" t="inlineStr">
        <is>
          <t>Base amortissable</t>
        </is>
      </c>
      <c r="B113" s="22" t="inlineStr">
        <is>
          <t>USD</t>
        </is>
      </c>
      <c r="M113" s="23">
        <f>Modèle!M$10</f>
        <v/>
      </c>
    </row>
    <row r="114">
      <c r="A114" s="22" t="inlineStr">
        <is>
          <t>Inverse de la durée restante</t>
        </is>
      </c>
      <c r="B114" s="22" t="inlineStr">
        <is>
          <t>%</t>
        </is>
      </c>
      <c r="M114" s="27">
        <f>IF(M112=0,0,1/M112)</f>
        <v/>
      </c>
    </row>
    <row r="115">
      <c r="A115" s="22" t="inlineStr">
        <is>
          <t>Taux dégressif</t>
        </is>
      </c>
      <c r="B115" s="22" t="inlineStr">
        <is>
          <t>%</t>
        </is>
      </c>
      <c r="M115" s="27">
        <f>IF(M112=0,0,IF($C$29*1/$C$28&gt;M114,$C$29*1/$C$28,M114))</f>
        <v/>
      </c>
    </row>
    <row r="116">
      <c r="A116" s="22" t="inlineStr">
        <is>
          <t>Charge d'amortissement</t>
        </is>
      </c>
      <c r="B116" s="22" t="inlineStr">
        <is>
          <t>USD</t>
        </is>
      </c>
      <c r="M116" s="8">
        <f>M113*M115</f>
        <v/>
      </c>
    </row>
    <row r="117">
      <c r="A117" s="22" t="inlineStr">
        <is>
          <t>Amortissement restant</t>
        </is>
      </c>
      <c r="B117" s="22" t="inlineStr">
        <is>
          <t>USD</t>
        </is>
      </c>
      <c r="M117" s="8">
        <f>M113-M116</f>
        <v/>
      </c>
    </row>
    <row r="118">
      <c r="A118" s="22" t="n"/>
      <c r="B118" s="22" t="n"/>
    </row>
    <row r="119">
      <c r="A119" s="2" t="inlineStr">
        <is>
          <t>Amortissements des biens d'équipement</t>
        </is>
      </c>
      <c r="B119" s="22" t="inlineStr">
        <is>
          <t>USD</t>
        </is>
      </c>
      <c r="C119" s="8">
        <f>C$36+C$44+C$52+C$60+C$68+C$76+C$84+C$92+C$100+C$108+C$116</f>
        <v/>
      </c>
      <c r="D119" s="8">
        <f>D$36+D$44+D$52+D$60+D$68+D$76+D$84+D$92+D$100+D$108+D$116</f>
        <v/>
      </c>
      <c r="E119" s="8">
        <f>E$36+E$44+E$52+E$60+E$68+E$76+E$84+E$92+E$100+E$108+E$116</f>
        <v/>
      </c>
      <c r="F119" s="8">
        <f>F$36+F$44+F$52+F$60+F$68+F$76+F$84+F$92+F$100+F$108+F$116</f>
        <v/>
      </c>
      <c r="G119" s="8">
        <f>G$36+G$44+G$52+G$60+G$68+G$76+G$84+G$92+G$100+G$108+G$116</f>
        <v/>
      </c>
      <c r="H119" s="8">
        <f>H$36+H$44+H$52+H$60+H$68+H$76+H$84+H$92+H$100+H$108+H$116</f>
        <v/>
      </c>
      <c r="I119" s="8">
        <f>I$36+I$44+I$52+I$60+I$68+I$76+I$84+I$92+I$100+I$108+I$116</f>
        <v/>
      </c>
      <c r="J119" s="8">
        <f>J$36+J$44+J$52+J$60+J$68+J$76+J$84+J$92+J$100+J$108+J$116</f>
        <v/>
      </c>
      <c r="K119" s="8">
        <f>K$36+K$44+K$52+K$60+K$68+K$76+K$84+K$92+K$100+K$108+K$116</f>
        <v/>
      </c>
      <c r="L119" s="8">
        <f>L$36+L$44+L$52+L$60+L$68+L$76+L$84+L$92+L$100+L$108+L$116</f>
        <v/>
      </c>
      <c r="M119" s="8">
        <f>M$36+M$44+M$52+M$60+M$68+M$76+M$84+M$92+M$100+M$108+M$116</f>
        <v/>
      </c>
    </row>
    <row r="120">
      <c r="A120" s="22" t="n"/>
      <c r="B120" s="22" t="n"/>
    </row>
    <row r="121">
      <c r="A121" s="5" t="inlineStr">
        <is>
          <t>III. AMORTISSEMENTS DES DEPENSES DE REHABILITATION</t>
        </is>
      </c>
      <c r="B121" s="24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</row>
    <row r="122">
      <c r="A122" s="2" t="inlineStr">
        <is>
          <t>Durée d'amortissement linéaire</t>
        </is>
      </c>
      <c r="B122" s="22" t="inlineStr">
        <is>
          <t>Années</t>
        </is>
      </c>
      <c r="C122" s="19" t="n">
        <v>1</v>
      </c>
    </row>
    <row r="123">
      <c r="A123" s="2" t="inlineStr">
        <is>
          <t>Coefficient d'amortissement dégressif</t>
        </is>
      </c>
      <c r="B123" s="22" t="inlineStr">
        <is>
          <t>Coefficient</t>
        </is>
      </c>
      <c r="C123" s="19" t="n">
        <v>1</v>
      </c>
    </row>
    <row r="124">
      <c r="A124" s="22" t="n"/>
      <c r="B124" s="22" t="n"/>
    </row>
    <row r="125">
      <c r="A125" s="2" t="inlineStr">
        <is>
          <t>Immobilisations de l'année A11</t>
        </is>
      </c>
      <c r="B125" s="22" t="n"/>
    </row>
    <row r="126">
      <c r="A126" s="22" t="inlineStr">
        <is>
          <t>Durée restante</t>
        </is>
      </c>
      <c r="B126" s="22" t="inlineStr">
        <is>
          <t>Années</t>
        </is>
      </c>
      <c r="M126" s="23">
        <f>IF($C$122&lt;M$3,$C$122,M$3)</f>
        <v/>
      </c>
    </row>
    <row r="127">
      <c r="A127" s="22" t="inlineStr">
        <is>
          <t>Base amortissable</t>
        </is>
      </c>
      <c r="B127" s="22" t="inlineStr">
        <is>
          <t>USD</t>
        </is>
      </c>
      <c r="M127" s="23">
        <f>Modèle!M$11</f>
        <v/>
      </c>
    </row>
    <row r="128">
      <c r="A128" s="22" t="inlineStr">
        <is>
          <t>Inverse de la durée restante</t>
        </is>
      </c>
      <c r="B128" s="22" t="inlineStr">
        <is>
          <t>%</t>
        </is>
      </c>
      <c r="M128" s="27">
        <f>IF(M126=0,0,1/M126)</f>
        <v/>
      </c>
    </row>
    <row r="129">
      <c r="A129" s="22" t="inlineStr">
        <is>
          <t>Taux dégressif</t>
        </is>
      </c>
      <c r="B129" s="22" t="inlineStr">
        <is>
          <t>%</t>
        </is>
      </c>
      <c r="M129" s="27">
        <f>IF(M126=0,0,IF($C$123*1/$C$122&gt;M128,$C$123*1/$C$122,M128))</f>
        <v/>
      </c>
    </row>
    <row r="130">
      <c r="A130" s="22" t="inlineStr">
        <is>
          <t>Charge d'amortissement</t>
        </is>
      </c>
      <c r="B130" s="22" t="inlineStr">
        <is>
          <t>USD</t>
        </is>
      </c>
      <c r="M130" s="8">
        <f>M127*M129</f>
        <v/>
      </c>
    </row>
    <row r="131">
      <c r="A131" s="22" t="inlineStr">
        <is>
          <t>Amortissement restant</t>
        </is>
      </c>
      <c r="B131" s="22" t="inlineStr">
        <is>
          <t>USD</t>
        </is>
      </c>
      <c r="M131" s="8">
        <f>M127-M130</f>
        <v/>
      </c>
    </row>
    <row r="132">
      <c r="A132" s="22" t="n"/>
      <c r="B132" s="22" t="n"/>
    </row>
    <row r="133">
      <c r="A133" s="2" t="inlineStr">
        <is>
          <t>Amortissements des dépenses de réhabilitation</t>
        </is>
      </c>
      <c r="B133" s="22" t="inlineStr">
        <is>
          <t>USD</t>
        </is>
      </c>
      <c r="C133" s="8">
        <f>C130</f>
        <v/>
      </c>
      <c r="D133" s="8">
        <f>D130</f>
        <v/>
      </c>
      <c r="E133" s="8">
        <f>E130</f>
        <v/>
      </c>
      <c r="F133" s="8">
        <f>F130</f>
        <v/>
      </c>
      <c r="G133" s="8">
        <f>G130</f>
        <v/>
      </c>
      <c r="H133" s="8">
        <f>H130</f>
        <v/>
      </c>
      <c r="I133" s="8">
        <f>I130</f>
        <v/>
      </c>
      <c r="J133" s="8">
        <f>J130</f>
        <v/>
      </c>
      <c r="K133" s="8">
        <f>K130</f>
        <v/>
      </c>
      <c r="L133" s="8">
        <f>L130</f>
        <v/>
      </c>
      <c r="M133" s="8">
        <f>M130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40.83203125" customWidth="1" min="1" max="1"/>
    <col width="10.83203125" customWidth="1" min="2" max="2"/>
    <col width="15.83203125" customWidth="1" min="3" max="3"/>
    <col width="10.83203125" customWidth="1" min="16" max="16"/>
  </cols>
  <sheetData>
    <row r="1">
      <c r="A1" s="1" t="inlineStr">
        <is>
          <t>Nom</t>
        </is>
      </c>
      <c r="B1" s="1" t="inlineStr">
        <is>
          <t>Unité</t>
        </is>
      </c>
      <c r="C1" s="1" t="inlineStr">
        <is>
          <t>Année 1</t>
        </is>
      </c>
      <c r="D1" s="1" t="inlineStr">
        <is>
          <t>Année 2</t>
        </is>
      </c>
      <c r="E1" s="1" t="inlineStr">
        <is>
          <t>Année 3</t>
        </is>
      </c>
      <c r="F1" s="1" t="inlineStr">
        <is>
          <t>Année 4</t>
        </is>
      </c>
      <c r="G1" s="1" t="inlineStr">
        <is>
          <t>Année 5</t>
        </is>
      </c>
      <c r="H1" s="1" t="inlineStr">
        <is>
          <t>Année 6</t>
        </is>
      </c>
      <c r="I1" s="1" t="inlineStr">
        <is>
          <t>Année 7</t>
        </is>
      </c>
      <c r="J1" s="1" t="inlineStr">
        <is>
          <t>Année 8</t>
        </is>
      </c>
      <c r="K1" s="1" t="inlineStr">
        <is>
          <t>Année 9</t>
        </is>
      </c>
      <c r="L1" s="1" t="inlineStr">
        <is>
          <t>Année 10</t>
        </is>
      </c>
      <c r="M1" s="1" t="inlineStr">
        <is>
          <t>Année 11</t>
        </is>
      </c>
      <c r="N1" s="1" t="inlineStr">
        <is>
          <t>SOMME</t>
        </is>
      </c>
      <c r="O1" s="1" t="inlineStr">
        <is>
          <t>VAN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5" t="inlineStr">
        <is>
          <t>I. PRODUCTION</t>
        </is>
      </c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</row>
    <row r="4">
      <c r="A4" s="2" t="inlineStr">
        <is>
          <t>Production d'or</t>
        </is>
      </c>
      <c r="B4" s="3" t="inlineStr">
        <is>
          <t>oz</t>
        </is>
      </c>
      <c r="C4" s="8" t="n"/>
      <c r="D4" s="8" t="n"/>
      <c r="E4" s="8" t="n">
        <v>250000</v>
      </c>
      <c r="F4" s="8" t="n">
        <v>250000</v>
      </c>
      <c r="G4" s="8" t="n">
        <v>250000</v>
      </c>
      <c r="H4" s="8" t="n">
        <v>250000</v>
      </c>
      <c r="I4" s="8" t="n">
        <v>250000</v>
      </c>
      <c r="J4" s="8" t="n">
        <v>250000</v>
      </c>
      <c r="K4" s="8" t="n">
        <v>250000</v>
      </c>
      <c r="L4" s="8" t="n">
        <v>250000</v>
      </c>
      <c r="M4" s="8" t="n"/>
      <c r="N4" s="9">
        <f>SUM($C4:$M4)</f>
        <v/>
      </c>
      <c r="O4" s="9" t="n"/>
    </row>
    <row r="5">
      <c r="A5" s="2" t="inlineStr">
        <is>
          <t>Cours de l'or</t>
        </is>
      </c>
      <c r="B5" s="3" t="inlineStr">
        <is>
          <t>USD/oz</t>
        </is>
      </c>
      <c r="C5" s="8" t="n"/>
      <c r="D5" s="8" t="n"/>
      <c r="E5" s="8" t="n">
        <v>1300</v>
      </c>
      <c r="F5" s="8" t="n">
        <v>1300</v>
      </c>
      <c r="G5" s="8" t="n">
        <v>1300</v>
      </c>
      <c r="H5" s="8" t="n">
        <v>1300</v>
      </c>
      <c r="I5" s="8" t="n">
        <v>1300</v>
      </c>
      <c r="J5" s="8" t="n">
        <v>1300</v>
      </c>
      <c r="K5" s="8" t="n">
        <v>1300</v>
      </c>
      <c r="L5" s="8" t="n">
        <v>1300</v>
      </c>
      <c r="M5" s="8" t="n"/>
      <c r="N5" s="9" t="n"/>
      <c r="O5" s="9" t="n"/>
    </row>
    <row r="6">
      <c r="A6" s="2" t="inlineStr">
        <is>
          <t>Chiffre d'affaires</t>
        </is>
      </c>
      <c r="B6" s="3" t="inlineStr">
        <is>
          <t>USD</t>
        </is>
      </c>
      <c r="C6" s="10">
        <f>C$4*C$5</f>
        <v/>
      </c>
      <c r="D6" s="10">
        <f>D$4*D$5</f>
        <v/>
      </c>
      <c r="E6" s="10">
        <f>E$4*E$5</f>
        <v/>
      </c>
      <c r="F6" s="10">
        <f>F$4*F$5</f>
        <v/>
      </c>
      <c r="G6" s="10">
        <f>G$4*G$5</f>
        <v/>
      </c>
      <c r="H6" s="10">
        <f>H$4*H$5</f>
        <v/>
      </c>
      <c r="I6" s="10">
        <f>I$4*I$5</f>
        <v/>
      </c>
      <c r="J6" s="10">
        <f>J$4*J$5</f>
        <v/>
      </c>
      <c r="K6" s="10">
        <f>K$4*K$5</f>
        <v/>
      </c>
      <c r="L6" s="10">
        <f>L$4*L$5</f>
        <v/>
      </c>
      <c r="M6" s="10">
        <f>M$4*M$5</f>
        <v/>
      </c>
      <c r="N6" s="10">
        <f>SUM($C6:$M6)</f>
        <v/>
      </c>
      <c r="O6" s="10">
        <f>$C6+NPV(10%,$D6:$M6)</f>
        <v/>
      </c>
    </row>
    <row r="7">
      <c r="A7" s="2" t="n"/>
      <c r="B7" s="3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5" t="inlineStr">
        <is>
          <t>II. DEPENSES D'INVESTISSEMENT (CAPEX)</t>
        </is>
      </c>
      <c r="B8" s="6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</row>
    <row r="9">
      <c r="A9" s="2" t="inlineStr">
        <is>
          <t>Coûts des construction industrielles</t>
        </is>
      </c>
      <c r="B9" s="3" t="inlineStr">
        <is>
          <t>USD</t>
        </is>
      </c>
      <c r="C9" s="8" t="n">
        <v>50000000</v>
      </c>
      <c r="D9" s="8" t="n">
        <v>100000000</v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9">
        <f>SUM($C9:$M9)</f>
        <v/>
      </c>
      <c r="O9" s="9">
        <f>$C9+NPV(10%,$D9:$M9)</f>
        <v/>
      </c>
    </row>
    <row r="10">
      <c r="A10" s="2" t="inlineStr">
        <is>
          <t>Coûts des biens d'équipement</t>
        </is>
      </c>
      <c r="B10" s="3" t="inlineStr">
        <is>
          <t>USD</t>
        </is>
      </c>
      <c r="C10" s="8" t="n"/>
      <c r="D10" s="8" t="n">
        <v>50000000</v>
      </c>
      <c r="E10" s="8" t="n">
        <v>5000000</v>
      </c>
      <c r="F10" s="8" t="n">
        <v>5000000</v>
      </c>
      <c r="G10" s="8" t="n">
        <v>5000000</v>
      </c>
      <c r="H10" s="8" t="n">
        <v>5000000</v>
      </c>
      <c r="I10" s="8" t="n">
        <v>5000000</v>
      </c>
      <c r="J10" s="8" t="n">
        <v>5000000</v>
      </c>
      <c r="K10" s="8" t="n">
        <v>5000000</v>
      </c>
      <c r="L10" s="8" t="n">
        <v>5000000</v>
      </c>
      <c r="M10" s="8" t="n"/>
      <c r="N10" s="9">
        <f>SUM($C10:$M10)</f>
        <v/>
      </c>
      <c r="O10" s="9">
        <f>$C10+NPV(10%,$D10:$M10)</f>
        <v/>
      </c>
    </row>
    <row r="11">
      <c r="A11" s="2" t="inlineStr">
        <is>
          <t>Coûts de réhabilitation du site</t>
        </is>
      </c>
      <c r="B11" s="3" t="inlineStr">
        <is>
          <t>USD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>
        <v>10000000</v>
      </c>
      <c r="N11" s="9">
        <f>SUM($C11:$M11)</f>
        <v/>
      </c>
      <c r="O11" s="9">
        <f>$C11+NPV(10%,$D11:$M11)</f>
        <v/>
      </c>
    </row>
    <row r="12">
      <c r="A12" s="2" t="inlineStr">
        <is>
          <t>Total des dépenses d'investissement</t>
        </is>
      </c>
      <c r="B12" s="3" t="inlineStr">
        <is>
          <t>USD</t>
        </is>
      </c>
      <c r="C12" s="10">
        <f>SUM(C$9:C$11)</f>
        <v/>
      </c>
      <c r="D12" s="10">
        <f>SUM(D$9:D$11)</f>
        <v/>
      </c>
      <c r="E12" s="10">
        <f>SUM(E$9:E$11)</f>
        <v/>
      </c>
      <c r="F12" s="10">
        <f>SUM(F$9:F$11)</f>
        <v/>
      </c>
      <c r="G12" s="10">
        <f>SUM(G$9:G$11)</f>
        <v/>
      </c>
      <c r="H12" s="10">
        <f>SUM(H$9:H$11)</f>
        <v/>
      </c>
      <c r="I12" s="10">
        <f>SUM(I$9:I$11)</f>
        <v/>
      </c>
      <c r="J12" s="10">
        <f>SUM(J$9:J$11)</f>
        <v/>
      </c>
      <c r="K12" s="10">
        <f>SUM(K$9:K$11)</f>
        <v/>
      </c>
      <c r="L12" s="10">
        <f>SUM(L$9:L$11)</f>
        <v/>
      </c>
      <c r="M12" s="10">
        <f>SUM(M$9:M$11)</f>
        <v/>
      </c>
      <c r="N12" s="10">
        <f>SUM($C12:$M12)</f>
        <v/>
      </c>
      <c r="O12" s="10">
        <f>$C12+NPV(10%,$D12:$M12)</f>
        <v/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5" t="inlineStr">
        <is>
          <t>III. COÛTS D'EXPLOITATION (OPEX)</t>
        </is>
      </c>
      <c r="B14" s="6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</row>
    <row r="15">
      <c r="A15" s="2" t="inlineStr">
        <is>
          <t>Coût moyen d'exploitation</t>
        </is>
      </c>
      <c r="B15" s="3" t="inlineStr">
        <is>
          <t>USD/oz</t>
        </is>
      </c>
      <c r="C15" s="8" t="n"/>
      <c r="D15" s="8" t="n"/>
      <c r="E15" s="8" t="n">
        <v>700</v>
      </c>
      <c r="F15" s="8" t="n">
        <v>700</v>
      </c>
      <c r="G15" s="8" t="n">
        <v>700</v>
      </c>
      <c r="H15" s="8" t="n">
        <v>700</v>
      </c>
      <c r="I15" s="8" t="n">
        <v>700</v>
      </c>
      <c r="J15" s="8" t="n">
        <v>700</v>
      </c>
      <c r="K15" s="8" t="n">
        <v>700</v>
      </c>
      <c r="L15" s="8" t="n">
        <v>700</v>
      </c>
      <c r="M15" s="8" t="n"/>
      <c r="N15" s="12" t="n"/>
      <c r="O15" s="12" t="n"/>
    </row>
    <row r="16">
      <c r="A16" s="2" t="inlineStr">
        <is>
          <t>Total des coûts d'exploitation</t>
        </is>
      </c>
      <c r="B16" s="3" t="inlineStr">
        <is>
          <t>USD</t>
        </is>
      </c>
      <c r="C16" s="10">
        <f>C$4*C$15</f>
        <v/>
      </c>
      <c r="D16" s="10">
        <f>D$4*D$15</f>
        <v/>
      </c>
      <c r="E16" s="10">
        <f>E$4*E$15</f>
        <v/>
      </c>
      <c r="F16" s="10">
        <f>F$4*F$15</f>
        <v/>
      </c>
      <c r="G16" s="10">
        <f>G$4*G$15</f>
        <v/>
      </c>
      <c r="H16" s="10">
        <f>H$4*H$15</f>
        <v/>
      </c>
      <c r="I16" s="10">
        <f>I$4*I$15</f>
        <v/>
      </c>
      <c r="J16" s="10">
        <f>J$4*J$15</f>
        <v/>
      </c>
      <c r="K16" s="10">
        <f>K$4*K$15</f>
        <v/>
      </c>
      <c r="L16" s="10">
        <f>L$4*L$15</f>
        <v/>
      </c>
      <c r="M16" s="10">
        <f>M$4*M$15</f>
        <v/>
      </c>
      <c r="N16" s="10">
        <f>SUM($C16:$M16)</f>
        <v/>
      </c>
      <c r="O16" s="10">
        <f>$C16+NPV(10%,$D16:$M16)</f>
        <v/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5" t="inlineStr">
        <is>
          <t>IV. FLUX NETS DE TRESORERIE AVANT IMPÔTS</t>
        </is>
      </c>
      <c r="B18" s="6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</row>
    <row r="19">
      <c r="A19" s="2" t="inlineStr">
        <is>
          <t>Flux nets de trésorerie avant impôts</t>
        </is>
      </c>
      <c r="B19" s="3" t="inlineStr">
        <is>
          <t>USD</t>
        </is>
      </c>
      <c r="C19" s="10">
        <f>C$6-C$12-C$16</f>
        <v/>
      </c>
      <c r="D19" s="10">
        <f>D$6-D$12-D$16</f>
        <v/>
      </c>
      <c r="E19" s="10">
        <f>E$6-E$12-E$16</f>
        <v/>
      </c>
      <c r="F19" s="10">
        <f>F$6-F$12-F$16</f>
        <v/>
      </c>
      <c r="G19" s="10">
        <f>G$6-G$12-G$16</f>
        <v/>
      </c>
      <c r="H19" s="10">
        <f>H$6-H$12-H$16</f>
        <v/>
      </c>
      <c r="I19" s="10">
        <f>I$6-I$12-I$16</f>
        <v/>
      </c>
      <c r="J19" s="10">
        <f>J$6-J$12-J$16</f>
        <v/>
      </c>
      <c r="K19" s="10">
        <f>K$6-K$12-K$16</f>
        <v/>
      </c>
      <c r="L19" s="10">
        <f>L$6-L$12-L$16</f>
        <v/>
      </c>
      <c r="M19" s="10">
        <f>M$6-M$12-M$16</f>
        <v/>
      </c>
      <c r="N19" s="10">
        <f>SUM($C19:$M19)</f>
        <v/>
      </c>
      <c r="O19" s="10">
        <f>$C19+NPV(10%,$D19:$M19)</f>
        <v/>
      </c>
    </row>
    <row r="20">
      <c r="A20" s="2" t="inlineStr">
        <is>
          <t>Taux de rendement interne avant impôts</t>
        </is>
      </c>
      <c r="B20" s="3" t="inlineStr">
        <is>
          <t>%</t>
        </is>
      </c>
      <c r="C20" s="14">
        <f>IF(ISNUMBER(IRR($C19:C19)),IF(IRR($C19:C19)&gt;0,IRR($C19:C19),""),"")</f>
        <v/>
      </c>
      <c r="D20" s="14">
        <f>IF(ISNUMBER(IRR($C19:D19)),IF(IRR($C19:D19)&gt;0,IRR($C19:D19),""),"")</f>
        <v/>
      </c>
      <c r="E20" s="14">
        <f>IF(ISNUMBER(IRR($C19:E19)),IF(IRR($C19:E19)&gt;0,IRR($C19:E19),""),"")</f>
        <v/>
      </c>
      <c r="F20" s="14">
        <f>IF(ISNUMBER(IRR($C19:F19)),IF(IRR($C19:F19)&gt;0,IRR($C19:F19),""),"")</f>
        <v/>
      </c>
      <c r="G20" s="14">
        <f>IF(ISNUMBER(IRR($C19:G19)),IF(IRR($C19:G19)&gt;0,IRR($C19:G19),""),"")</f>
        <v/>
      </c>
      <c r="H20" s="14">
        <f>IF(ISNUMBER(IRR($C19:H19)),IF(IRR($C19:H19)&gt;0,IRR($C19:H19),""),"")</f>
        <v/>
      </c>
      <c r="I20" s="14">
        <f>IF(ISNUMBER(IRR($C19:I19)),IF(IRR($C19:I19)&gt;0,IRR($C19:I19),""),"")</f>
        <v/>
      </c>
      <c r="J20" s="14">
        <f>IF(ISNUMBER(IRR($C19:J19)),IF(IRR($C19:J19)&gt;0,IRR($C19:J19),""),"")</f>
        <v/>
      </c>
      <c r="K20" s="14">
        <f>IF(ISNUMBER(IRR($C19:K19)),IF(IRR($C19:K19)&gt;0,IRR($C19:K19),""),"")</f>
        <v/>
      </c>
      <c r="L20" s="14">
        <f>IF(ISNUMBER(IRR($C19:L19)),IF(IRR($C19:L19)&gt;0,IRR($C19:L19),""),"")</f>
        <v/>
      </c>
      <c r="M20" s="14">
        <f>IF(ISNUMBER(IRR($C19:M19)),IF(IRR($C19:M19)&gt;0,IRR($C19:M19),""),"")</f>
        <v/>
      </c>
      <c r="N20" s="15" t="n"/>
      <c r="O20" s="15" t="n"/>
    </row>
    <row r="21">
      <c r="A21" s="2" t="n"/>
      <c r="B21" s="3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7" t="n"/>
      <c r="O21" s="17" t="n"/>
    </row>
    <row r="22">
      <c r="A22" s="5" t="inlineStr">
        <is>
          <t>V. DROITS FIXES</t>
        </is>
      </c>
      <c r="B22" s="18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</row>
    <row r="23">
      <c r="A23" s="2" t="inlineStr">
        <is>
          <t>Droits fixes</t>
        </is>
      </c>
      <c r="B23" s="3" t="inlineStr">
        <is>
          <t>USD</t>
        </is>
      </c>
      <c r="C23" s="19" t="n">
        <v>100000</v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0">
        <f>SUM($C23:$M23)</f>
        <v/>
      </c>
      <c r="O23" s="10">
        <f>$C23+NPV(10%,$D23:$M23)</f>
        <v/>
      </c>
    </row>
    <row r="24">
      <c r="A24" s="2" t="n"/>
      <c r="B24" s="3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7" t="n"/>
      <c r="O24" s="17" t="n"/>
    </row>
    <row r="25">
      <c r="A25" s="5" t="inlineStr">
        <is>
          <t>VI. REDEVANCE SUPERFICAIRE</t>
        </is>
      </c>
      <c r="B25" s="6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>
      <c r="A26" s="2" t="inlineStr">
        <is>
          <t>Superficie de la mine</t>
        </is>
      </c>
      <c r="B26" s="3" t="inlineStr">
        <is>
          <t>km²</t>
        </is>
      </c>
      <c r="C26" s="8" t="n">
        <v>100</v>
      </c>
      <c r="D26" s="8" t="n">
        <v>100</v>
      </c>
      <c r="E26" s="8" t="n">
        <v>100</v>
      </c>
      <c r="F26" s="8" t="n">
        <v>100</v>
      </c>
      <c r="G26" s="8" t="n">
        <v>100</v>
      </c>
      <c r="H26" s="8" t="n">
        <v>100</v>
      </c>
      <c r="I26" s="8" t="n">
        <v>100</v>
      </c>
      <c r="J26" s="8" t="n">
        <v>100</v>
      </c>
      <c r="K26" s="8" t="n">
        <v>100</v>
      </c>
      <c r="L26" s="8" t="n">
        <v>100</v>
      </c>
      <c r="M26" s="8" t="n">
        <v>100</v>
      </c>
      <c r="N26" s="12" t="n"/>
      <c r="O26" s="12" t="n"/>
    </row>
    <row r="27">
      <c r="A27" s="2" t="inlineStr">
        <is>
          <t>Montant de la redevance superfiaire</t>
        </is>
      </c>
      <c r="B27" s="3" t="inlineStr">
        <is>
          <t>USD/km²</t>
        </is>
      </c>
      <c r="C27" s="19" t="n">
        <v>100</v>
      </c>
      <c r="D27" s="19" t="n">
        <v>100</v>
      </c>
      <c r="E27" s="19" t="n">
        <v>100</v>
      </c>
      <c r="F27" s="19" t="n">
        <v>100</v>
      </c>
      <c r="G27" s="19" t="n">
        <v>100</v>
      </c>
      <c r="H27" s="19" t="n">
        <v>100</v>
      </c>
      <c r="I27" s="19" t="n">
        <v>100</v>
      </c>
      <c r="J27" s="19" t="n">
        <v>100</v>
      </c>
      <c r="K27" s="19" t="n">
        <v>100</v>
      </c>
      <c r="L27" s="19" t="n">
        <v>100</v>
      </c>
      <c r="M27" s="19" t="n">
        <v>100</v>
      </c>
      <c r="N27" s="12" t="n"/>
      <c r="O27" s="12" t="n"/>
    </row>
    <row r="28">
      <c r="A28" s="2" t="inlineStr">
        <is>
          <t>Redevance superficiaire</t>
        </is>
      </c>
      <c r="B28" s="3" t="inlineStr">
        <is>
          <t>USD</t>
        </is>
      </c>
      <c r="C28" s="10">
        <f>C$26*C$27</f>
        <v/>
      </c>
      <c r="D28" s="10">
        <f>D$26*D$27</f>
        <v/>
      </c>
      <c r="E28" s="10">
        <f>E$26*E$27</f>
        <v/>
      </c>
      <c r="F28" s="10">
        <f>F$26*F$27</f>
        <v/>
      </c>
      <c r="G28" s="10">
        <f>G$26*G$27</f>
        <v/>
      </c>
      <c r="H28" s="10">
        <f>H$26*H$27</f>
        <v/>
      </c>
      <c r="I28" s="10">
        <f>I$26*I$27</f>
        <v/>
      </c>
      <c r="J28" s="10">
        <f>J$26*J$27</f>
        <v/>
      </c>
      <c r="K28" s="10">
        <f>K$26*K$27</f>
        <v/>
      </c>
      <c r="L28" s="10">
        <f>L$26*L$27</f>
        <v/>
      </c>
      <c r="M28" s="10">
        <f>M$26*M$27</f>
        <v/>
      </c>
      <c r="N28" s="10">
        <f>SUM($C28:$M28)</f>
        <v/>
      </c>
      <c r="O28" s="10">
        <f>$C28+NPV(10%,$D28:$M28)</f>
        <v/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5" t="inlineStr">
        <is>
          <t>VII. REDEVANCE MINIERE</t>
        </is>
      </c>
      <c r="B30" s="6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  <row r="31">
      <c r="A31" s="2" t="inlineStr">
        <is>
          <t>Taux de la redevance minière</t>
        </is>
      </c>
      <c r="B31" s="3" t="inlineStr">
        <is>
          <t>%</t>
        </is>
      </c>
      <c r="C31" s="21">
        <f>IF(ISNUMBER(C5),IF(C$5&lt;1300,3%,IF(C$5&lt;1500,4%,5%)),"")</f>
        <v/>
      </c>
      <c r="D31" s="21">
        <f>IF(ISNUMBER(D5),IF(D$5&lt;1300,3%,IF(D$5&lt;1500,4%,5%)),"")</f>
        <v/>
      </c>
      <c r="E31" s="21">
        <f>IF(ISNUMBER(E5),IF(E$5&lt;1300,3%,IF(E$5&lt;1500,4%,5%)),"")</f>
        <v/>
      </c>
      <c r="F31" s="21">
        <f>IF(ISNUMBER(F5),IF(F$5&lt;1300,3%,IF(F$5&lt;1500,4%,5%)),"")</f>
        <v/>
      </c>
      <c r="G31" s="21">
        <f>IF(ISNUMBER(G5),IF(G$5&lt;1300,3%,IF(G$5&lt;1500,4%,5%)),"")</f>
        <v/>
      </c>
      <c r="H31" s="21">
        <f>IF(ISNUMBER(H5),IF(H$5&lt;1300,3%,IF(H$5&lt;1500,4%,5%)),"")</f>
        <v/>
      </c>
      <c r="I31" s="21">
        <f>IF(ISNUMBER(I5),IF(I$5&lt;1300,3%,IF(I$5&lt;1500,4%,5%)),"")</f>
        <v/>
      </c>
      <c r="J31" s="21">
        <f>IF(ISNUMBER(J5),IF(J$5&lt;1300,3%,IF(J$5&lt;1500,4%,5%)),"")</f>
        <v/>
      </c>
      <c r="K31" s="21">
        <f>IF(ISNUMBER(K5),IF(K$5&lt;1300,3%,IF(K$5&lt;1500,4%,5%)),"")</f>
        <v/>
      </c>
      <c r="L31" s="21">
        <f>IF(ISNUMBER(L5),IF(L$5&lt;1300,3%,IF(L$5&lt;1500,4%,5%)),"")</f>
        <v/>
      </c>
      <c r="M31" s="21">
        <f>IF(ISNUMBER(M5),IF(M$5&lt;1300,3%,IF(M$5&lt;1500,4%,5%)),"")</f>
        <v/>
      </c>
      <c r="N31" s="12" t="n"/>
      <c r="O31" s="12" t="n"/>
    </row>
    <row r="32">
      <c r="A32" s="2" t="inlineStr">
        <is>
          <t>Redevance minière</t>
        </is>
      </c>
      <c r="B32" s="3" t="inlineStr">
        <is>
          <t>USD</t>
        </is>
      </c>
      <c r="C32" s="10">
        <f>IF(ISNUMBER(C31),C$6*C$31,0)</f>
        <v/>
      </c>
      <c r="D32" s="10">
        <f>IF(ISNUMBER(D31),D$6*D$31,0)</f>
        <v/>
      </c>
      <c r="E32" s="10">
        <f>IF(ISNUMBER(E31),E$6*E$31,0)</f>
        <v/>
      </c>
      <c r="F32" s="10">
        <f>IF(ISNUMBER(F31),F$6*F$31,0)</f>
        <v/>
      </c>
      <c r="G32" s="10">
        <f>IF(ISNUMBER(G31),G$6*G$31,0)</f>
        <v/>
      </c>
      <c r="H32" s="10">
        <f>IF(ISNUMBER(H31),H$6*H$31,0)</f>
        <v/>
      </c>
      <c r="I32" s="10">
        <f>IF(ISNUMBER(I31),I$6*I$31,0)</f>
        <v/>
      </c>
      <c r="J32" s="10">
        <f>IF(ISNUMBER(J31),J$6*J$31,0)</f>
        <v/>
      </c>
      <c r="K32" s="10">
        <f>IF(ISNUMBER(K31),K$6*K$31,0)</f>
        <v/>
      </c>
      <c r="L32" s="10">
        <f>IF(ISNUMBER(L31),L$6*L$31,0)</f>
        <v/>
      </c>
      <c r="M32" s="10">
        <f>IF(ISNUMBER(M31),M$6*M$31,0)</f>
        <v/>
      </c>
      <c r="N32" s="10">
        <f>SUM($C32:$M32)</f>
        <v/>
      </c>
      <c r="O32" s="10">
        <f>$C32+NPV(10%,$D32:$M32)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7"/>
  <sheetViews>
    <sheetView workbookViewId="0">
      <selection activeCell="A1" sqref="A1"/>
    </sheetView>
  </sheetViews>
  <sheetFormatPr baseColWidth="8" defaultRowHeight="15"/>
  <cols>
    <col width="40.83203125" customWidth="1" min="1" max="1"/>
    <col width="10.83203125" customWidth="1" min="2" max="2"/>
    <col width="15.83203125" customWidth="1" min="3" max="3"/>
    <col width="10.83203125" customWidth="1" min="14" max="14"/>
  </cols>
  <sheetData>
    <row r="1">
      <c r="A1" s="1" t="inlineStr">
        <is>
          <t>Nom</t>
        </is>
      </c>
      <c r="B1" s="1" t="inlineStr">
        <is>
          <t>Unité</t>
        </is>
      </c>
      <c r="C1" s="1" t="inlineStr">
        <is>
          <t>Année 1</t>
        </is>
      </c>
      <c r="D1" s="1" t="inlineStr">
        <is>
          <t>Année 2</t>
        </is>
      </c>
      <c r="E1" s="1" t="inlineStr">
        <is>
          <t>Année 3</t>
        </is>
      </c>
      <c r="F1" s="1" t="inlineStr">
        <is>
          <t>Année 4</t>
        </is>
      </c>
      <c r="G1" s="1" t="inlineStr">
        <is>
          <t>Année 5</t>
        </is>
      </c>
      <c r="H1" s="1" t="inlineStr">
        <is>
          <t>Année 6</t>
        </is>
      </c>
      <c r="I1" s="1" t="inlineStr">
        <is>
          <t>Année 7</t>
        </is>
      </c>
      <c r="J1" s="1" t="inlineStr">
        <is>
          <t>Année 8</t>
        </is>
      </c>
      <c r="K1" s="1" t="inlineStr">
        <is>
          <t>Année 9</t>
        </is>
      </c>
      <c r="L1" s="1" t="inlineStr">
        <is>
          <t>Année 10</t>
        </is>
      </c>
      <c r="M1" s="1" t="inlineStr">
        <is>
          <t>Année 11</t>
        </is>
      </c>
    </row>
    <row r="2"/>
    <row r="3">
      <c r="A3" s="2" t="inlineStr">
        <is>
          <t>Durée restante maximum</t>
        </is>
      </c>
      <c r="B3" s="22" t="inlineStr">
        <is>
          <t>Années</t>
        </is>
      </c>
      <c r="C3" s="23" t="n">
        <v>11</v>
      </c>
      <c r="D3" s="23" t="n">
        <v>10</v>
      </c>
      <c r="E3" s="23" t="n">
        <v>9</v>
      </c>
      <c r="F3" s="23" t="n">
        <v>8</v>
      </c>
      <c r="G3" s="23" t="n">
        <v>7</v>
      </c>
      <c r="H3" s="23" t="n">
        <v>6</v>
      </c>
      <c r="I3" s="23" t="n">
        <v>5</v>
      </c>
      <c r="J3" s="23" t="n">
        <v>4</v>
      </c>
      <c r="K3" s="23" t="n">
        <v>3</v>
      </c>
      <c r="L3" s="23" t="n">
        <v>2</v>
      </c>
      <c r="M3" s="23" t="n">
        <v>1</v>
      </c>
    </row>
    <row r="4">
      <c r="A4" s="22" t="n"/>
      <c r="B4" s="22" t="n"/>
    </row>
    <row r="5">
      <c r="A5" s="5" t="inlineStr">
        <is>
          <t>I. AMORTISSEMENTS DES CONSTRUCTIONS INDUSTRIELLES</t>
        </is>
      </c>
      <c r="B5" s="24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</row>
    <row r="6">
      <c r="A6" s="2" t="inlineStr">
        <is>
          <t>Durée d'amortissement linéaire</t>
        </is>
      </c>
      <c r="B6" s="22" t="inlineStr">
        <is>
          <t>Années</t>
        </is>
      </c>
      <c r="C6" s="19" t="n">
        <v>10</v>
      </c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</row>
    <row r="7">
      <c r="A7" s="2" t="inlineStr">
        <is>
          <t>Coefficient d'amortissement dégressif</t>
        </is>
      </c>
      <c r="B7" s="22" t="inlineStr">
        <is>
          <t>Coefficient</t>
        </is>
      </c>
      <c r="C7" s="19" t="n">
        <v>1</v>
      </c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</row>
    <row r="8">
      <c r="A8" s="22" t="n"/>
      <c r="B8" s="22" t="n"/>
    </row>
    <row r="9">
      <c r="A9" s="2" t="inlineStr">
        <is>
          <t>Immobilisations de l'année A1</t>
        </is>
      </c>
      <c r="B9" s="22" t="n"/>
    </row>
    <row r="10">
      <c r="A10" s="22" t="inlineStr">
        <is>
          <t>Durée restante</t>
        </is>
      </c>
      <c r="B10" s="22" t="inlineStr">
        <is>
          <t>Années</t>
        </is>
      </c>
      <c r="C10" s="23">
        <f>IF($C$6&lt;C$3,$C$6,C$3)</f>
        <v/>
      </c>
      <c r="D10" s="8">
        <f>IF(C10=0,0,IF(C10-1&lt;D$3,C10-1,D$3))</f>
        <v/>
      </c>
      <c r="E10" s="8">
        <f>IF(D10=0,0,IF(D10-1&lt;E$3,D10-1,E$3))</f>
        <v/>
      </c>
      <c r="F10" s="8">
        <f>IF(E10=0,0,IF(E10-1&lt;F$3,E10-1,F$3))</f>
        <v/>
      </c>
      <c r="G10" s="8">
        <f>IF(F10=0,0,IF(F10-1&lt;G$3,F10-1,G$3))</f>
        <v/>
      </c>
      <c r="H10" s="8">
        <f>IF(G10=0,0,IF(G10-1&lt;H$3,G10-1,H$3))</f>
        <v/>
      </c>
      <c r="I10" s="8">
        <f>IF(H10=0,0,IF(H10-1&lt;I$3,H10-1,I$3))</f>
        <v/>
      </c>
      <c r="J10" s="8">
        <f>IF(I10=0,0,IF(I10-1&lt;J$3,I10-1,J$3))</f>
        <v/>
      </c>
      <c r="K10" s="8">
        <f>IF(J10=0,0,IF(J10-1&lt;K$3,J10-1,K$3))</f>
        <v/>
      </c>
      <c r="L10" s="8">
        <f>IF(K10=0,0,IF(K10-1&lt;L$3,K10-1,L$3))</f>
        <v/>
      </c>
      <c r="M10" s="8">
        <f>IF(L10=0,0,IF(L10-1&lt;M$3,L10-1,M$3))</f>
        <v/>
      </c>
    </row>
    <row r="11">
      <c r="A11" s="22" t="inlineStr">
        <is>
          <t>Base amortissable</t>
        </is>
      </c>
      <c r="B11" s="22" t="inlineStr">
        <is>
          <t>USD</t>
        </is>
      </c>
      <c r="C11" s="23">
        <f>Modèle!C$9</f>
        <v/>
      </c>
      <c r="D11" s="8">
        <f>C15</f>
        <v/>
      </c>
      <c r="E11" s="8">
        <f>D15</f>
        <v/>
      </c>
      <c r="F11" s="8">
        <f>E15</f>
        <v/>
      </c>
      <c r="G11" s="8">
        <f>F15</f>
        <v/>
      </c>
      <c r="H11" s="8">
        <f>G15</f>
        <v/>
      </c>
      <c r="I11" s="8">
        <f>H15</f>
        <v/>
      </c>
      <c r="J11" s="8">
        <f>I15</f>
        <v/>
      </c>
      <c r="K11" s="8">
        <f>J15</f>
        <v/>
      </c>
      <c r="L11" s="8">
        <f>K15</f>
        <v/>
      </c>
      <c r="M11" s="8">
        <f>L15</f>
        <v/>
      </c>
    </row>
    <row r="12">
      <c r="A12" s="22" t="inlineStr">
        <is>
          <t>Inverse de la durée restante</t>
        </is>
      </c>
      <c r="B12" s="22" t="inlineStr">
        <is>
          <t>%</t>
        </is>
      </c>
      <c r="C12" s="27">
        <f>IF(C10=0,0,1/C10)</f>
        <v/>
      </c>
      <c r="D12" s="27">
        <f>IF(D10=0,0,1/D10)</f>
        <v/>
      </c>
      <c r="E12" s="27">
        <f>IF(E10=0,0,1/E10)</f>
        <v/>
      </c>
      <c r="F12" s="27">
        <f>IF(F10=0,0,1/F10)</f>
        <v/>
      </c>
      <c r="G12" s="27">
        <f>IF(G10=0,0,1/G10)</f>
        <v/>
      </c>
      <c r="H12" s="27">
        <f>IF(H10=0,0,1/H10)</f>
        <v/>
      </c>
      <c r="I12" s="27">
        <f>IF(I10=0,0,1/I10)</f>
        <v/>
      </c>
      <c r="J12" s="27">
        <f>IF(J10=0,0,1/J10)</f>
        <v/>
      </c>
      <c r="K12" s="27">
        <f>IF(K10=0,0,1/K10)</f>
        <v/>
      </c>
      <c r="L12" s="27">
        <f>IF(L10=0,0,1/L10)</f>
        <v/>
      </c>
      <c r="M12" s="27">
        <f>IF(M10=0,0,1/M10)</f>
        <v/>
      </c>
    </row>
    <row r="13">
      <c r="A13" s="22" t="inlineStr">
        <is>
          <t>Taux dégressif</t>
        </is>
      </c>
      <c r="B13" s="22" t="inlineStr">
        <is>
          <t>%</t>
        </is>
      </c>
      <c r="C13" s="27">
        <f>IF(C10=0,0,IF($C$7*1/$C$6&gt;C12,$C$7*1/$C$6,C12))</f>
        <v/>
      </c>
      <c r="D13" s="27">
        <f>IF(D10=0,0,IF($C$7*1/$C$6&gt;D12,$C$7*1/$C$6,D12))</f>
        <v/>
      </c>
      <c r="E13" s="27">
        <f>IF(E10=0,0,IF($C$7*1/$C$6&gt;E12,$C$7*1/$C$6,E12))</f>
        <v/>
      </c>
      <c r="F13" s="27">
        <f>IF(F10=0,0,IF($C$7*1/$C$6&gt;F12,$C$7*1/$C$6,F12))</f>
        <v/>
      </c>
      <c r="G13" s="27">
        <f>IF(G10=0,0,IF($C$7*1/$C$6&gt;G12,$C$7*1/$C$6,G12))</f>
        <v/>
      </c>
      <c r="H13" s="27">
        <f>IF(H10=0,0,IF($C$7*1/$C$6&gt;H12,$C$7*1/$C$6,H12))</f>
        <v/>
      </c>
      <c r="I13" s="27">
        <f>IF(I10=0,0,IF($C$7*1/$C$6&gt;I12,$C$7*1/$C$6,I12))</f>
        <v/>
      </c>
      <c r="J13" s="27">
        <f>IF(J10=0,0,IF($C$7*1/$C$6&gt;J12,$C$7*1/$C$6,J12))</f>
        <v/>
      </c>
      <c r="K13" s="27">
        <f>IF(K10=0,0,IF($C$7*1/$C$6&gt;K12,$C$7*1/$C$6,K12))</f>
        <v/>
      </c>
      <c r="L13" s="27">
        <f>IF(L10=0,0,IF($C$7*1/$C$6&gt;L12,$C$7*1/$C$6,L12))</f>
        <v/>
      </c>
      <c r="M13" s="27">
        <f>IF(M10=0,0,IF($C$7*1/$C$6&gt;M12,$C$7*1/$C$6,M12))</f>
        <v/>
      </c>
    </row>
    <row r="14">
      <c r="A14" s="22" t="inlineStr">
        <is>
          <t>Charge d'amortissement</t>
        </is>
      </c>
      <c r="B14" s="22" t="inlineStr">
        <is>
          <t>USD</t>
        </is>
      </c>
      <c r="C14" s="8">
        <f>C11*C13</f>
        <v/>
      </c>
      <c r="D14" s="8">
        <f>D11*D13</f>
        <v/>
      </c>
      <c r="E14" s="8">
        <f>E11*E13</f>
        <v/>
      </c>
      <c r="F14" s="8">
        <f>F11*F13</f>
        <v/>
      </c>
      <c r="G14" s="8">
        <f>G11*G13</f>
        <v/>
      </c>
      <c r="H14" s="8">
        <f>H11*H13</f>
        <v/>
      </c>
      <c r="I14" s="8">
        <f>I11*I13</f>
        <v/>
      </c>
      <c r="J14" s="8">
        <f>J11*J13</f>
        <v/>
      </c>
      <c r="K14" s="8">
        <f>K11*K13</f>
        <v/>
      </c>
      <c r="L14" s="8">
        <f>L11*L13</f>
        <v/>
      </c>
      <c r="M14" s="8">
        <f>M11*M13</f>
        <v/>
      </c>
    </row>
    <row r="15">
      <c r="A15" s="22" t="inlineStr">
        <is>
          <t>Amortissement restant</t>
        </is>
      </c>
      <c r="B15" s="22" t="inlineStr">
        <is>
          <t>USD</t>
        </is>
      </c>
      <c r="C15" s="8">
        <f>C11-C14</f>
        <v/>
      </c>
      <c r="D15" s="8">
        <f>D11-D14</f>
        <v/>
      </c>
      <c r="E15" s="8">
        <f>E11-E14</f>
        <v/>
      </c>
      <c r="F15" s="8">
        <f>F11-F14</f>
        <v/>
      </c>
      <c r="G15" s="8">
        <f>G11-G14</f>
        <v/>
      </c>
      <c r="H15" s="8">
        <f>H11-H14</f>
        <v/>
      </c>
      <c r="I15" s="8">
        <f>I11-I14</f>
        <v/>
      </c>
      <c r="J15" s="8">
        <f>J11-J14</f>
        <v/>
      </c>
      <c r="K15" s="8">
        <f>K11-K14</f>
        <v/>
      </c>
      <c r="L15" s="8">
        <f>L11-L14</f>
        <v/>
      </c>
      <c r="M15" s="8">
        <f>M11-M14</f>
        <v/>
      </c>
    </row>
    <row r="16">
      <c r="A16" s="22" t="n"/>
      <c r="B16" s="22" t="n"/>
    </row>
    <row r="17">
      <c r="A17" s="2" t="inlineStr">
        <is>
          <t>Immobilisations de l'année A2</t>
        </is>
      </c>
      <c r="B17" s="22" t="n"/>
    </row>
    <row r="18">
      <c r="A18" s="22" t="inlineStr">
        <is>
          <t>Durée restante</t>
        </is>
      </c>
      <c r="B18" s="22" t="inlineStr">
        <is>
          <t>Années</t>
        </is>
      </c>
      <c r="D18" s="23">
        <f>IF($C$6&lt;D$3,$C$6,D$3)</f>
        <v/>
      </c>
      <c r="E18" s="8">
        <f>IF(D18=0,0,IF(D18-1&lt;E$3,D18-1,E$3))</f>
        <v/>
      </c>
      <c r="F18" s="8">
        <f>IF(E18=0,0,IF(E18-1&lt;F$3,E18-1,F$3))</f>
        <v/>
      </c>
      <c r="G18" s="8">
        <f>IF(F18=0,0,IF(F18-1&lt;G$3,F18-1,G$3))</f>
        <v/>
      </c>
      <c r="H18" s="8">
        <f>IF(G18=0,0,IF(G18-1&lt;H$3,G18-1,H$3))</f>
        <v/>
      </c>
      <c r="I18" s="8">
        <f>IF(H18=0,0,IF(H18-1&lt;I$3,H18-1,I$3))</f>
        <v/>
      </c>
      <c r="J18" s="8">
        <f>IF(I18=0,0,IF(I18-1&lt;J$3,I18-1,J$3))</f>
        <v/>
      </c>
      <c r="K18" s="8">
        <f>IF(J18=0,0,IF(J18-1&lt;K$3,J18-1,K$3))</f>
        <v/>
      </c>
      <c r="L18" s="8">
        <f>IF(K18=0,0,IF(K18-1&lt;L$3,K18-1,L$3))</f>
        <v/>
      </c>
      <c r="M18" s="8">
        <f>IF(L18=0,0,IF(L18-1&lt;M$3,L18-1,M$3))</f>
        <v/>
      </c>
    </row>
    <row r="19">
      <c r="A19" s="22" t="inlineStr">
        <is>
          <t>Base amortissable</t>
        </is>
      </c>
      <c r="B19" s="22" t="inlineStr">
        <is>
          <t>USD</t>
        </is>
      </c>
      <c r="D19" s="23">
        <f>Modèle!D$9</f>
        <v/>
      </c>
      <c r="E19" s="8">
        <f>D23</f>
        <v/>
      </c>
      <c r="F19" s="8">
        <f>E23</f>
        <v/>
      </c>
      <c r="G19" s="8">
        <f>F23</f>
        <v/>
      </c>
      <c r="H19" s="8">
        <f>G23</f>
        <v/>
      </c>
      <c r="I19" s="8">
        <f>H23</f>
        <v/>
      </c>
      <c r="J19" s="8">
        <f>I23</f>
        <v/>
      </c>
      <c r="K19" s="8">
        <f>J23</f>
        <v/>
      </c>
      <c r="L19" s="8">
        <f>K23</f>
        <v/>
      </c>
      <c r="M19" s="8">
        <f>L23</f>
        <v/>
      </c>
    </row>
    <row r="20">
      <c r="A20" s="22" t="inlineStr">
        <is>
          <t>Inverse de la durée restante</t>
        </is>
      </c>
      <c r="B20" s="22" t="inlineStr">
        <is>
          <t>%</t>
        </is>
      </c>
      <c r="D20" s="27">
        <f>IF(D18=0,0,1/D18)</f>
        <v/>
      </c>
      <c r="E20" s="27">
        <f>IF(E18=0,0,1/E18)</f>
        <v/>
      </c>
      <c r="F20" s="27">
        <f>IF(F18=0,0,1/F18)</f>
        <v/>
      </c>
      <c r="G20" s="27">
        <f>IF(G18=0,0,1/G18)</f>
        <v/>
      </c>
      <c r="H20" s="27">
        <f>IF(H18=0,0,1/H18)</f>
        <v/>
      </c>
      <c r="I20" s="27">
        <f>IF(I18=0,0,1/I18)</f>
        <v/>
      </c>
      <c r="J20" s="27">
        <f>IF(J18=0,0,1/J18)</f>
        <v/>
      </c>
      <c r="K20" s="27">
        <f>IF(K18=0,0,1/K18)</f>
        <v/>
      </c>
      <c r="L20" s="27">
        <f>IF(L18=0,0,1/L18)</f>
        <v/>
      </c>
      <c r="M20" s="27">
        <f>IF(M18=0,0,1/M18)</f>
        <v/>
      </c>
    </row>
    <row r="21">
      <c r="A21" s="22" t="inlineStr">
        <is>
          <t>Taux dégressif</t>
        </is>
      </c>
      <c r="B21" s="22" t="inlineStr">
        <is>
          <t>%</t>
        </is>
      </c>
      <c r="D21" s="27">
        <f>IF(D18=0,0,IF($C$7*1/$C$6&gt;D20,$C$7*1/$C$6,D20))</f>
        <v/>
      </c>
      <c r="E21" s="27">
        <f>IF(E18=0,0,IF($C$7*1/$C$6&gt;E20,$C$7*1/$C$6,E20))</f>
        <v/>
      </c>
      <c r="F21" s="27">
        <f>IF(F18=0,0,IF($C$7*1/$C$6&gt;F20,$C$7*1/$C$6,F20))</f>
        <v/>
      </c>
      <c r="G21" s="27">
        <f>IF(G18=0,0,IF($C$7*1/$C$6&gt;G20,$C$7*1/$C$6,G20))</f>
        <v/>
      </c>
      <c r="H21" s="27">
        <f>IF(H18=0,0,IF($C$7*1/$C$6&gt;H20,$C$7*1/$C$6,H20))</f>
        <v/>
      </c>
      <c r="I21" s="27">
        <f>IF(I18=0,0,IF($C$7*1/$C$6&gt;I20,$C$7*1/$C$6,I20))</f>
        <v/>
      </c>
      <c r="J21" s="27">
        <f>IF(J18=0,0,IF($C$7*1/$C$6&gt;J20,$C$7*1/$C$6,J20))</f>
        <v/>
      </c>
      <c r="K21" s="27">
        <f>IF(K18=0,0,IF($C$7*1/$C$6&gt;K20,$C$7*1/$C$6,K20))</f>
        <v/>
      </c>
      <c r="L21" s="27">
        <f>IF(L18=0,0,IF($C$7*1/$C$6&gt;L20,$C$7*1/$C$6,L20))</f>
        <v/>
      </c>
      <c r="M21" s="27">
        <f>IF(M18=0,0,IF($C$7*1/$C$6&gt;M20,$C$7*1/$C$6,M20))</f>
        <v/>
      </c>
    </row>
    <row r="22">
      <c r="A22" s="22" t="inlineStr">
        <is>
          <t>Charge d'amortissement</t>
        </is>
      </c>
      <c r="B22" s="22" t="inlineStr">
        <is>
          <t>USD</t>
        </is>
      </c>
      <c r="D22" s="8">
        <f>D19*D21</f>
        <v/>
      </c>
      <c r="E22" s="8">
        <f>E19*E21</f>
        <v/>
      </c>
      <c r="F22" s="8">
        <f>F19*F21</f>
        <v/>
      </c>
      <c r="G22" s="8">
        <f>G19*G21</f>
        <v/>
      </c>
      <c r="H22" s="8">
        <f>H19*H21</f>
        <v/>
      </c>
      <c r="I22" s="8">
        <f>I19*I21</f>
        <v/>
      </c>
      <c r="J22" s="8">
        <f>J19*J21</f>
        <v/>
      </c>
      <c r="K22" s="8">
        <f>K19*K21</f>
        <v/>
      </c>
      <c r="L22" s="8">
        <f>L19*L21</f>
        <v/>
      </c>
      <c r="M22" s="8">
        <f>M19*M21</f>
        <v/>
      </c>
    </row>
    <row r="23">
      <c r="A23" s="22" t="inlineStr">
        <is>
          <t>Amortissement restant</t>
        </is>
      </c>
      <c r="B23" s="22" t="inlineStr">
        <is>
          <t>USD</t>
        </is>
      </c>
      <c r="D23" s="8">
        <f>D19-D22</f>
        <v/>
      </c>
      <c r="E23" s="8">
        <f>E19-E22</f>
        <v/>
      </c>
      <c r="F23" s="8">
        <f>F19-F22</f>
        <v/>
      </c>
      <c r="G23" s="8">
        <f>G19-G22</f>
        <v/>
      </c>
      <c r="H23" s="8">
        <f>H19-H22</f>
        <v/>
      </c>
      <c r="I23" s="8">
        <f>I19-I22</f>
        <v/>
      </c>
      <c r="J23" s="8">
        <f>J19-J22</f>
        <v/>
      </c>
      <c r="K23" s="8">
        <f>K19-K22</f>
        <v/>
      </c>
      <c r="L23" s="8">
        <f>L19-L22</f>
        <v/>
      </c>
      <c r="M23" s="8">
        <f>M19-M22</f>
        <v/>
      </c>
    </row>
    <row r="24">
      <c r="A24" s="22" t="n"/>
      <c r="B24" s="22" t="n"/>
    </row>
    <row r="25">
      <c r="A25" s="2" t="inlineStr">
        <is>
          <t>Amortissements des constructions industrielles</t>
        </is>
      </c>
      <c r="B25" s="22" t="inlineStr">
        <is>
          <t>USD</t>
        </is>
      </c>
      <c r="C25" s="8">
        <f>C$14+C$22</f>
        <v/>
      </c>
      <c r="D25" s="8">
        <f>D$14+D$22</f>
        <v/>
      </c>
      <c r="E25" s="8">
        <f>E$14+E$22</f>
        <v/>
      </c>
      <c r="F25" s="8">
        <f>F$14+F$22</f>
        <v/>
      </c>
      <c r="G25" s="8">
        <f>G$14+G$22</f>
        <v/>
      </c>
      <c r="H25" s="8">
        <f>H$14+H$22</f>
        <v/>
      </c>
      <c r="I25" s="8">
        <f>I$14+I$22</f>
        <v/>
      </c>
      <c r="J25" s="8">
        <f>J$14+J$22</f>
        <v/>
      </c>
      <c r="K25" s="8">
        <f>K$14+K$22</f>
        <v/>
      </c>
      <c r="L25" s="8">
        <f>L$14+L$22</f>
        <v/>
      </c>
      <c r="M25" s="8">
        <f>M$14+M$22</f>
        <v/>
      </c>
    </row>
    <row r="26">
      <c r="A26" s="22" t="n"/>
      <c r="B26" s="22" t="n"/>
    </row>
    <row r="27">
      <c r="A27" s="5" t="inlineStr">
        <is>
          <t>II. AMORTISSEMENTS DES BIENS D'EQUIPEMENT</t>
        </is>
      </c>
      <c r="B27" s="24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</row>
    <row r="28">
      <c r="A28" s="2" t="inlineStr">
        <is>
          <t>Durée d'amortissement linéaire</t>
        </is>
      </c>
      <c r="B28" s="22" t="inlineStr">
        <is>
          <t>Années</t>
        </is>
      </c>
      <c r="C28" s="19" t="n">
        <v>5</v>
      </c>
    </row>
    <row r="29">
      <c r="A29" s="2" t="inlineStr">
        <is>
          <t>Coefficient d'amortissement dégressif</t>
        </is>
      </c>
      <c r="B29" s="22" t="inlineStr">
        <is>
          <t>Coefficient</t>
        </is>
      </c>
      <c r="C29" s="19" t="n">
        <v>2</v>
      </c>
    </row>
    <row r="30">
      <c r="A30" s="22" t="n"/>
      <c r="B30" s="22" t="n"/>
    </row>
    <row r="31">
      <c r="A31" s="2" t="inlineStr">
        <is>
          <t>Immobilisations de l'année A1</t>
        </is>
      </c>
      <c r="B31" s="22" t="n"/>
    </row>
    <row r="32">
      <c r="A32" s="22" t="inlineStr">
        <is>
          <t>Durée restante</t>
        </is>
      </c>
      <c r="B32" s="22" t="inlineStr">
        <is>
          <t>Années</t>
        </is>
      </c>
      <c r="C32" s="23">
        <f>IF($C$28&lt;C$3,$C$28,C$3)</f>
        <v/>
      </c>
      <c r="D32" s="8">
        <f>IF(C32=0,0,IF(C32-1&lt;D$3,C32-1,D$3))</f>
        <v/>
      </c>
      <c r="E32" s="8">
        <f>IF(D32=0,0,IF(D32-1&lt;E$3,D32-1,E$3))</f>
        <v/>
      </c>
      <c r="F32" s="8">
        <f>IF(E32=0,0,IF(E32-1&lt;F$3,E32-1,F$3))</f>
        <v/>
      </c>
      <c r="G32" s="8">
        <f>IF(F32=0,0,IF(F32-1&lt;G$3,F32-1,G$3))</f>
        <v/>
      </c>
      <c r="H32" s="8">
        <f>IF(G32=0,0,IF(G32-1&lt;H$3,G32-1,H$3))</f>
        <v/>
      </c>
      <c r="I32" s="8">
        <f>IF(H32=0,0,IF(H32-1&lt;I$3,H32-1,I$3))</f>
        <v/>
      </c>
      <c r="J32" s="8">
        <f>IF(I32=0,0,IF(I32-1&lt;J$3,I32-1,J$3))</f>
        <v/>
      </c>
      <c r="K32" s="8">
        <f>IF(J32=0,0,IF(J32-1&lt;K$3,J32-1,K$3))</f>
        <v/>
      </c>
      <c r="L32" s="8">
        <f>IF(K32=0,0,IF(K32-1&lt;L$3,K32-1,L$3))</f>
        <v/>
      </c>
      <c r="M32" s="8">
        <f>IF(L32=0,0,IF(L32-1&lt;M$3,L32-1,M$3))</f>
        <v/>
      </c>
    </row>
    <row r="33">
      <c r="A33" s="22" t="inlineStr">
        <is>
          <t>Base amortissable</t>
        </is>
      </c>
      <c r="B33" s="22" t="inlineStr">
        <is>
          <t>USD</t>
        </is>
      </c>
      <c r="C33" s="23">
        <f>Modèle!C$10</f>
        <v/>
      </c>
      <c r="D33" s="8">
        <f>C37</f>
        <v/>
      </c>
      <c r="E33" s="8">
        <f>D37</f>
        <v/>
      </c>
      <c r="F33" s="8">
        <f>E37</f>
        <v/>
      </c>
      <c r="G33" s="8">
        <f>F37</f>
        <v/>
      </c>
      <c r="H33" s="8">
        <f>G37</f>
        <v/>
      </c>
      <c r="I33" s="8">
        <f>H37</f>
        <v/>
      </c>
      <c r="J33" s="8">
        <f>I37</f>
        <v/>
      </c>
      <c r="K33" s="8">
        <f>J37</f>
        <v/>
      </c>
      <c r="L33" s="8">
        <f>K37</f>
        <v/>
      </c>
      <c r="M33" s="8">
        <f>L37</f>
        <v/>
      </c>
    </row>
    <row r="34">
      <c r="A34" s="22" t="inlineStr">
        <is>
          <t>Inverse de la durée restante</t>
        </is>
      </c>
      <c r="B34" s="22" t="inlineStr">
        <is>
          <t>%</t>
        </is>
      </c>
      <c r="C34" s="27">
        <f>IF(C32=0,0,1/C32)</f>
        <v/>
      </c>
      <c r="D34" s="27">
        <f>IF(D32=0,0,1/D32)</f>
        <v/>
      </c>
      <c r="E34" s="27">
        <f>IF(E32=0,0,1/E32)</f>
        <v/>
      </c>
      <c r="F34" s="27">
        <f>IF(F32=0,0,1/F32)</f>
        <v/>
      </c>
      <c r="G34" s="27">
        <f>IF(G32=0,0,1/G32)</f>
        <v/>
      </c>
      <c r="H34" s="27">
        <f>IF(H32=0,0,1/H32)</f>
        <v/>
      </c>
      <c r="I34" s="27">
        <f>IF(I32=0,0,1/I32)</f>
        <v/>
      </c>
      <c r="J34" s="27">
        <f>IF(J32=0,0,1/J32)</f>
        <v/>
      </c>
      <c r="K34" s="27">
        <f>IF(K32=0,0,1/K32)</f>
        <v/>
      </c>
      <c r="L34" s="27">
        <f>IF(L32=0,0,1/L32)</f>
        <v/>
      </c>
      <c r="M34" s="27">
        <f>IF(M32=0,0,1/M32)</f>
        <v/>
      </c>
    </row>
    <row r="35">
      <c r="A35" s="22" t="inlineStr">
        <is>
          <t>Taux dégressif</t>
        </is>
      </c>
      <c r="B35" s="22" t="inlineStr">
        <is>
          <t>%</t>
        </is>
      </c>
      <c r="C35" s="27">
        <f>IF(C32=0,0,IF($C$29*1/$C$28&gt;C34,$C$29*1/$C$28,C34))</f>
        <v/>
      </c>
      <c r="D35" s="27">
        <f>IF(D32=0,0,IF($C$29*1/$C$28&gt;D34,$C$29*1/$C$28,D34))</f>
        <v/>
      </c>
      <c r="E35" s="27">
        <f>IF(E32=0,0,IF($C$29*1/$C$28&gt;E34,$C$29*1/$C$28,E34))</f>
        <v/>
      </c>
      <c r="F35" s="27">
        <f>IF(F32=0,0,IF($C$29*1/$C$28&gt;F34,$C$29*1/$C$28,F34))</f>
        <v/>
      </c>
      <c r="G35" s="27">
        <f>IF(G32=0,0,IF($C$29*1/$C$28&gt;G34,$C$29*1/$C$28,G34))</f>
        <v/>
      </c>
      <c r="H35" s="27">
        <f>IF(H32=0,0,IF($C$29*1/$C$28&gt;H34,$C$29*1/$C$28,H34))</f>
        <v/>
      </c>
      <c r="I35" s="27">
        <f>IF(I32=0,0,IF($C$29*1/$C$28&gt;I34,$C$29*1/$C$28,I34))</f>
        <v/>
      </c>
      <c r="J35" s="27">
        <f>IF(J32=0,0,IF($C$29*1/$C$28&gt;J34,$C$29*1/$C$28,J34))</f>
        <v/>
      </c>
      <c r="K35" s="27">
        <f>IF(K32=0,0,IF($C$29*1/$C$28&gt;K34,$C$29*1/$C$28,K34))</f>
        <v/>
      </c>
      <c r="L35" s="27">
        <f>IF(L32=0,0,IF($C$29*1/$C$28&gt;L34,$C$29*1/$C$28,L34))</f>
        <v/>
      </c>
      <c r="M35" s="27">
        <f>IF(M32=0,0,IF($C$29*1/$C$28&gt;M34,$C$29*1/$C$28,M34))</f>
        <v/>
      </c>
    </row>
    <row r="36">
      <c r="A36" s="22" t="inlineStr">
        <is>
          <t>Charge d'amortissement</t>
        </is>
      </c>
      <c r="B36" s="22" t="inlineStr">
        <is>
          <t>USD</t>
        </is>
      </c>
      <c r="C36" s="8">
        <f>C33*C35</f>
        <v/>
      </c>
      <c r="D36" s="8">
        <f>D33*D35</f>
        <v/>
      </c>
      <c r="E36" s="8">
        <f>E33*E35</f>
        <v/>
      </c>
      <c r="F36" s="8">
        <f>F33*F35</f>
        <v/>
      </c>
      <c r="G36" s="8">
        <f>G33*G35</f>
        <v/>
      </c>
      <c r="H36" s="8">
        <f>H33*H35</f>
        <v/>
      </c>
      <c r="I36" s="8">
        <f>I33*I35</f>
        <v/>
      </c>
      <c r="J36" s="8">
        <f>J33*J35</f>
        <v/>
      </c>
      <c r="K36" s="8">
        <f>K33*K35</f>
        <v/>
      </c>
      <c r="L36" s="8">
        <f>L33*L35</f>
        <v/>
      </c>
      <c r="M36" s="8">
        <f>M33*M35</f>
        <v/>
      </c>
    </row>
    <row r="37">
      <c r="A37" s="22" t="inlineStr">
        <is>
          <t>Amortissement restant</t>
        </is>
      </c>
      <c r="B37" s="22" t="inlineStr">
        <is>
          <t>USD</t>
        </is>
      </c>
      <c r="C37" s="8">
        <f>C33-C36</f>
        <v/>
      </c>
      <c r="D37" s="8">
        <f>D33-D36</f>
        <v/>
      </c>
      <c r="E37" s="8">
        <f>E33-E36</f>
        <v/>
      </c>
      <c r="F37" s="8">
        <f>F33-F36</f>
        <v/>
      </c>
      <c r="G37" s="8">
        <f>G33-G36</f>
        <v/>
      </c>
      <c r="H37" s="8">
        <f>H33-H36</f>
        <v/>
      </c>
      <c r="I37" s="8">
        <f>I33-I36</f>
        <v/>
      </c>
      <c r="J37" s="8">
        <f>J33-J36</f>
        <v/>
      </c>
      <c r="K37" s="8">
        <f>K33-K36</f>
        <v/>
      </c>
      <c r="L37" s="8">
        <f>L33-L36</f>
        <v/>
      </c>
      <c r="M37" s="8">
        <f>M33-M36</f>
        <v/>
      </c>
    </row>
    <row r="38">
      <c r="A38" s="22" t="n"/>
      <c r="B38" s="22" t="n"/>
    </row>
    <row r="39">
      <c r="A39" s="2" t="inlineStr">
        <is>
          <t>Immobilisations de l'année A2</t>
        </is>
      </c>
      <c r="B39" s="22" t="n"/>
    </row>
    <row r="40">
      <c r="A40" s="22" t="inlineStr">
        <is>
          <t>Durée restante</t>
        </is>
      </c>
      <c r="B40" s="22" t="inlineStr">
        <is>
          <t>Années</t>
        </is>
      </c>
      <c r="D40" s="23">
        <f>IF($C$28&lt;D$3,$C$28,D$3)</f>
        <v/>
      </c>
      <c r="E40" s="8">
        <f>IF(D40=0,0,IF(D40-1&lt;E$3,D40-1,E$3))</f>
        <v/>
      </c>
      <c r="F40" s="8">
        <f>IF(E40=0,0,IF(E40-1&lt;F$3,E40-1,F$3))</f>
        <v/>
      </c>
      <c r="G40" s="8">
        <f>IF(F40=0,0,IF(F40-1&lt;G$3,F40-1,G$3))</f>
        <v/>
      </c>
      <c r="H40" s="8">
        <f>IF(G40=0,0,IF(G40-1&lt;H$3,G40-1,H$3))</f>
        <v/>
      </c>
      <c r="I40" s="8">
        <f>IF(H40=0,0,IF(H40-1&lt;I$3,H40-1,I$3))</f>
        <v/>
      </c>
      <c r="J40" s="8">
        <f>IF(I40=0,0,IF(I40-1&lt;J$3,I40-1,J$3))</f>
        <v/>
      </c>
      <c r="K40" s="8">
        <f>IF(J40=0,0,IF(J40-1&lt;K$3,J40-1,K$3))</f>
        <v/>
      </c>
      <c r="L40" s="8">
        <f>IF(K40=0,0,IF(K40-1&lt;L$3,K40-1,L$3))</f>
        <v/>
      </c>
      <c r="M40" s="8">
        <f>IF(L40=0,0,IF(L40-1&lt;M$3,L40-1,M$3))</f>
        <v/>
      </c>
    </row>
    <row r="41">
      <c r="A41" s="22" t="inlineStr">
        <is>
          <t>Base amortissable</t>
        </is>
      </c>
      <c r="B41" s="22" t="inlineStr">
        <is>
          <t>USD</t>
        </is>
      </c>
      <c r="D41" s="23">
        <f>Modèle!D$10</f>
        <v/>
      </c>
      <c r="E41" s="8">
        <f>D45</f>
        <v/>
      </c>
      <c r="F41" s="8">
        <f>E45</f>
        <v/>
      </c>
      <c r="G41" s="8">
        <f>F45</f>
        <v/>
      </c>
      <c r="H41" s="8">
        <f>G45</f>
        <v/>
      </c>
      <c r="I41" s="8">
        <f>H45</f>
        <v/>
      </c>
      <c r="J41" s="8">
        <f>I45</f>
        <v/>
      </c>
      <c r="K41" s="8">
        <f>J45</f>
        <v/>
      </c>
      <c r="L41" s="8">
        <f>K45</f>
        <v/>
      </c>
      <c r="M41" s="8">
        <f>L45</f>
        <v/>
      </c>
    </row>
    <row r="42">
      <c r="A42" s="22" t="inlineStr">
        <is>
          <t>Inverse de la durée restante</t>
        </is>
      </c>
      <c r="B42" s="22" t="inlineStr">
        <is>
          <t>%</t>
        </is>
      </c>
      <c r="D42" s="27">
        <f>IF(D40=0,0,1/D40)</f>
        <v/>
      </c>
      <c r="E42" s="27">
        <f>IF(E40=0,0,1/E40)</f>
        <v/>
      </c>
      <c r="F42" s="27">
        <f>IF(F40=0,0,1/F40)</f>
        <v/>
      </c>
      <c r="G42" s="27">
        <f>IF(G40=0,0,1/G40)</f>
        <v/>
      </c>
      <c r="H42" s="27">
        <f>IF(H40=0,0,1/H40)</f>
        <v/>
      </c>
      <c r="I42" s="27">
        <f>IF(I40=0,0,1/I40)</f>
        <v/>
      </c>
      <c r="J42" s="27">
        <f>IF(J40=0,0,1/J40)</f>
        <v/>
      </c>
      <c r="K42" s="27">
        <f>IF(K40=0,0,1/K40)</f>
        <v/>
      </c>
      <c r="L42" s="27">
        <f>IF(L40=0,0,1/L40)</f>
        <v/>
      </c>
      <c r="M42" s="27">
        <f>IF(M40=0,0,1/M40)</f>
        <v/>
      </c>
    </row>
    <row r="43">
      <c r="A43" s="22" t="inlineStr">
        <is>
          <t>Taux dégressif</t>
        </is>
      </c>
      <c r="B43" s="22" t="inlineStr">
        <is>
          <t>%</t>
        </is>
      </c>
      <c r="D43" s="27">
        <f>IF(D40=0,0,IF($C$29*1/$C$28&gt;D42,$C$29*1/$C$28,D42))</f>
        <v/>
      </c>
      <c r="E43" s="27">
        <f>IF(E40=0,0,IF($C$29*1/$C$28&gt;E42,$C$29*1/$C$28,E42))</f>
        <v/>
      </c>
      <c r="F43" s="27">
        <f>IF(F40=0,0,IF($C$29*1/$C$28&gt;F42,$C$29*1/$C$28,F42))</f>
        <v/>
      </c>
      <c r="G43" s="27">
        <f>IF(G40=0,0,IF($C$29*1/$C$28&gt;G42,$C$29*1/$C$28,G42))</f>
        <v/>
      </c>
      <c r="H43" s="27">
        <f>IF(H40=0,0,IF($C$29*1/$C$28&gt;H42,$C$29*1/$C$28,H42))</f>
        <v/>
      </c>
      <c r="I43" s="27">
        <f>IF(I40=0,0,IF($C$29*1/$C$28&gt;I42,$C$29*1/$C$28,I42))</f>
        <v/>
      </c>
      <c r="J43" s="27">
        <f>IF(J40=0,0,IF($C$29*1/$C$28&gt;J42,$C$29*1/$C$28,J42))</f>
        <v/>
      </c>
      <c r="K43" s="27">
        <f>IF(K40=0,0,IF($C$29*1/$C$28&gt;K42,$C$29*1/$C$28,K42))</f>
        <v/>
      </c>
      <c r="L43" s="27">
        <f>IF(L40=0,0,IF($C$29*1/$C$28&gt;L42,$C$29*1/$C$28,L42))</f>
        <v/>
      </c>
      <c r="M43" s="27">
        <f>IF(M40=0,0,IF($C$29*1/$C$28&gt;M42,$C$29*1/$C$28,M42))</f>
        <v/>
      </c>
    </row>
    <row r="44">
      <c r="A44" s="22" t="inlineStr">
        <is>
          <t>Charge d'amortissement</t>
        </is>
      </c>
      <c r="B44" s="22" t="inlineStr">
        <is>
          <t>USD</t>
        </is>
      </c>
      <c r="D44" s="8">
        <f>D41*D43</f>
        <v/>
      </c>
      <c r="E44" s="8">
        <f>E41*E43</f>
        <v/>
      </c>
      <c r="F44" s="8">
        <f>F41*F43</f>
        <v/>
      </c>
      <c r="G44" s="8">
        <f>G41*G43</f>
        <v/>
      </c>
      <c r="H44" s="8">
        <f>H41*H43</f>
        <v/>
      </c>
      <c r="I44" s="8">
        <f>I41*I43</f>
        <v/>
      </c>
      <c r="J44" s="8">
        <f>J41*J43</f>
        <v/>
      </c>
      <c r="K44" s="8">
        <f>K41*K43</f>
        <v/>
      </c>
      <c r="L44" s="8">
        <f>L41*L43</f>
        <v/>
      </c>
      <c r="M44" s="8">
        <f>M41*M43</f>
        <v/>
      </c>
    </row>
    <row r="45">
      <c r="A45" s="22" t="inlineStr">
        <is>
          <t>Amortissement restant</t>
        </is>
      </c>
      <c r="B45" s="22" t="inlineStr">
        <is>
          <t>USD</t>
        </is>
      </c>
      <c r="D45" s="8">
        <f>D41-D44</f>
        <v/>
      </c>
      <c r="E45" s="8">
        <f>E41-E44</f>
        <v/>
      </c>
      <c r="F45" s="8">
        <f>F41-F44</f>
        <v/>
      </c>
      <c r="G45" s="8">
        <f>G41-G44</f>
        <v/>
      </c>
      <c r="H45" s="8">
        <f>H41-H44</f>
        <v/>
      </c>
      <c r="I45" s="8">
        <f>I41-I44</f>
        <v/>
      </c>
      <c r="J45" s="8">
        <f>J41-J44</f>
        <v/>
      </c>
      <c r="K45" s="8">
        <f>K41-K44</f>
        <v/>
      </c>
      <c r="L45" s="8">
        <f>L41-L44</f>
        <v/>
      </c>
      <c r="M45" s="8">
        <f>M41-M44</f>
        <v/>
      </c>
    </row>
    <row r="46">
      <c r="A46" s="22" t="n"/>
      <c r="B46" s="22" t="n"/>
    </row>
    <row r="47">
      <c r="A47" s="2" t="inlineStr">
        <is>
          <t>Immobilisations de l'année A3</t>
        </is>
      </c>
      <c r="B47" s="22" t="n"/>
    </row>
    <row r="48">
      <c r="A48" s="22" t="inlineStr">
        <is>
          <t>Durée restante</t>
        </is>
      </c>
      <c r="B48" s="22" t="inlineStr">
        <is>
          <t>Années</t>
        </is>
      </c>
      <c r="E48" s="23">
        <f>IF($C$28&lt;E$3,$C$28,E$3)</f>
        <v/>
      </c>
      <c r="F48" s="8">
        <f>IF(E48=0,0,IF(E48-1&lt;F$3,E48-1,F$3))</f>
        <v/>
      </c>
      <c r="G48" s="8">
        <f>IF(F48=0,0,IF(F48-1&lt;G$3,F48-1,G$3))</f>
        <v/>
      </c>
      <c r="H48" s="8">
        <f>IF(G48=0,0,IF(G48-1&lt;H$3,G48-1,H$3))</f>
        <v/>
      </c>
      <c r="I48" s="8">
        <f>IF(H48=0,0,IF(H48-1&lt;I$3,H48-1,I$3))</f>
        <v/>
      </c>
      <c r="J48" s="8">
        <f>IF(I48=0,0,IF(I48-1&lt;J$3,I48-1,J$3))</f>
        <v/>
      </c>
      <c r="K48" s="8">
        <f>IF(J48=0,0,IF(J48-1&lt;K$3,J48-1,K$3))</f>
        <v/>
      </c>
      <c r="L48" s="8">
        <f>IF(K48=0,0,IF(K48-1&lt;L$3,K48-1,L$3))</f>
        <v/>
      </c>
      <c r="M48" s="8">
        <f>IF(L48=0,0,IF(L48-1&lt;M$3,L48-1,M$3))</f>
        <v/>
      </c>
    </row>
    <row r="49">
      <c r="A49" s="22" t="inlineStr">
        <is>
          <t>Base amortissable</t>
        </is>
      </c>
      <c r="B49" s="22" t="inlineStr">
        <is>
          <t>USD</t>
        </is>
      </c>
      <c r="E49" s="23">
        <f>Modèle!E$10</f>
        <v/>
      </c>
      <c r="F49" s="8">
        <f>E53</f>
        <v/>
      </c>
      <c r="G49" s="8">
        <f>F53</f>
        <v/>
      </c>
      <c r="H49" s="8">
        <f>G53</f>
        <v/>
      </c>
      <c r="I49" s="8">
        <f>H53</f>
        <v/>
      </c>
      <c r="J49" s="8">
        <f>I53</f>
        <v/>
      </c>
      <c r="K49" s="8">
        <f>J53</f>
        <v/>
      </c>
      <c r="L49" s="8">
        <f>K53</f>
        <v/>
      </c>
      <c r="M49" s="8">
        <f>L53</f>
        <v/>
      </c>
    </row>
    <row r="50">
      <c r="A50" s="22" t="inlineStr">
        <is>
          <t>Inverse de la durée restante</t>
        </is>
      </c>
      <c r="B50" s="22" t="inlineStr">
        <is>
          <t>%</t>
        </is>
      </c>
      <c r="E50" s="27">
        <f>IF(E48=0,0,1/E48)</f>
        <v/>
      </c>
      <c r="F50" s="27">
        <f>IF(F48=0,0,1/F48)</f>
        <v/>
      </c>
      <c r="G50" s="27">
        <f>IF(G48=0,0,1/G48)</f>
        <v/>
      </c>
      <c r="H50" s="27">
        <f>IF(H48=0,0,1/H48)</f>
        <v/>
      </c>
      <c r="I50" s="27">
        <f>IF(I48=0,0,1/I48)</f>
        <v/>
      </c>
      <c r="J50" s="27">
        <f>IF(J48=0,0,1/J48)</f>
        <v/>
      </c>
      <c r="K50" s="27">
        <f>IF(K48=0,0,1/K48)</f>
        <v/>
      </c>
      <c r="L50" s="27">
        <f>IF(L48=0,0,1/L48)</f>
        <v/>
      </c>
      <c r="M50" s="27">
        <f>IF(M48=0,0,1/M48)</f>
        <v/>
      </c>
    </row>
    <row r="51">
      <c r="A51" s="22" t="inlineStr">
        <is>
          <t>Taux dégressif</t>
        </is>
      </c>
      <c r="B51" s="22" t="inlineStr">
        <is>
          <t>%</t>
        </is>
      </c>
      <c r="E51" s="27">
        <f>IF(E48=0,0,IF($C$29*1/$C$28&gt;E50,$C$29*1/$C$28,E50))</f>
        <v/>
      </c>
      <c r="F51" s="27">
        <f>IF(F48=0,0,IF($C$29*1/$C$28&gt;F50,$C$29*1/$C$28,F50))</f>
        <v/>
      </c>
      <c r="G51" s="27">
        <f>IF(G48=0,0,IF($C$29*1/$C$28&gt;G50,$C$29*1/$C$28,G50))</f>
        <v/>
      </c>
      <c r="H51" s="27">
        <f>IF(H48=0,0,IF($C$29*1/$C$28&gt;H50,$C$29*1/$C$28,H50))</f>
        <v/>
      </c>
      <c r="I51" s="27">
        <f>IF(I48=0,0,IF($C$29*1/$C$28&gt;I50,$C$29*1/$C$28,I50))</f>
        <v/>
      </c>
      <c r="J51" s="27">
        <f>IF(J48=0,0,IF($C$29*1/$C$28&gt;J50,$C$29*1/$C$28,J50))</f>
        <v/>
      </c>
      <c r="K51" s="27">
        <f>IF(K48=0,0,IF($C$29*1/$C$28&gt;K50,$C$29*1/$C$28,K50))</f>
        <v/>
      </c>
      <c r="L51" s="27">
        <f>IF(L48=0,0,IF($C$29*1/$C$28&gt;L50,$C$29*1/$C$28,L50))</f>
        <v/>
      </c>
      <c r="M51" s="27">
        <f>IF(M48=0,0,IF($C$29*1/$C$28&gt;M50,$C$29*1/$C$28,M50))</f>
        <v/>
      </c>
    </row>
    <row r="52">
      <c r="A52" s="22" t="inlineStr">
        <is>
          <t>Charge d'amortissement</t>
        </is>
      </c>
      <c r="B52" s="22" t="inlineStr">
        <is>
          <t>USD</t>
        </is>
      </c>
      <c r="E52" s="8">
        <f>E49*E51</f>
        <v/>
      </c>
      <c r="F52" s="8">
        <f>F49*F51</f>
        <v/>
      </c>
      <c r="G52" s="8">
        <f>G49*G51</f>
        <v/>
      </c>
      <c r="H52" s="8">
        <f>H49*H51</f>
        <v/>
      </c>
      <c r="I52" s="8">
        <f>I49*I51</f>
        <v/>
      </c>
      <c r="J52" s="8">
        <f>J49*J51</f>
        <v/>
      </c>
      <c r="K52" s="8">
        <f>K49*K51</f>
        <v/>
      </c>
      <c r="L52" s="8">
        <f>L49*L51</f>
        <v/>
      </c>
      <c r="M52" s="8">
        <f>M49*M51</f>
        <v/>
      </c>
    </row>
    <row r="53">
      <c r="A53" s="22" t="inlineStr">
        <is>
          <t>Amortissement restant</t>
        </is>
      </c>
      <c r="B53" s="22" t="inlineStr">
        <is>
          <t>USD</t>
        </is>
      </c>
      <c r="E53" s="8">
        <f>E49-E52</f>
        <v/>
      </c>
      <c r="F53" s="8">
        <f>F49-F52</f>
        <v/>
      </c>
      <c r="G53" s="8">
        <f>G49-G52</f>
        <v/>
      </c>
      <c r="H53" s="8">
        <f>H49-H52</f>
        <v/>
      </c>
      <c r="I53" s="8">
        <f>I49-I52</f>
        <v/>
      </c>
      <c r="J53" s="8">
        <f>J49-J52</f>
        <v/>
      </c>
      <c r="K53" s="8">
        <f>K49-K52</f>
        <v/>
      </c>
      <c r="L53" s="8">
        <f>L49-L52</f>
        <v/>
      </c>
      <c r="M53" s="8">
        <f>M49-M52</f>
        <v/>
      </c>
    </row>
    <row r="54">
      <c r="A54" s="22" t="n"/>
      <c r="B54" s="22" t="n"/>
    </row>
    <row r="55">
      <c r="A55" s="2" t="inlineStr">
        <is>
          <t>Immobilisations de l'année A4</t>
        </is>
      </c>
      <c r="B55" s="22" t="n"/>
    </row>
    <row r="56">
      <c r="A56" s="22" t="inlineStr">
        <is>
          <t>Durée restante</t>
        </is>
      </c>
      <c r="B56" s="22" t="inlineStr">
        <is>
          <t>Années</t>
        </is>
      </c>
      <c r="F56" s="23">
        <f>IF($C$28&lt;F$3,$C$28,F$3)</f>
        <v/>
      </c>
      <c r="G56" s="8">
        <f>IF(F56=0,0,IF(F56-1&lt;G$3,F56-1,G$3))</f>
        <v/>
      </c>
      <c r="H56" s="8">
        <f>IF(G56=0,0,IF(G56-1&lt;H$3,G56-1,H$3))</f>
        <v/>
      </c>
      <c r="I56" s="8">
        <f>IF(H56=0,0,IF(H56-1&lt;I$3,H56-1,I$3))</f>
        <v/>
      </c>
      <c r="J56" s="8">
        <f>IF(I56=0,0,IF(I56-1&lt;J$3,I56-1,J$3))</f>
        <v/>
      </c>
      <c r="K56" s="8">
        <f>IF(J56=0,0,IF(J56-1&lt;K$3,J56-1,K$3))</f>
        <v/>
      </c>
      <c r="L56" s="8">
        <f>IF(K56=0,0,IF(K56-1&lt;L$3,K56-1,L$3))</f>
        <v/>
      </c>
      <c r="M56" s="8">
        <f>IF(L56=0,0,IF(L56-1&lt;M$3,L56-1,M$3))</f>
        <v/>
      </c>
    </row>
    <row r="57">
      <c r="A57" s="22" t="inlineStr">
        <is>
          <t>Base amortissable</t>
        </is>
      </c>
      <c r="B57" s="22" t="inlineStr">
        <is>
          <t>USD</t>
        </is>
      </c>
      <c r="F57" s="23">
        <f>Modèle!F$10</f>
        <v/>
      </c>
      <c r="G57" s="8">
        <f>F61</f>
        <v/>
      </c>
      <c r="H57" s="8">
        <f>G61</f>
        <v/>
      </c>
      <c r="I57" s="8">
        <f>H61</f>
        <v/>
      </c>
      <c r="J57" s="8">
        <f>I61</f>
        <v/>
      </c>
      <c r="K57" s="8">
        <f>J61</f>
        <v/>
      </c>
      <c r="L57" s="8">
        <f>K61</f>
        <v/>
      </c>
      <c r="M57" s="8">
        <f>L61</f>
        <v/>
      </c>
    </row>
    <row r="58">
      <c r="A58" s="22" t="inlineStr">
        <is>
          <t>Inverse de la durée restante</t>
        </is>
      </c>
      <c r="B58" s="22" t="inlineStr">
        <is>
          <t>%</t>
        </is>
      </c>
      <c r="F58" s="27">
        <f>IF(F56=0,0,1/F56)</f>
        <v/>
      </c>
      <c r="G58" s="27">
        <f>IF(G56=0,0,1/G56)</f>
        <v/>
      </c>
      <c r="H58" s="27">
        <f>IF(H56=0,0,1/H56)</f>
        <v/>
      </c>
      <c r="I58" s="27">
        <f>IF(I56=0,0,1/I56)</f>
        <v/>
      </c>
      <c r="J58" s="27">
        <f>IF(J56=0,0,1/J56)</f>
        <v/>
      </c>
      <c r="K58" s="27">
        <f>IF(K56=0,0,1/K56)</f>
        <v/>
      </c>
      <c r="L58" s="27">
        <f>IF(L56=0,0,1/L56)</f>
        <v/>
      </c>
      <c r="M58" s="27">
        <f>IF(M56=0,0,1/M56)</f>
        <v/>
      </c>
    </row>
    <row r="59">
      <c r="A59" s="22" t="inlineStr">
        <is>
          <t>Taux dégressif</t>
        </is>
      </c>
      <c r="B59" s="22" t="inlineStr">
        <is>
          <t>%</t>
        </is>
      </c>
      <c r="F59" s="27">
        <f>IF(F56=0,0,IF($C$29*1/$C$28&gt;F58,$C$29*1/$C$28,F58))</f>
        <v/>
      </c>
      <c r="G59" s="27">
        <f>IF(G56=0,0,IF($C$29*1/$C$28&gt;G58,$C$29*1/$C$28,G58))</f>
        <v/>
      </c>
      <c r="H59" s="27">
        <f>IF(H56=0,0,IF($C$29*1/$C$28&gt;H58,$C$29*1/$C$28,H58))</f>
        <v/>
      </c>
      <c r="I59" s="27">
        <f>IF(I56=0,0,IF($C$29*1/$C$28&gt;I58,$C$29*1/$C$28,I58))</f>
        <v/>
      </c>
      <c r="J59" s="27">
        <f>IF(J56=0,0,IF($C$29*1/$C$28&gt;J58,$C$29*1/$C$28,J58))</f>
        <v/>
      </c>
      <c r="K59" s="27">
        <f>IF(K56=0,0,IF($C$29*1/$C$28&gt;K58,$C$29*1/$C$28,K58))</f>
        <v/>
      </c>
      <c r="L59" s="27">
        <f>IF(L56=0,0,IF($C$29*1/$C$28&gt;L58,$C$29*1/$C$28,L58))</f>
        <v/>
      </c>
      <c r="M59" s="27">
        <f>IF(M56=0,0,IF($C$29*1/$C$28&gt;M58,$C$29*1/$C$28,M58))</f>
        <v/>
      </c>
    </row>
    <row r="60">
      <c r="A60" s="22" t="inlineStr">
        <is>
          <t>Charge d'amortissement</t>
        </is>
      </c>
      <c r="B60" s="22" t="inlineStr">
        <is>
          <t>USD</t>
        </is>
      </c>
      <c r="F60" s="8">
        <f>F57*F59</f>
        <v/>
      </c>
      <c r="G60" s="8">
        <f>G57*G59</f>
        <v/>
      </c>
      <c r="H60" s="8">
        <f>H57*H59</f>
        <v/>
      </c>
      <c r="I60" s="8">
        <f>I57*I59</f>
        <v/>
      </c>
      <c r="J60" s="8">
        <f>J57*J59</f>
        <v/>
      </c>
      <c r="K60" s="8">
        <f>K57*K59</f>
        <v/>
      </c>
      <c r="L60" s="8">
        <f>L57*L59</f>
        <v/>
      </c>
      <c r="M60" s="8">
        <f>M57*M59</f>
        <v/>
      </c>
    </row>
    <row r="61">
      <c r="A61" s="22" t="inlineStr">
        <is>
          <t>Amortissement restant</t>
        </is>
      </c>
      <c r="B61" s="22" t="inlineStr">
        <is>
          <t>USD</t>
        </is>
      </c>
      <c r="F61" s="8">
        <f>F57-F60</f>
        <v/>
      </c>
      <c r="G61" s="8">
        <f>G57-G60</f>
        <v/>
      </c>
      <c r="H61" s="8">
        <f>H57-H60</f>
        <v/>
      </c>
      <c r="I61" s="8">
        <f>I57-I60</f>
        <v/>
      </c>
      <c r="J61" s="8">
        <f>J57-J60</f>
        <v/>
      </c>
      <c r="K61" s="8">
        <f>K57-K60</f>
        <v/>
      </c>
      <c r="L61" s="8">
        <f>L57-L60</f>
        <v/>
      </c>
      <c r="M61" s="8">
        <f>M57-M60</f>
        <v/>
      </c>
    </row>
    <row r="62">
      <c r="A62" s="22" t="n"/>
      <c r="B62" s="22" t="n"/>
    </row>
    <row r="63">
      <c r="A63" s="2" t="inlineStr">
        <is>
          <t>Immobilisations de l'année A5</t>
        </is>
      </c>
      <c r="B63" s="22" t="n"/>
    </row>
    <row r="64">
      <c r="A64" s="22" t="inlineStr">
        <is>
          <t>Durée restante</t>
        </is>
      </c>
      <c r="B64" s="22" t="inlineStr">
        <is>
          <t>Années</t>
        </is>
      </c>
      <c r="G64" s="23">
        <f>IF($C$28&lt;G$3,$C$28,G$3)</f>
        <v/>
      </c>
      <c r="H64" s="8">
        <f>IF(G64=0,0,IF(G64-1&lt;H$3,G64-1,H$3))</f>
        <v/>
      </c>
      <c r="I64" s="8">
        <f>IF(H64=0,0,IF(H64-1&lt;I$3,H64-1,I$3))</f>
        <v/>
      </c>
      <c r="J64" s="8">
        <f>IF(I64=0,0,IF(I64-1&lt;J$3,I64-1,J$3))</f>
        <v/>
      </c>
      <c r="K64" s="8">
        <f>IF(J64=0,0,IF(J64-1&lt;K$3,J64-1,K$3))</f>
        <v/>
      </c>
      <c r="L64" s="8">
        <f>IF(K64=0,0,IF(K64-1&lt;L$3,K64-1,L$3))</f>
        <v/>
      </c>
      <c r="M64" s="8">
        <f>IF(L64=0,0,IF(L64-1&lt;M$3,L64-1,M$3))</f>
        <v/>
      </c>
    </row>
    <row r="65">
      <c r="A65" s="22" t="inlineStr">
        <is>
          <t>Base amortissable</t>
        </is>
      </c>
      <c r="B65" s="22" t="inlineStr">
        <is>
          <t>USD</t>
        </is>
      </c>
      <c r="G65" s="23">
        <f>Modèle!G$10</f>
        <v/>
      </c>
      <c r="H65" s="8">
        <f>G69</f>
        <v/>
      </c>
      <c r="I65" s="8">
        <f>H69</f>
        <v/>
      </c>
      <c r="J65" s="8">
        <f>I69</f>
        <v/>
      </c>
      <c r="K65" s="8">
        <f>J69</f>
        <v/>
      </c>
      <c r="L65" s="8">
        <f>K69</f>
        <v/>
      </c>
      <c r="M65" s="8">
        <f>L69</f>
        <v/>
      </c>
    </row>
    <row r="66">
      <c r="A66" s="22" t="inlineStr">
        <is>
          <t>Inverse de la durée restante</t>
        </is>
      </c>
      <c r="B66" s="22" t="inlineStr">
        <is>
          <t>%</t>
        </is>
      </c>
      <c r="G66" s="27">
        <f>IF(G64=0,0,1/G64)</f>
        <v/>
      </c>
      <c r="H66" s="27">
        <f>IF(H64=0,0,1/H64)</f>
        <v/>
      </c>
      <c r="I66" s="27">
        <f>IF(I64=0,0,1/I64)</f>
        <v/>
      </c>
      <c r="J66" s="27">
        <f>IF(J64=0,0,1/J64)</f>
        <v/>
      </c>
      <c r="K66" s="27">
        <f>IF(K64=0,0,1/K64)</f>
        <v/>
      </c>
      <c r="L66" s="27">
        <f>IF(L64=0,0,1/L64)</f>
        <v/>
      </c>
      <c r="M66" s="27">
        <f>IF(M64=0,0,1/M64)</f>
        <v/>
      </c>
    </row>
    <row r="67">
      <c r="A67" s="22" t="inlineStr">
        <is>
          <t>Taux dégressif</t>
        </is>
      </c>
      <c r="B67" s="22" t="inlineStr">
        <is>
          <t>%</t>
        </is>
      </c>
      <c r="G67" s="27">
        <f>IF(G64=0,0,IF($C$29*1/$C$28&gt;G66,$C$29*1/$C$28,G66))</f>
        <v/>
      </c>
      <c r="H67" s="27">
        <f>IF(H64=0,0,IF($C$29*1/$C$28&gt;H66,$C$29*1/$C$28,H66))</f>
        <v/>
      </c>
      <c r="I67" s="27">
        <f>IF(I64=0,0,IF($C$29*1/$C$28&gt;I66,$C$29*1/$C$28,I66))</f>
        <v/>
      </c>
      <c r="J67" s="27">
        <f>IF(J64=0,0,IF($C$29*1/$C$28&gt;J66,$C$29*1/$C$28,J66))</f>
        <v/>
      </c>
      <c r="K67" s="27">
        <f>IF(K64=0,0,IF($C$29*1/$C$28&gt;K66,$C$29*1/$C$28,K66))</f>
        <v/>
      </c>
      <c r="L67" s="27">
        <f>IF(L64=0,0,IF($C$29*1/$C$28&gt;L66,$C$29*1/$C$28,L66))</f>
        <v/>
      </c>
      <c r="M67" s="27">
        <f>IF(M64=0,0,IF($C$29*1/$C$28&gt;M66,$C$29*1/$C$28,M66))</f>
        <v/>
      </c>
    </row>
    <row r="68">
      <c r="A68" s="22" t="inlineStr">
        <is>
          <t>Charge d'amortissement</t>
        </is>
      </c>
      <c r="B68" s="22" t="inlineStr">
        <is>
          <t>USD</t>
        </is>
      </c>
      <c r="G68" s="8">
        <f>G65*G67</f>
        <v/>
      </c>
      <c r="H68" s="8">
        <f>H65*H67</f>
        <v/>
      </c>
      <c r="I68" s="8">
        <f>I65*I67</f>
        <v/>
      </c>
      <c r="J68" s="8">
        <f>J65*J67</f>
        <v/>
      </c>
      <c r="K68" s="8">
        <f>K65*K67</f>
        <v/>
      </c>
      <c r="L68" s="8">
        <f>L65*L67</f>
        <v/>
      </c>
      <c r="M68" s="8">
        <f>M65*M67</f>
        <v/>
      </c>
    </row>
    <row r="69">
      <c r="A69" s="22" t="inlineStr">
        <is>
          <t>Amortissement restant</t>
        </is>
      </c>
      <c r="B69" s="22" t="inlineStr">
        <is>
          <t>USD</t>
        </is>
      </c>
      <c r="G69" s="8">
        <f>G65-G68</f>
        <v/>
      </c>
      <c r="H69" s="8">
        <f>H65-H68</f>
        <v/>
      </c>
      <c r="I69" s="8">
        <f>I65-I68</f>
        <v/>
      </c>
      <c r="J69" s="8">
        <f>J65-J68</f>
        <v/>
      </c>
      <c r="K69" s="8">
        <f>K65-K68</f>
        <v/>
      </c>
      <c r="L69" s="8">
        <f>L65-L68</f>
        <v/>
      </c>
      <c r="M69" s="8">
        <f>M65-M68</f>
        <v/>
      </c>
    </row>
    <row r="70">
      <c r="A70" s="22" t="n"/>
      <c r="B70" s="22" t="n"/>
    </row>
    <row r="71">
      <c r="A71" s="2" t="inlineStr">
        <is>
          <t>Immobilisations de l'année A6</t>
        </is>
      </c>
      <c r="B71" s="22" t="n"/>
    </row>
    <row r="72">
      <c r="A72" s="22" t="inlineStr">
        <is>
          <t>Durée restante</t>
        </is>
      </c>
      <c r="B72" s="22" t="inlineStr">
        <is>
          <t>Années</t>
        </is>
      </c>
      <c r="H72" s="23">
        <f>IF($C$28&lt;H$3,$C$28,H$3)</f>
        <v/>
      </c>
      <c r="I72" s="8">
        <f>IF(H72=0,0,IF(H72-1&lt;I$3,H72-1,I$3))</f>
        <v/>
      </c>
      <c r="J72" s="8">
        <f>IF(I72=0,0,IF(I72-1&lt;J$3,I72-1,J$3))</f>
        <v/>
      </c>
      <c r="K72" s="8">
        <f>IF(J72=0,0,IF(J72-1&lt;K$3,J72-1,K$3))</f>
        <v/>
      </c>
      <c r="L72" s="8">
        <f>IF(K72=0,0,IF(K72-1&lt;L$3,K72-1,L$3))</f>
        <v/>
      </c>
      <c r="M72" s="8">
        <f>IF(L72=0,0,IF(L72-1&lt;M$3,L72-1,M$3))</f>
        <v/>
      </c>
    </row>
    <row r="73">
      <c r="A73" s="22" t="inlineStr">
        <is>
          <t>Base amortissable</t>
        </is>
      </c>
      <c r="B73" s="22" t="inlineStr">
        <is>
          <t>USD</t>
        </is>
      </c>
      <c r="H73" s="23">
        <f>Modèle!H$10</f>
        <v/>
      </c>
      <c r="I73" s="8">
        <f>H77</f>
        <v/>
      </c>
      <c r="J73" s="8">
        <f>I77</f>
        <v/>
      </c>
      <c r="K73" s="8">
        <f>J77</f>
        <v/>
      </c>
      <c r="L73" s="8">
        <f>K77</f>
        <v/>
      </c>
      <c r="M73" s="8">
        <f>L77</f>
        <v/>
      </c>
    </row>
    <row r="74">
      <c r="A74" s="22" t="inlineStr">
        <is>
          <t>Inverse de la durée restante</t>
        </is>
      </c>
      <c r="B74" s="22" t="inlineStr">
        <is>
          <t>%</t>
        </is>
      </c>
      <c r="H74" s="27">
        <f>IF(H72=0,0,1/H72)</f>
        <v/>
      </c>
      <c r="I74" s="27">
        <f>IF(I72=0,0,1/I72)</f>
        <v/>
      </c>
      <c r="J74" s="27">
        <f>IF(J72=0,0,1/J72)</f>
        <v/>
      </c>
      <c r="K74" s="27">
        <f>IF(K72=0,0,1/K72)</f>
        <v/>
      </c>
      <c r="L74" s="27">
        <f>IF(L72=0,0,1/L72)</f>
        <v/>
      </c>
      <c r="M74" s="27">
        <f>IF(M72=0,0,1/M72)</f>
        <v/>
      </c>
    </row>
    <row r="75">
      <c r="A75" s="22" t="inlineStr">
        <is>
          <t>Taux dégressif</t>
        </is>
      </c>
      <c r="B75" s="22" t="inlineStr">
        <is>
          <t>%</t>
        </is>
      </c>
      <c r="H75" s="27">
        <f>IF(H72=0,0,IF($C$29*1/$C$28&gt;H74,$C$29*1/$C$28,H74))</f>
        <v/>
      </c>
      <c r="I75" s="27">
        <f>IF(I72=0,0,IF($C$29*1/$C$28&gt;I74,$C$29*1/$C$28,I74))</f>
        <v/>
      </c>
      <c r="J75" s="27">
        <f>IF(J72=0,0,IF($C$29*1/$C$28&gt;J74,$C$29*1/$C$28,J74))</f>
        <v/>
      </c>
      <c r="K75" s="27">
        <f>IF(K72=0,0,IF($C$29*1/$C$28&gt;K74,$C$29*1/$C$28,K74))</f>
        <v/>
      </c>
      <c r="L75" s="27">
        <f>IF(L72=0,0,IF($C$29*1/$C$28&gt;L74,$C$29*1/$C$28,L74))</f>
        <v/>
      </c>
      <c r="M75" s="27">
        <f>IF(M72=0,0,IF($C$29*1/$C$28&gt;M74,$C$29*1/$C$28,M74))</f>
        <v/>
      </c>
    </row>
    <row r="76">
      <c r="A76" s="22" t="inlineStr">
        <is>
          <t>Charge d'amortissement</t>
        </is>
      </c>
      <c r="B76" s="22" t="inlineStr">
        <is>
          <t>USD</t>
        </is>
      </c>
      <c r="H76" s="8">
        <f>H73*H75</f>
        <v/>
      </c>
      <c r="I76" s="8">
        <f>I73*I75</f>
        <v/>
      </c>
      <c r="J76" s="8">
        <f>J73*J75</f>
        <v/>
      </c>
      <c r="K76" s="8">
        <f>K73*K75</f>
        <v/>
      </c>
      <c r="L76" s="8">
        <f>L73*L75</f>
        <v/>
      </c>
      <c r="M76" s="8">
        <f>M73*M75</f>
        <v/>
      </c>
    </row>
    <row r="77">
      <c r="A77" s="22" t="inlineStr">
        <is>
          <t>Amortissement restant</t>
        </is>
      </c>
      <c r="B77" s="22" t="inlineStr">
        <is>
          <t>USD</t>
        </is>
      </c>
      <c r="H77" s="8">
        <f>H73-H76</f>
        <v/>
      </c>
      <c r="I77" s="8">
        <f>I73-I76</f>
        <v/>
      </c>
      <c r="J77" s="8">
        <f>J73-J76</f>
        <v/>
      </c>
      <c r="K77" s="8">
        <f>K73-K76</f>
        <v/>
      </c>
      <c r="L77" s="8">
        <f>L73-L76</f>
        <v/>
      </c>
      <c r="M77" s="8">
        <f>M73-M76</f>
        <v/>
      </c>
    </row>
    <row r="78">
      <c r="A78" s="22" t="n"/>
      <c r="B78" s="22" t="n"/>
    </row>
    <row r="79">
      <c r="A79" s="2" t="inlineStr">
        <is>
          <t>Immobilisations de l'année A7</t>
        </is>
      </c>
      <c r="B79" s="22" t="n"/>
    </row>
    <row r="80">
      <c r="A80" s="22" t="inlineStr">
        <is>
          <t>Durée restante</t>
        </is>
      </c>
      <c r="B80" s="22" t="inlineStr">
        <is>
          <t>Années</t>
        </is>
      </c>
      <c r="I80" s="23">
        <f>IF($C$28&lt;I$3,$C$28,I$3)</f>
        <v/>
      </c>
      <c r="J80" s="8">
        <f>IF(I80=0,0,IF(I80-1&lt;J$3,I80-1,J$3))</f>
        <v/>
      </c>
      <c r="K80" s="8">
        <f>IF(J80=0,0,IF(J80-1&lt;K$3,J80-1,K$3))</f>
        <v/>
      </c>
      <c r="L80" s="8">
        <f>IF(K80=0,0,IF(K80-1&lt;L$3,K80-1,L$3))</f>
        <v/>
      </c>
      <c r="M80" s="8">
        <f>IF(L80=0,0,IF(L80-1&lt;M$3,L80-1,M$3))</f>
        <v/>
      </c>
    </row>
    <row r="81">
      <c r="A81" s="22" t="inlineStr">
        <is>
          <t>Base amortissable</t>
        </is>
      </c>
      <c r="B81" s="22" t="inlineStr">
        <is>
          <t>USD</t>
        </is>
      </c>
      <c r="I81" s="23">
        <f>Modèle!I$10</f>
        <v/>
      </c>
      <c r="J81" s="8">
        <f>I85</f>
        <v/>
      </c>
      <c r="K81" s="8">
        <f>J85</f>
        <v/>
      </c>
      <c r="L81" s="8">
        <f>K85</f>
        <v/>
      </c>
      <c r="M81" s="8">
        <f>L85</f>
        <v/>
      </c>
    </row>
    <row r="82">
      <c r="A82" s="22" t="inlineStr">
        <is>
          <t>Inverse de la durée restante</t>
        </is>
      </c>
      <c r="B82" s="22" t="inlineStr">
        <is>
          <t>%</t>
        </is>
      </c>
      <c r="I82" s="27">
        <f>IF(I80=0,0,1/I80)</f>
        <v/>
      </c>
      <c r="J82" s="27">
        <f>IF(J80=0,0,1/J80)</f>
        <v/>
      </c>
      <c r="K82" s="27">
        <f>IF(K80=0,0,1/K80)</f>
        <v/>
      </c>
      <c r="L82" s="27">
        <f>IF(L80=0,0,1/L80)</f>
        <v/>
      </c>
      <c r="M82" s="27">
        <f>IF(M80=0,0,1/M80)</f>
        <v/>
      </c>
    </row>
    <row r="83">
      <c r="A83" s="22" t="inlineStr">
        <is>
          <t>Taux dégressif</t>
        </is>
      </c>
      <c r="B83" s="22" t="inlineStr">
        <is>
          <t>%</t>
        </is>
      </c>
      <c r="I83" s="27">
        <f>IF(I80=0,0,IF($C$29*1/$C$28&gt;I82,$C$29*1/$C$28,I82))</f>
        <v/>
      </c>
      <c r="J83" s="27">
        <f>IF(J80=0,0,IF($C$29*1/$C$28&gt;J82,$C$29*1/$C$28,J82))</f>
        <v/>
      </c>
      <c r="K83" s="27">
        <f>IF(K80=0,0,IF($C$29*1/$C$28&gt;K82,$C$29*1/$C$28,K82))</f>
        <v/>
      </c>
      <c r="L83" s="27">
        <f>IF(L80=0,0,IF($C$29*1/$C$28&gt;L82,$C$29*1/$C$28,L82))</f>
        <v/>
      </c>
      <c r="M83" s="27">
        <f>IF(M80=0,0,IF($C$29*1/$C$28&gt;M82,$C$29*1/$C$28,M82))</f>
        <v/>
      </c>
    </row>
    <row r="84">
      <c r="A84" s="22" t="inlineStr">
        <is>
          <t>Charge d'amortissement</t>
        </is>
      </c>
      <c r="B84" s="22" t="inlineStr">
        <is>
          <t>USD</t>
        </is>
      </c>
      <c r="I84" s="8">
        <f>I81*I83</f>
        <v/>
      </c>
      <c r="J84" s="8">
        <f>J81*J83</f>
        <v/>
      </c>
      <c r="K84" s="8">
        <f>K81*K83</f>
        <v/>
      </c>
      <c r="L84" s="8">
        <f>L81*L83</f>
        <v/>
      </c>
      <c r="M84" s="8">
        <f>M81*M83</f>
        <v/>
      </c>
    </row>
    <row r="85">
      <c r="A85" s="22" t="inlineStr">
        <is>
          <t>Amortissement restant</t>
        </is>
      </c>
      <c r="B85" s="22" t="inlineStr">
        <is>
          <t>USD</t>
        </is>
      </c>
      <c r="I85" s="8">
        <f>I81-I84</f>
        <v/>
      </c>
      <c r="J85" s="8">
        <f>J81-J84</f>
        <v/>
      </c>
      <c r="K85" s="8">
        <f>K81-K84</f>
        <v/>
      </c>
      <c r="L85" s="8">
        <f>L81-L84</f>
        <v/>
      </c>
      <c r="M85" s="8">
        <f>M81-M84</f>
        <v/>
      </c>
    </row>
    <row r="86">
      <c r="A86" s="22" t="n"/>
      <c r="B86" s="22" t="n"/>
    </row>
    <row r="87">
      <c r="A87" s="2" t="inlineStr">
        <is>
          <t>Immobilisations de l'année A8</t>
        </is>
      </c>
      <c r="B87" s="22" t="n"/>
    </row>
    <row r="88">
      <c r="A88" s="22" t="inlineStr">
        <is>
          <t>Durée restante</t>
        </is>
      </c>
      <c r="B88" s="22" t="inlineStr">
        <is>
          <t>Années</t>
        </is>
      </c>
      <c r="J88" s="23">
        <f>IF($C$28&lt;J$3,$C$28,J$3)</f>
        <v/>
      </c>
      <c r="K88" s="8">
        <f>IF(J88=0,0,IF(J88-1&lt;K$3,J88-1,K$3))</f>
        <v/>
      </c>
      <c r="L88" s="8">
        <f>IF(K88=0,0,IF(K88-1&lt;L$3,K88-1,L$3))</f>
        <v/>
      </c>
      <c r="M88" s="8">
        <f>IF(L88=0,0,IF(L88-1&lt;M$3,L88-1,M$3))</f>
        <v/>
      </c>
    </row>
    <row r="89">
      <c r="A89" s="22" t="inlineStr">
        <is>
          <t>Base amortissable</t>
        </is>
      </c>
      <c r="B89" s="22" t="inlineStr">
        <is>
          <t>USD</t>
        </is>
      </c>
      <c r="J89" s="23">
        <f>Modèle!J$10</f>
        <v/>
      </c>
      <c r="K89" s="8">
        <f>J93</f>
        <v/>
      </c>
      <c r="L89" s="8">
        <f>K93</f>
        <v/>
      </c>
      <c r="M89" s="8">
        <f>L93</f>
        <v/>
      </c>
    </row>
    <row r="90">
      <c r="A90" s="22" t="inlineStr">
        <is>
          <t>Inverse de la durée restante</t>
        </is>
      </c>
      <c r="B90" s="22" t="inlineStr">
        <is>
          <t>%</t>
        </is>
      </c>
      <c r="J90" s="27">
        <f>IF(J88=0,0,1/J88)</f>
        <v/>
      </c>
      <c r="K90" s="27">
        <f>IF(K88=0,0,1/K88)</f>
        <v/>
      </c>
      <c r="L90" s="27">
        <f>IF(L88=0,0,1/L88)</f>
        <v/>
      </c>
      <c r="M90" s="27">
        <f>IF(M88=0,0,1/M88)</f>
        <v/>
      </c>
    </row>
    <row r="91">
      <c r="A91" s="22" t="inlineStr">
        <is>
          <t>Taux dégressif</t>
        </is>
      </c>
      <c r="B91" s="22" t="inlineStr">
        <is>
          <t>%</t>
        </is>
      </c>
      <c r="J91" s="27">
        <f>IF(J88=0,0,IF($C$29*1/$C$28&gt;J90,$C$29*1/$C$28,J90))</f>
        <v/>
      </c>
      <c r="K91" s="27">
        <f>IF(K88=0,0,IF($C$29*1/$C$28&gt;K90,$C$29*1/$C$28,K90))</f>
        <v/>
      </c>
      <c r="L91" s="27">
        <f>IF(L88=0,0,IF($C$29*1/$C$28&gt;L90,$C$29*1/$C$28,L90))</f>
        <v/>
      </c>
      <c r="M91" s="27">
        <f>IF(M88=0,0,IF($C$29*1/$C$28&gt;M90,$C$29*1/$C$28,M90))</f>
        <v/>
      </c>
    </row>
    <row r="92">
      <c r="A92" s="22" t="inlineStr">
        <is>
          <t>Charge d'amortissement</t>
        </is>
      </c>
      <c r="B92" s="22" t="inlineStr">
        <is>
          <t>USD</t>
        </is>
      </c>
      <c r="J92" s="8">
        <f>J89*J91</f>
        <v/>
      </c>
      <c r="K92" s="8">
        <f>K89*K91</f>
        <v/>
      </c>
      <c r="L92" s="8">
        <f>L89*L91</f>
        <v/>
      </c>
      <c r="M92" s="8">
        <f>M89*M91</f>
        <v/>
      </c>
    </row>
    <row r="93">
      <c r="A93" s="22" t="inlineStr">
        <is>
          <t>Amortissement restant</t>
        </is>
      </c>
      <c r="B93" s="22" t="inlineStr">
        <is>
          <t>USD</t>
        </is>
      </c>
      <c r="J93" s="8">
        <f>J89-J92</f>
        <v/>
      </c>
      <c r="K93" s="8">
        <f>K89-K92</f>
        <v/>
      </c>
      <c r="L93" s="8">
        <f>L89-L92</f>
        <v/>
      </c>
      <c r="M93" s="8">
        <f>M89-M92</f>
        <v/>
      </c>
    </row>
    <row r="94">
      <c r="A94" s="22" t="n"/>
      <c r="B94" s="22" t="n"/>
    </row>
    <row r="95">
      <c r="A95" s="2" t="inlineStr">
        <is>
          <t>Immobilisations de l'année A9</t>
        </is>
      </c>
      <c r="B95" s="22" t="n"/>
    </row>
    <row r="96">
      <c r="A96" s="22" t="inlineStr">
        <is>
          <t>Durée restante</t>
        </is>
      </c>
      <c r="B96" s="22" t="inlineStr">
        <is>
          <t>Années</t>
        </is>
      </c>
      <c r="K96" s="23">
        <f>IF($C$28&lt;K$3,$C$28,K$3)</f>
        <v/>
      </c>
      <c r="L96" s="8">
        <f>IF(K96=0,0,IF(K96-1&lt;L$3,K96-1,L$3))</f>
        <v/>
      </c>
      <c r="M96" s="8">
        <f>IF(L96=0,0,IF(L96-1&lt;M$3,L96-1,M$3))</f>
        <v/>
      </c>
    </row>
    <row r="97">
      <c r="A97" s="22" t="inlineStr">
        <is>
          <t>Base amortissable</t>
        </is>
      </c>
      <c r="B97" s="22" t="inlineStr">
        <is>
          <t>USD</t>
        </is>
      </c>
      <c r="K97" s="23">
        <f>Modèle!K$10</f>
        <v/>
      </c>
      <c r="L97" s="8">
        <f>K101</f>
        <v/>
      </c>
      <c r="M97" s="8">
        <f>L101</f>
        <v/>
      </c>
    </row>
    <row r="98">
      <c r="A98" s="22" t="inlineStr">
        <is>
          <t>Inverse de la durée restante</t>
        </is>
      </c>
      <c r="B98" s="22" t="inlineStr">
        <is>
          <t>%</t>
        </is>
      </c>
      <c r="K98" s="27">
        <f>IF(K96=0,0,1/K96)</f>
        <v/>
      </c>
      <c r="L98" s="27">
        <f>IF(L96=0,0,1/L96)</f>
        <v/>
      </c>
      <c r="M98" s="27">
        <f>IF(M96=0,0,1/M96)</f>
        <v/>
      </c>
    </row>
    <row r="99">
      <c r="A99" s="22" t="inlineStr">
        <is>
          <t>Taux dégressif</t>
        </is>
      </c>
      <c r="B99" s="22" t="inlineStr">
        <is>
          <t>%</t>
        </is>
      </c>
      <c r="K99" s="27">
        <f>IF(K96=0,0,IF($C$29*1/$C$28&gt;K98,$C$29*1/$C$28,K98))</f>
        <v/>
      </c>
      <c r="L99" s="27">
        <f>IF(L96=0,0,IF($C$29*1/$C$28&gt;L98,$C$29*1/$C$28,L98))</f>
        <v/>
      </c>
      <c r="M99" s="27">
        <f>IF(M96=0,0,IF($C$29*1/$C$28&gt;M98,$C$29*1/$C$28,M98))</f>
        <v/>
      </c>
    </row>
    <row r="100">
      <c r="A100" s="22" t="inlineStr">
        <is>
          <t>Charge d'amortissement</t>
        </is>
      </c>
      <c r="B100" s="22" t="inlineStr">
        <is>
          <t>USD</t>
        </is>
      </c>
      <c r="K100" s="8">
        <f>K97*K99</f>
        <v/>
      </c>
      <c r="L100" s="8">
        <f>L97*L99</f>
        <v/>
      </c>
      <c r="M100" s="8">
        <f>M97*M99</f>
        <v/>
      </c>
    </row>
    <row r="101">
      <c r="A101" s="22" t="inlineStr">
        <is>
          <t>Amortissement restant</t>
        </is>
      </c>
      <c r="B101" s="22" t="inlineStr">
        <is>
          <t>USD</t>
        </is>
      </c>
      <c r="K101" s="8">
        <f>K97-K100</f>
        <v/>
      </c>
      <c r="L101" s="8">
        <f>L97-L100</f>
        <v/>
      </c>
      <c r="M101" s="8">
        <f>M97-M100</f>
        <v/>
      </c>
    </row>
    <row r="102">
      <c r="A102" s="22" t="n"/>
      <c r="B102" s="22" t="n"/>
    </row>
    <row r="103">
      <c r="A103" s="2" t="inlineStr">
        <is>
          <t>Immobilisations de l'année A10</t>
        </is>
      </c>
      <c r="B103" s="22" t="n"/>
    </row>
    <row r="104">
      <c r="A104" s="22" t="inlineStr">
        <is>
          <t>Durée restante</t>
        </is>
      </c>
      <c r="B104" s="22" t="inlineStr">
        <is>
          <t>Années</t>
        </is>
      </c>
      <c r="L104" s="23">
        <f>IF($C$28&lt;L$3,$C$28,L$3)</f>
        <v/>
      </c>
      <c r="M104" s="8">
        <f>IF(L104=0,0,IF(L104-1&lt;M$3,L104-1,M$3))</f>
        <v/>
      </c>
    </row>
    <row r="105">
      <c r="A105" s="22" t="inlineStr">
        <is>
          <t>Base amortissable</t>
        </is>
      </c>
      <c r="B105" s="22" t="inlineStr">
        <is>
          <t>USD</t>
        </is>
      </c>
      <c r="L105" s="23">
        <f>Modèle!L$10</f>
        <v/>
      </c>
      <c r="M105" s="8">
        <f>L109</f>
        <v/>
      </c>
    </row>
    <row r="106">
      <c r="A106" s="22" t="inlineStr">
        <is>
          <t>Inverse de la durée restante</t>
        </is>
      </c>
      <c r="B106" s="22" t="inlineStr">
        <is>
          <t>%</t>
        </is>
      </c>
      <c r="L106" s="27">
        <f>IF(L104=0,0,1/L104)</f>
        <v/>
      </c>
      <c r="M106" s="27">
        <f>IF(M104=0,0,1/M104)</f>
        <v/>
      </c>
    </row>
    <row r="107">
      <c r="A107" s="22" t="inlineStr">
        <is>
          <t>Taux dégressif</t>
        </is>
      </c>
      <c r="B107" s="22" t="inlineStr">
        <is>
          <t>%</t>
        </is>
      </c>
      <c r="L107" s="27">
        <f>IF(L104=0,0,IF($C$29*1/$C$28&gt;L106,$C$29*1/$C$28,L106))</f>
        <v/>
      </c>
      <c r="M107" s="27">
        <f>IF(M104=0,0,IF($C$29*1/$C$28&gt;M106,$C$29*1/$C$28,M106))</f>
        <v/>
      </c>
    </row>
    <row r="108">
      <c r="A108" s="22" t="inlineStr">
        <is>
          <t>Charge d'amortissement</t>
        </is>
      </c>
      <c r="B108" s="22" t="inlineStr">
        <is>
          <t>USD</t>
        </is>
      </c>
      <c r="L108" s="8">
        <f>L105*L107</f>
        <v/>
      </c>
      <c r="M108" s="8">
        <f>M105*M107</f>
        <v/>
      </c>
    </row>
    <row r="109">
      <c r="A109" s="22" t="inlineStr">
        <is>
          <t>Amortissement restant</t>
        </is>
      </c>
      <c r="B109" s="22" t="inlineStr">
        <is>
          <t>USD</t>
        </is>
      </c>
      <c r="L109" s="8">
        <f>L105-L108</f>
        <v/>
      </c>
      <c r="M109" s="8">
        <f>M105-M108</f>
        <v/>
      </c>
    </row>
    <row r="110">
      <c r="A110" s="22" t="n"/>
      <c r="B110" s="22" t="n"/>
    </row>
    <row r="111">
      <c r="A111" s="2" t="inlineStr">
        <is>
          <t>Immobilisations de l'année A11</t>
        </is>
      </c>
      <c r="B111" s="22" t="n"/>
    </row>
    <row r="112">
      <c r="A112" s="22" t="inlineStr">
        <is>
          <t>Durée restante</t>
        </is>
      </c>
      <c r="B112" s="22" t="inlineStr">
        <is>
          <t>Années</t>
        </is>
      </c>
      <c r="M112" s="23">
        <f>IF($C$28&lt;M$3,$C$28,M$3)</f>
        <v/>
      </c>
    </row>
    <row r="113">
      <c r="A113" s="22" t="inlineStr">
        <is>
          <t>Base amortissable</t>
        </is>
      </c>
      <c r="B113" s="22" t="inlineStr">
        <is>
          <t>USD</t>
        </is>
      </c>
      <c r="M113" s="23">
        <f>Modèle!M$10</f>
        <v/>
      </c>
    </row>
    <row r="114">
      <c r="A114" s="22" t="inlineStr">
        <is>
          <t>Inverse de la durée restante</t>
        </is>
      </c>
      <c r="B114" s="22" t="inlineStr">
        <is>
          <t>%</t>
        </is>
      </c>
      <c r="M114" s="27">
        <f>IF(M112=0,0,1/M112)</f>
        <v/>
      </c>
    </row>
    <row r="115">
      <c r="A115" s="22" t="inlineStr">
        <is>
          <t>Taux dégressif</t>
        </is>
      </c>
      <c r="B115" s="22" t="inlineStr">
        <is>
          <t>%</t>
        </is>
      </c>
      <c r="M115" s="27">
        <f>IF(M112=0,0,IF($C$29*1/$C$28&gt;M114,$C$29*1/$C$28,M114))</f>
        <v/>
      </c>
    </row>
    <row r="116">
      <c r="A116" s="22" t="inlineStr">
        <is>
          <t>Charge d'amortissement</t>
        </is>
      </c>
      <c r="B116" s="22" t="inlineStr">
        <is>
          <t>USD</t>
        </is>
      </c>
      <c r="M116" s="8">
        <f>M113*M115</f>
        <v/>
      </c>
    </row>
    <row r="117">
      <c r="A117" s="22" t="inlineStr">
        <is>
          <t>Amortissement restant</t>
        </is>
      </c>
      <c r="B117" s="22" t="inlineStr">
        <is>
          <t>USD</t>
        </is>
      </c>
      <c r="M117" s="8">
        <f>M113-M116</f>
        <v/>
      </c>
    </row>
    <row r="118">
      <c r="A118" s="22" t="n"/>
      <c r="B118" s="22" t="n"/>
    </row>
    <row r="119">
      <c r="A119" s="2" t="inlineStr">
        <is>
          <t>Amortissements des biens d'équipement</t>
        </is>
      </c>
      <c r="B119" s="22" t="inlineStr">
        <is>
          <t>USD</t>
        </is>
      </c>
      <c r="C119" s="8">
        <f>C$36+C$44+C$52+C$60+C$68+C$76+C$84+C$92+C$100+C$108+C$116</f>
        <v/>
      </c>
      <c r="D119" s="8">
        <f>D$36+D$44+D$52+D$60+D$68+D$76+D$84+D$92+D$100+D$108+D$116</f>
        <v/>
      </c>
      <c r="E119" s="8">
        <f>E$36+E$44+E$52+E$60+E$68+E$76+E$84+E$92+E$100+E$108+E$116</f>
        <v/>
      </c>
      <c r="F119" s="8">
        <f>F$36+F$44+F$52+F$60+F$68+F$76+F$84+F$92+F$100+F$108+F$116</f>
        <v/>
      </c>
      <c r="G119" s="8">
        <f>G$36+G$44+G$52+G$60+G$68+G$76+G$84+G$92+G$100+G$108+G$116</f>
        <v/>
      </c>
      <c r="H119" s="8">
        <f>H$36+H$44+H$52+H$60+H$68+H$76+H$84+H$92+H$100+H$108+H$116</f>
        <v/>
      </c>
      <c r="I119" s="8">
        <f>I$36+I$44+I$52+I$60+I$68+I$76+I$84+I$92+I$100+I$108+I$116</f>
        <v/>
      </c>
      <c r="J119" s="8">
        <f>J$36+J$44+J$52+J$60+J$68+J$76+J$84+J$92+J$100+J$108+J$116</f>
        <v/>
      </c>
      <c r="K119" s="8">
        <f>K$36+K$44+K$52+K$60+K$68+K$76+K$84+K$92+K$100+K$108+K$116</f>
        <v/>
      </c>
      <c r="L119" s="8">
        <f>L$36+L$44+L$52+L$60+L$68+L$76+L$84+L$92+L$100+L$108+L$116</f>
        <v/>
      </c>
      <c r="M119" s="8">
        <f>M$36+M$44+M$52+M$60+M$68+M$76+M$84+M$92+M$100+M$108+M$116</f>
        <v/>
      </c>
    </row>
    <row r="120">
      <c r="A120" s="22" t="n"/>
      <c r="B120" s="22" t="n"/>
    </row>
    <row r="121">
      <c r="A121" s="5" t="inlineStr">
        <is>
          <t>III. AMORTISSEMENTS DES DEPENSES DE REHABILITATION</t>
        </is>
      </c>
      <c r="B121" s="24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</row>
    <row r="122">
      <c r="A122" s="2" t="inlineStr">
        <is>
          <t>Durée d'amortissement linéaire</t>
        </is>
      </c>
      <c r="B122" s="22" t="inlineStr">
        <is>
          <t>Années</t>
        </is>
      </c>
      <c r="C122" s="19" t="n">
        <v>1</v>
      </c>
    </row>
    <row r="123">
      <c r="A123" s="2" t="inlineStr">
        <is>
          <t>Coefficient d'amortissement dégressif</t>
        </is>
      </c>
      <c r="B123" s="22" t="inlineStr">
        <is>
          <t>Coefficient</t>
        </is>
      </c>
      <c r="C123" s="19" t="n">
        <v>1</v>
      </c>
    </row>
    <row r="124">
      <c r="A124" s="22" t="n"/>
      <c r="B124" s="22" t="n"/>
    </row>
    <row r="125">
      <c r="A125" s="2" t="inlineStr">
        <is>
          <t>Immobilisations de l'année A11</t>
        </is>
      </c>
      <c r="B125" s="22" t="n"/>
    </row>
    <row r="126">
      <c r="A126" s="22" t="inlineStr">
        <is>
          <t>Durée restante</t>
        </is>
      </c>
      <c r="B126" s="22" t="inlineStr">
        <is>
          <t>Années</t>
        </is>
      </c>
      <c r="M126" s="23">
        <f>IF($C$122&lt;M$3,$C$122,M$3)</f>
        <v/>
      </c>
    </row>
    <row r="127">
      <c r="A127" s="22" t="inlineStr">
        <is>
          <t>Base amortissable</t>
        </is>
      </c>
      <c r="B127" s="22" t="inlineStr">
        <is>
          <t>USD</t>
        </is>
      </c>
      <c r="M127" s="23">
        <f>Modèle!M$11</f>
        <v/>
      </c>
    </row>
    <row r="128">
      <c r="A128" s="22" t="inlineStr">
        <is>
          <t>Inverse de la durée restante</t>
        </is>
      </c>
      <c r="B128" s="22" t="inlineStr">
        <is>
          <t>%</t>
        </is>
      </c>
      <c r="M128" s="27">
        <f>IF(M126=0,0,1/M126)</f>
        <v/>
      </c>
    </row>
    <row r="129">
      <c r="A129" s="22" t="inlineStr">
        <is>
          <t>Taux dégressif</t>
        </is>
      </c>
      <c r="B129" s="22" t="inlineStr">
        <is>
          <t>%</t>
        </is>
      </c>
      <c r="M129" s="27">
        <f>IF(M126=0,0,IF($C$123*1/$C$122&gt;M128,$C$123*1/$C$122,M128))</f>
        <v/>
      </c>
    </row>
    <row r="130">
      <c r="A130" s="22" t="inlineStr">
        <is>
          <t>Charge d'amortissement</t>
        </is>
      </c>
      <c r="B130" s="22" t="inlineStr">
        <is>
          <t>USD</t>
        </is>
      </c>
      <c r="M130" s="8">
        <f>M127*M129</f>
        <v/>
      </c>
    </row>
    <row r="131">
      <c r="A131" s="22" t="inlineStr">
        <is>
          <t>Amortissement restant</t>
        </is>
      </c>
      <c r="B131" s="22" t="inlineStr">
        <is>
          <t>USD</t>
        </is>
      </c>
      <c r="M131" s="8">
        <f>M127-M130</f>
        <v/>
      </c>
    </row>
    <row r="132">
      <c r="A132" s="22" t="n"/>
      <c r="B132" s="22" t="n"/>
    </row>
    <row r="133">
      <c r="A133" s="2" t="inlineStr">
        <is>
          <t>Amortissements des dépenses de réhabilitation</t>
        </is>
      </c>
      <c r="B133" s="22" t="inlineStr">
        <is>
          <t>USD</t>
        </is>
      </c>
      <c r="C133" s="8">
        <f>C130</f>
        <v/>
      </c>
      <c r="D133" s="8">
        <f>D130</f>
        <v/>
      </c>
      <c r="E133" s="8">
        <f>E130</f>
        <v/>
      </c>
      <c r="F133" s="8">
        <f>F130</f>
        <v/>
      </c>
      <c r="G133" s="8">
        <f>G130</f>
        <v/>
      </c>
      <c r="H133" s="8">
        <f>H130</f>
        <v/>
      </c>
      <c r="I133" s="8">
        <f>I130</f>
        <v/>
      </c>
      <c r="J133" s="8">
        <f>J130</f>
        <v/>
      </c>
      <c r="K133" s="8">
        <f>K130</f>
        <v/>
      </c>
      <c r="L133" s="8">
        <f>L130</f>
        <v/>
      </c>
      <c r="M133" s="8">
        <f>M130</f>
        <v/>
      </c>
    </row>
    <row r="134">
      <c r="A134" s="22" t="n"/>
      <c r="B134" s="22" t="n"/>
    </row>
    <row r="135">
      <c r="A135" s="5" t="inlineStr">
        <is>
          <t>IV. CHARGES FINANCIERES</t>
        </is>
      </c>
      <c r="B135" s="24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</row>
    <row r="136">
      <c r="A136" s="2" t="inlineStr">
        <is>
          <t>Emprunt</t>
        </is>
      </c>
      <c r="B136" s="22" t="n"/>
    </row>
    <row r="137">
      <c r="A137" s="22" t="inlineStr">
        <is>
          <t>Durée de l'emprunt</t>
        </is>
      </c>
      <c r="B137" s="22" t="inlineStr">
        <is>
          <t>Années</t>
        </is>
      </c>
      <c r="C137" s="19" t="n">
        <v>5</v>
      </c>
    </row>
    <row r="138">
      <c r="A138" s="22" t="inlineStr">
        <is>
          <t>Taux d'intérêt de l'emprunt</t>
        </is>
      </c>
      <c r="B138" s="22" t="inlineStr">
        <is>
          <t>%</t>
        </is>
      </c>
      <c r="C138" s="21" t="n">
        <v>0.1</v>
      </c>
    </row>
    <row r="139">
      <c r="A139" s="2" t="inlineStr">
        <is>
          <t>Régle de sous-capitalisation</t>
        </is>
      </c>
      <c r="B139" s="22" t="n"/>
    </row>
    <row r="140">
      <c r="A140" s="22" t="inlineStr">
        <is>
          <t>Taux d'intérêt légal maximum</t>
        </is>
      </c>
      <c r="B140" s="22" t="inlineStr">
        <is>
          <t>%</t>
        </is>
      </c>
      <c r="C140" s="21" t="n">
        <v>0.05</v>
      </c>
    </row>
    <row r="141">
      <c r="A141" s="22" t="n"/>
      <c r="B141" s="22" t="n"/>
    </row>
    <row r="142">
      <c r="A142" s="2" t="inlineStr">
        <is>
          <t>Emprunt de l'année A1</t>
        </is>
      </c>
      <c r="B142" s="22" t="n"/>
    </row>
    <row r="143">
      <c r="A143" s="22" t="inlineStr">
        <is>
          <t>Durée restante</t>
        </is>
      </c>
      <c r="B143" s="22" t="inlineStr">
        <is>
          <t>Années</t>
        </is>
      </c>
      <c r="C143" s="23">
        <f>IF($C$137+1&lt;C$3,$C$137+1,C$3)</f>
        <v/>
      </c>
      <c r="D143" s="8">
        <f>IF(C143=0,0,IF(C143-1&lt;D$3,C143-1,D$3))</f>
        <v/>
      </c>
      <c r="E143" s="8">
        <f>IF(D143=0,0,IF(D143-1&lt;E$3,D143-1,E$3))</f>
        <v/>
      </c>
      <c r="F143" s="8">
        <f>IF(E143=0,0,IF(E143-1&lt;F$3,E143-1,F$3))</f>
        <v/>
      </c>
      <c r="G143" s="8">
        <f>IF(F143=0,0,IF(F143-1&lt;G$3,F143-1,G$3))</f>
        <v/>
      </c>
      <c r="H143" s="8">
        <f>IF(G143=0,0,IF(G143-1&lt;H$3,G143-1,H$3))</f>
        <v/>
      </c>
      <c r="I143" s="8">
        <f>IF(H143=0,0,IF(H143-1&lt;I$3,H143-1,I$3))</f>
        <v/>
      </c>
      <c r="J143" s="8">
        <f>IF(I143=0,0,IF(I143-1&lt;J$3,I143-1,J$3))</f>
        <v/>
      </c>
      <c r="K143" s="8">
        <f>IF(J143=0,0,IF(J143-1&lt;K$3,J143-1,K$3))</f>
        <v/>
      </c>
      <c r="L143" s="8">
        <f>IF(K143=0,0,IF(K143-1&lt;L$3,K143-1,L$3))</f>
        <v/>
      </c>
      <c r="M143" s="8">
        <f>IF(L143=0,0,IF(L143-1&lt;M$3,L143-1,M$3))</f>
        <v/>
      </c>
    </row>
    <row r="144">
      <c r="A144" s="22" t="inlineStr">
        <is>
          <t>Emprunt restant</t>
        </is>
      </c>
      <c r="B144" s="22" t="inlineStr">
        <is>
          <t>USD</t>
        </is>
      </c>
      <c r="C144" s="23">
        <f>Modèle!C$12</f>
        <v/>
      </c>
      <c r="D144" s="8">
        <f>C144-D145</f>
        <v/>
      </c>
      <c r="E144" s="8">
        <f>D144-E145</f>
        <v/>
      </c>
      <c r="F144" s="8">
        <f>E144-F145</f>
        <v/>
      </c>
      <c r="G144" s="8">
        <f>F144-G145</f>
        <v/>
      </c>
      <c r="H144" s="8">
        <f>G144-H145</f>
        <v/>
      </c>
      <c r="I144" s="8">
        <f>H144-I145</f>
        <v/>
      </c>
      <c r="J144" s="8">
        <f>I144-J145</f>
        <v/>
      </c>
      <c r="K144" s="8">
        <f>J144-K145</f>
        <v/>
      </c>
      <c r="L144" s="8">
        <f>K144-L145</f>
        <v/>
      </c>
      <c r="M144" s="8">
        <f>L144-M145</f>
        <v/>
      </c>
    </row>
    <row r="145">
      <c r="A145" s="22" t="inlineStr">
        <is>
          <t>Remboursement du principal</t>
        </is>
      </c>
      <c r="B145" s="22" t="inlineStr">
        <is>
          <t>USD</t>
        </is>
      </c>
      <c r="C145" s="24" t="n"/>
      <c r="D145" s="28">
        <f>IF(D143=0,0,C144/D143)</f>
        <v/>
      </c>
      <c r="E145" s="28">
        <f>IF(E143=0,0,D144/E143)</f>
        <v/>
      </c>
      <c r="F145" s="28">
        <f>IF(F143=0,0,E144/F143)</f>
        <v/>
      </c>
      <c r="G145" s="28">
        <f>IF(G143=0,0,F144/G143)</f>
        <v/>
      </c>
      <c r="H145" s="28">
        <f>IF(H143=0,0,G144/H143)</f>
        <v/>
      </c>
      <c r="I145" s="28">
        <f>IF(I143=0,0,H144/I143)</f>
        <v/>
      </c>
      <c r="J145" s="28">
        <f>IF(J143=0,0,I144/J143)</f>
        <v/>
      </c>
      <c r="K145" s="28">
        <f>IF(K143=0,0,J144/K143)</f>
        <v/>
      </c>
      <c r="L145" s="28">
        <f>IF(L143=0,0,K144/L143)</f>
        <v/>
      </c>
      <c r="M145" s="28">
        <f>IF(M143=0,0,L144/M143)</f>
        <v/>
      </c>
    </row>
    <row r="146">
      <c r="A146" s="22" t="inlineStr">
        <is>
          <t>Intérêts versés</t>
        </is>
      </c>
      <c r="B146" s="22" t="inlineStr">
        <is>
          <t>USD</t>
        </is>
      </c>
      <c r="C146" s="28">
        <f>C144*$C$138</f>
        <v/>
      </c>
      <c r="D146" s="28">
        <f>D144*$C$138</f>
        <v/>
      </c>
      <c r="E146" s="28">
        <f>E144*$C$138</f>
        <v/>
      </c>
      <c r="F146" s="28">
        <f>F144*$C$138</f>
        <v/>
      </c>
      <c r="G146" s="28">
        <f>G144*$C$138</f>
        <v/>
      </c>
      <c r="H146" s="28">
        <f>H144*$C$138</f>
        <v/>
      </c>
      <c r="I146" s="28">
        <f>I144*$C$138</f>
        <v/>
      </c>
      <c r="J146" s="28">
        <f>J144*$C$138</f>
        <v/>
      </c>
      <c r="K146" s="28">
        <f>K144*$C$138</f>
        <v/>
      </c>
      <c r="L146" s="28">
        <f>L144*$C$138</f>
        <v/>
      </c>
      <c r="M146" s="28">
        <f>M144*$C$138</f>
        <v/>
      </c>
    </row>
    <row r="147">
      <c r="A147" s="22" t="inlineStr">
        <is>
          <t>Intérêts déductibles</t>
        </is>
      </c>
      <c r="B147" s="22" t="inlineStr">
        <is>
          <t>USD</t>
        </is>
      </c>
      <c r="C147" s="28">
        <f>IF(C144*$C$140&lt;C146,C144*$C$140,C146)</f>
        <v/>
      </c>
      <c r="D147" s="28">
        <f>IF(D144*$C$140&lt;D146,D144*$C$140,D146)</f>
        <v/>
      </c>
      <c r="E147" s="28">
        <f>IF(E144*$C$140&lt;E146,E144*$C$140,E146)</f>
        <v/>
      </c>
      <c r="F147" s="28">
        <f>IF(F144*$C$140&lt;F146,F144*$C$140,F146)</f>
        <v/>
      </c>
      <c r="G147" s="28">
        <f>IF(G144*$C$140&lt;G146,G144*$C$140,G146)</f>
        <v/>
      </c>
      <c r="H147" s="28">
        <f>IF(H144*$C$140&lt;H146,H144*$C$140,H146)</f>
        <v/>
      </c>
      <c r="I147" s="28">
        <f>IF(I144*$C$140&lt;I146,I144*$C$140,I146)</f>
        <v/>
      </c>
      <c r="J147" s="28">
        <f>IF(J144*$C$140&lt;J146,J144*$C$140,J146)</f>
        <v/>
      </c>
      <c r="K147" s="28">
        <f>IF(K144*$C$140&lt;K146,K144*$C$140,K146)</f>
        <v/>
      </c>
      <c r="L147" s="28">
        <f>IF(L144*$C$140&lt;L146,L144*$C$140,L146)</f>
        <v/>
      </c>
      <c r="M147" s="28">
        <f>IF(M144*$C$140&lt;M146,M144*$C$140,M146)</f>
        <v/>
      </c>
    </row>
    <row r="148">
      <c r="A148" s="22" t="n"/>
      <c r="B148" s="22" t="n"/>
    </row>
    <row r="149">
      <c r="A149" s="2" t="inlineStr">
        <is>
          <t>Emprunt de l'année A2</t>
        </is>
      </c>
      <c r="B149" s="22" t="n"/>
    </row>
    <row r="150">
      <c r="A150" s="22" t="inlineStr">
        <is>
          <t>Durée restante</t>
        </is>
      </c>
      <c r="B150" s="22" t="inlineStr">
        <is>
          <t>Années</t>
        </is>
      </c>
      <c r="D150" s="23">
        <f>IF($C$137+1&lt;D$3,$C$137+1,D$3)</f>
        <v/>
      </c>
      <c r="E150" s="8">
        <f>IF(D150=0,0,IF(D150-1&lt;E$3,D150-1,E$3))</f>
        <v/>
      </c>
      <c r="F150" s="8">
        <f>IF(E150=0,0,IF(E150-1&lt;F$3,E150-1,F$3))</f>
        <v/>
      </c>
      <c r="G150" s="8">
        <f>IF(F150=0,0,IF(F150-1&lt;G$3,F150-1,G$3))</f>
        <v/>
      </c>
      <c r="H150" s="8">
        <f>IF(G150=0,0,IF(G150-1&lt;H$3,G150-1,H$3))</f>
        <v/>
      </c>
      <c r="I150" s="8">
        <f>IF(H150=0,0,IF(H150-1&lt;I$3,H150-1,I$3))</f>
        <v/>
      </c>
      <c r="J150" s="8">
        <f>IF(I150=0,0,IF(I150-1&lt;J$3,I150-1,J$3))</f>
        <v/>
      </c>
      <c r="K150" s="8">
        <f>IF(J150=0,0,IF(J150-1&lt;K$3,J150-1,K$3))</f>
        <v/>
      </c>
      <c r="L150" s="8">
        <f>IF(K150=0,0,IF(K150-1&lt;L$3,K150-1,L$3))</f>
        <v/>
      </c>
      <c r="M150" s="8">
        <f>IF(L150=0,0,IF(L150-1&lt;M$3,L150-1,M$3))</f>
        <v/>
      </c>
    </row>
    <row r="151">
      <c r="A151" s="22" t="inlineStr">
        <is>
          <t>Emprunt restant</t>
        </is>
      </c>
      <c r="B151" s="22" t="inlineStr">
        <is>
          <t>USD</t>
        </is>
      </c>
      <c r="D151" s="23">
        <f>Modèle!D$12</f>
        <v/>
      </c>
      <c r="E151" s="8">
        <f>D151-E152</f>
        <v/>
      </c>
      <c r="F151" s="8">
        <f>E151-F152</f>
        <v/>
      </c>
      <c r="G151" s="8">
        <f>F151-G152</f>
        <v/>
      </c>
      <c r="H151" s="8">
        <f>G151-H152</f>
        <v/>
      </c>
      <c r="I151" s="8">
        <f>H151-I152</f>
        <v/>
      </c>
      <c r="J151" s="8">
        <f>I151-J152</f>
        <v/>
      </c>
      <c r="K151" s="8">
        <f>J151-K152</f>
        <v/>
      </c>
      <c r="L151" s="8">
        <f>K151-L152</f>
        <v/>
      </c>
      <c r="M151" s="8">
        <f>L151-M152</f>
        <v/>
      </c>
    </row>
    <row r="152">
      <c r="A152" s="22" t="inlineStr">
        <is>
          <t>Remboursement du principal</t>
        </is>
      </c>
      <c r="B152" s="22" t="inlineStr">
        <is>
          <t>USD</t>
        </is>
      </c>
      <c r="D152" s="24" t="n"/>
      <c r="E152" s="28">
        <f>IF(E150=0,0,D151/E150)</f>
        <v/>
      </c>
      <c r="F152" s="28">
        <f>IF(F150=0,0,E151/F150)</f>
        <v/>
      </c>
      <c r="G152" s="28">
        <f>IF(G150=0,0,F151/G150)</f>
        <v/>
      </c>
      <c r="H152" s="28">
        <f>IF(H150=0,0,G151/H150)</f>
        <v/>
      </c>
      <c r="I152" s="28">
        <f>IF(I150=0,0,H151/I150)</f>
        <v/>
      </c>
      <c r="J152" s="28">
        <f>IF(J150=0,0,I151/J150)</f>
        <v/>
      </c>
      <c r="K152" s="28">
        <f>IF(K150=0,0,J151/K150)</f>
        <v/>
      </c>
      <c r="L152" s="28">
        <f>IF(L150=0,0,K151/L150)</f>
        <v/>
      </c>
      <c r="M152" s="28">
        <f>IF(M150=0,0,L151/M150)</f>
        <v/>
      </c>
    </row>
    <row r="153">
      <c r="A153" s="22" t="inlineStr">
        <is>
          <t>Intérêts versés</t>
        </is>
      </c>
      <c r="B153" s="22" t="inlineStr">
        <is>
          <t>USD</t>
        </is>
      </c>
      <c r="D153" s="28">
        <f>D151*$C$138</f>
        <v/>
      </c>
      <c r="E153" s="28">
        <f>E151*$C$138</f>
        <v/>
      </c>
      <c r="F153" s="28">
        <f>F151*$C$138</f>
        <v/>
      </c>
      <c r="G153" s="28">
        <f>G151*$C$138</f>
        <v/>
      </c>
      <c r="H153" s="28">
        <f>H151*$C$138</f>
        <v/>
      </c>
      <c r="I153" s="28">
        <f>I151*$C$138</f>
        <v/>
      </c>
      <c r="J153" s="28">
        <f>J151*$C$138</f>
        <v/>
      </c>
      <c r="K153" s="28">
        <f>K151*$C$138</f>
        <v/>
      </c>
      <c r="L153" s="28">
        <f>L151*$C$138</f>
        <v/>
      </c>
      <c r="M153" s="28">
        <f>M151*$C$138</f>
        <v/>
      </c>
    </row>
    <row r="154">
      <c r="A154" s="22" t="inlineStr">
        <is>
          <t>Intérêts déductibles</t>
        </is>
      </c>
      <c r="B154" s="22" t="inlineStr">
        <is>
          <t>USD</t>
        </is>
      </c>
      <c r="D154" s="28">
        <f>IF(D151*$C$140&lt;D153,D151*$C$140,D153)</f>
        <v/>
      </c>
      <c r="E154" s="28">
        <f>IF(E151*$C$140&lt;E153,E151*$C$140,E153)</f>
        <v/>
      </c>
      <c r="F154" s="28">
        <f>IF(F151*$C$140&lt;F153,F151*$C$140,F153)</f>
        <v/>
      </c>
      <c r="G154" s="28">
        <f>IF(G151*$C$140&lt;G153,G151*$C$140,G153)</f>
        <v/>
      </c>
      <c r="H154" s="28">
        <f>IF(H151*$C$140&lt;H153,H151*$C$140,H153)</f>
        <v/>
      </c>
      <c r="I154" s="28">
        <f>IF(I151*$C$140&lt;I153,I151*$C$140,I153)</f>
        <v/>
      </c>
      <c r="J154" s="28">
        <f>IF(J151*$C$140&lt;J153,J151*$C$140,J153)</f>
        <v/>
      </c>
      <c r="K154" s="28">
        <f>IF(K151*$C$140&lt;K153,K151*$C$140,K153)</f>
        <v/>
      </c>
      <c r="L154" s="28">
        <f>IF(L151*$C$140&lt;L153,L151*$C$140,L153)</f>
        <v/>
      </c>
      <c r="M154" s="28">
        <f>IF(M151*$C$140&lt;M153,M151*$C$140,M153)</f>
        <v/>
      </c>
    </row>
    <row r="155">
      <c r="A155" s="22" t="n"/>
      <c r="B155" s="22" t="n"/>
    </row>
    <row r="156">
      <c r="A156" s="2" t="inlineStr">
        <is>
          <t>Total des intérêts versés</t>
        </is>
      </c>
      <c r="B156" s="22" t="inlineStr">
        <is>
          <t>USD</t>
        </is>
      </c>
      <c r="C156" s="8">
        <f>C$146+C$153</f>
        <v/>
      </c>
      <c r="D156" s="8">
        <f>D$146+D$153</f>
        <v/>
      </c>
      <c r="E156" s="8">
        <f>E$146+E$153</f>
        <v/>
      </c>
      <c r="F156" s="8">
        <f>F$146+F$153</f>
        <v/>
      </c>
      <c r="G156" s="8">
        <f>G$146+G$153</f>
        <v/>
      </c>
      <c r="H156" s="8">
        <f>H$146+H$153</f>
        <v/>
      </c>
      <c r="I156" s="8">
        <f>I$146+I$153</f>
        <v/>
      </c>
      <c r="J156" s="8">
        <f>J$146+J$153</f>
        <v/>
      </c>
      <c r="K156" s="8">
        <f>K$146+K$153</f>
        <v/>
      </c>
      <c r="L156" s="8">
        <f>L$146+L$153</f>
        <v/>
      </c>
      <c r="M156" s="8">
        <f>M$146+M$153</f>
        <v/>
      </c>
    </row>
    <row r="157">
      <c r="A157" s="2" t="inlineStr">
        <is>
          <t>Total des intérêts déductibles</t>
        </is>
      </c>
      <c r="B157" s="22" t="inlineStr">
        <is>
          <t>USD</t>
        </is>
      </c>
      <c r="C157" s="8">
        <f>C$147+C$154</f>
        <v/>
      </c>
      <c r="D157" s="8">
        <f>D$147+D$154</f>
        <v/>
      </c>
      <c r="E157" s="8">
        <f>E$147+E$154</f>
        <v/>
      </c>
      <c r="F157" s="8">
        <f>F$147+F$154</f>
        <v/>
      </c>
      <c r="G157" s="8">
        <f>G$147+G$154</f>
        <v/>
      </c>
      <c r="H157" s="8">
        <f>H$147+H$154</f>
        <v/>
      </c>
      <c r="I157" s="8">
        <f>I$147+I$154</f>
        <v/>
      </c>
      <c r="J157" s="8">
        <f>J$147+J$154</f>
        <v/>
      </c>
      <c r="K157" s="8">
        <f>K$147+K$154</f>
        <v/>
      </c>
      <c r="L157" s="8">
        <f>L$147+L$154</f>
        <v/>
      </c>
      <c r="M157" s="8">
        <f>M$147+M$154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40.77734375" customWidth="1" min="1" max="1"/>
    <col width="10.77734375" customWidth="1" min="2" max="2"/>
    <col width="15.77734375" customWidth="1" min="3" max="3"/>
    <col width="10.77734375" customWidth="1" min="16" max="16"/>
  </cols>
  <sheetData>
    <row r="1">
      <c r="A1" s="1" t="inlineStr">
        <is>
          <t>Nom</t>
        </is>
      </c>
      <c r="B1" s="1" t="inlineStr">
        <is>
          <t>Unité</t>
        </is>
      </c>
      <c r="C1" s="1" t="inlineStr">
        <is>
          <t>Année 1</t>
        </is>
      </c>
      <c r="D1" s="1" t="inlineStr">
        <is>
          <t>Année 2</t>
        </is>
      </c>
      <c r="E1" s="1" t="inlineStr">
        <is>
          <t>Année 3</t>
        </is>
      </c>
      <c r="F1" s="1" t="inlineStr">
        <is>
          <t>Année 4</t>
        </is>
      </c>
      <c r="G1" s="1" t="inlineStr">
        <is>
          <t>Année 5</t>
        </is>
      </c>
      <c r="H1" s="1" t="inlineStr">
        <is>
          <t>Année 6</t>
        </is>
      </c>
      <c r="I1" s="1" t="inlineStr">
        <is>
          <t>Année 7</t>
        </is>
      </c>
      <c r="J1" s="1" t="inlineStr">
        <is>
          <t>Année 8</t>
        </is>
      </c>
      <c r="K1" s="1" t="inlineStr">
        <is>
          <t>Année 9</t>
        </is>
      </c>
      <c r="L1" s="1" t="inlineStr">
        <is>
          <t>Année 10</t>
        </is>
      </c>
      <c r="M1" s="1" t="inlineStr">
        <is>
          <t>Année 11</t>
        </is>
      </c>
      <c r="N1" s="1" t="inlineStr">
        <is>
          <t>SOMME</t>
        </is>
      </c>
      <c r="O1" s="1" t="inlineStr">
        <is>
          <t>VAN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5" t="inlineStr">
        <is>
          <t>I. PRODUCTION</t>
        </is>
      </c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</row>
    <row r="4">
      <c r="A4" s="2" t="inlineStr">
        <is>
          <t>Production d'or</t>
        </is>
      </c>
      <c r="B4" s="3" t="inlineStr">
        <is>
          <t>oz</t>
        </is>
      </c>
      <c r="C4" s="8" t="n"/>
      <c r="D4" s="8" t="n"/>
      <c r="E4" s="8" t="n">
        <v>250000</v>
      </c>
      <c r="F4" s="8" t="n">
        <v>250000</v>
      </c>
      <c r="G4" s="8" t="n">
        <v>250000</v>
      </c>
      <c r="H4" s="8" t="n">
        <v>250000</v>
      </c>
      <c r="I4" s="8" t="n">
        <v>250000</v>
      </c>
      <c r="J4" s="8" t="n">
        <v>250000</v>
      </c>
      <c r="K4" s="8" t="n">
        <v>250000</v>
      </c>
      <c r="L4" s="8" t="n">
        <v>250000</v>
      </c>
      <c r="M4" s="8" t="n"/>
      <c r="N4" s="9">
        <f>SUM($C4:$M4)</f>
        <v/>
      </c>
      <c r="O4" s="9" t="n"/>
    </row>
    <row r="5">
      <c r="A5" s="2" t="inlineStr">
        <is>
          <t>Cours de l'or</t>
        </is>
      </c>
      <c r="B5" s="3" t="inlineStr">
        <is>
          <t>USD/oz</t>
        </is>
      </c>
      <c r="C5" s="8" t="n"/>
      <c r="D5" s="8" t="n"/>
      <c r="E5" s="8" t="n">
        <v>1300</v>
      </c>
      <c r="F5" s="8" t="n">
        <v>1300</v>
      </c>
      <c r="G5" s="8" t="n">
        <v>1300</v>
      </c>
      <c r="H5" s="8" t="n">
        <v>1300</v>
      </c>
      <c r="I5" s="8" t="n">
        <v>1300</v>
      </c>
      <c r="J5" s="8" t="n">
        <v>1300</v>
      </c>
      <c r="K5" s="8" t="n">
        <v>1300</v>
      </c>
      <c r="L5" s="8" t="n">
        <v>1300</v>
      </c>
      <c r="M5" s="8" t="n"/>
      <c r="N5" s="9" t="n"/>
      <c r="O5" s="9" t="n"/>
    </row>
    <row r="6">
      <c r="A6" s="2" t="inlineStr">
        <is>
          <t>Chiffre d'affaires</t>
        </is>
      </c>
      <c r="B6" s="3" t="inlineStr">
        <is>
          <t>USD</t>
        </is>
      </c>
      <c r="C6" s="10">
        <f>C$4*C$5</f>
        <v/>
      </c>
      <c r="D6" s="10">
        <f>D$4*D$5</f>
        <v/>
      </c>
      <c r="E6" s="10">
        <f>E$4*E$5</f>
        <v/>
      </c>
      <c r="F6" s="10">
        <f>F$4*F$5</f>
        <v/>
      </c>
      <c r="G6" s="10">
        <f>G$4*G$5</f>
        <v/>
      </c>
      <c r="H6" s="10">
        <f>H$4*H$5</f>
        <v/>
      </c>
      <c r="I6" s="10">
        <f>I$4*I$5</f>
        <v/>
      </c>
      <c r="J6" s="10">
        <f>J$4*J$5</f>
        <v/>
      </c>
      <c r="K6" s="10">
        <f>K$4*K$5</f>
        <v/>
      </c>
      <c r="L6" s="10">
        <f>L$4*L$5</f>
        <v/>
      </c>
      <c r="M6" s="10">
        <f>M$4*M$5</f>
        <v/>
      </c>
      <c r="N6" s="10">
        <f>SUM($C6:$M6)</f>
        <v/>
      </c>
      <c r="O6" s="10">
        <f>$C6+NPV(10%,$D6:$M6)</f>
        <v/>
      </c>
    </row>
    <row r="7">
      <c r="A7" s="2" t="n"/>
      <c r="B7" s="3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5" t="inlineStr">
        <is>
          <t>II. DEPENSES D'INVESTISSEMENT (CAPEX)</t>
        </is>
      </c>
      <c r="B8" s="6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</row>
    <row r="9">
      <c r="A9" s="2" t="inlineStr">
        <is>
          <t>Coûts des construction industrielles</t>
        </is>
      </c>
      <c r="B9" s="3" t="inlineStr">
        <is>
          <t>USD</t>
        </is>
      </c>
      <c r="C9" s="8" t="n">
        <v>50000000</v>
      </c>
      <c r="D9" s="8" t="n">
        <v>100000000</v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9">
        <f>SUM($C9:$M9)</f>
        <v/>
      </c>
      <c r="O9" s="9">
        <f>$C9+NPV(10%,$D9:$M9)</f>
        <v/>
      </c>
    </row>
    <row r="10">
      <c r="A10" s="2" t="inlineStr">
        <is>
          <t>Coûts des biens d'équipement</t>
        </is>
      </c>
      <c r="B10" s="3" t="inlineStr">
        <is>
          <t>USD</t>
        </is>
      </c>
      <c r="C10" s="8" t="n"/>
      <c r="D10" s="8" t="n">
        <v>50000000</v>
      </c>
      <c r="E10" s="8" t="n">
        <v>5000000</v>
      </c>
      <c r="F10" s="8" t="n">
        <v>5000000</v>
      </c>
      <c r="G10" s="8" t="n">
        <v>5000000</v>
      </c>
      <c r="H10" s="8" t="n">
        <v>5000000</v>
      </c>
      <c r="I10" s="8" t="n">
        <v>5000000</v>
      </c>
      <c r="J10" s="8" t="n">
        <v>5000000</v>
      </c>
      <c r="K10" s="8" t="n">
        <v>5000000</v>
      </c>
      <c r="L10" s="8" t="n">
        <v>5000000</v>
      </c>
      <c r="M10" s="8" t="n"/>
      <c r="N10" s="9">
        <f>SUM($C10:$M10)</f>
        <v/>
      </c>
      <c r="O10" s="9">
        <f>$C10+NPV(10%,$D10:$M10)</f>
        <v/>
      </c>
    </row>
    <row r="11">
      <c r="A11" s="2" t="inlineStr">
        <is>
          <t>Coûts de réhabilitation du site</t>
        </is>
      </c>
      <c r="B11" s="3" t="inlineStr">
        <is>
          <t>USD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>
        <v>10000000</v>
      </c>
      <c r="N11" s="9">
        <f>SUM($C11:$M11)</f>
        <v/>
      </c>
      <c r="O11" s="9">
        <f>$C11+NPV(10%,$D11:$M11)</f>
        <v/>
      </c>
    </row>
    <row r="12">
      <c r="A12" s="2" t="inlineStr">
        <is>
          <t>Total des dépenses d'investissement</t>
        </is>
      </c>
      <c r="B12" s="3" t="inlineStr">
        <is>
          <t>USD</t>
        </is>
      </c>
      <c r="C12" s="10">
        <f>SUM(C$9:C$11)</f>
        <v/>
      </c>
      <c r="D12" s="10">
        <f>SUM(D$9:D$11)</f>
        <v/>
      </c>
      <c r="E12" s="10">
        <f>SUM(E$9:E$11)</f>
        <v/>
      </c>
      <c r="F12" s="10">
        <f>SUM(F$9:F$11)</f>
        <v/>
      </c>
      <c r="G12" s="10">
        <f>SUM(G$9:G$11)</f>
        <v/>
      </c>
      <c r="H12" s="10">
        <f>SUM(H$9:H$11)</f>
        <v/>
      </c>
      <c r="I12" s="10">
        <f>SUM(I$9:I$11)</f>
        <v/>
      </c>
      <c r="J12" s="10">
        <f>SUM(J$9:J$11)</f>
        <v/>
      </c>
      <c r="K12" s="10">
        <f>SUM(K$9:K$11)</f>
        <v/>
      </c>
      <c r="L12" s="10">
        <f>SUM(L$9:L$11)</f>
        <v/>
      </c>
      <c r="M12" s="10">
        <f>SUM(M$9:M$11)</f>
        <v/>
      </c>
      <c r="N12" s="10">
        <f>SUM($C12:$M12)</f>
        <v/>
      </c>
      <c r="O12" s="10">
        <f>$C12+NPV(10%,$D12:$M12)</f>
        <v/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5" t="inlineStr">
        <is>
          <t>III. COÛTS D'EXPLOITATION (OPEX)</t>
        </is>
      </c>
      <c r="B14" s="6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</row>
    <row r="15">
      <c r="A15" s="2" t="inlineStr">
        <is>
          <t>Coût moyen d'exploitation</t>
        </is>
      </c>
      <c r="B15" s="3" t="inlineStr">
        <is>
          <t>USD/oz</t>
        </is>
      </c>
      <c r="C15" s="8" t="n"/>
      <c r="D15" s="8" t="n"/>
      <c r="E15" s="8" t="n">
        <v>700</v>
      </c>
      <c r="F15" s="8" t="n">
        <v>700</v>
      </c>
      <c r="G15" s="8" t="n">
        <v>700</v>
      </c>
      <c r="H15" s="8" t="n">
        <v>700</v>
      </c>
      <c r="I15" s="8" t="n">
        <v>700</v>
      </c>
      <c r="J15" s="8" t="n">
        <v>700</v>
      </c>
      <c r="K15" s="8" t="n">
        <v>700</v>
      </c>
      <c r="L15" s="8" t="n">
        <v>700</v>
      </c>
      <c r="M15" s="8" t="n"/>
      <c r="N15" s="12" t="n"/>
      <c r="O15" s="12" t="n"/>
    </row>
    <row r="16">
      <c r="A16" s="2" t="inlineStr">
        <is>
          <t>Total des coûts d'exploitation</t>
        </is>
      </c>
      <c r="B16" s="3" t="inlineStr">
        <is>
          <t>USD</t>
        </is>
      </c>
      <c r="C16" s="10">
        <f>C$4*C$15</f>
        <v/>
      </c>
      <c r="D16" s="10">
        <f>D$4*D$15</f>
        <v/>
      </c>
      <c r="E16" s="10">
        <f>E$4*E$15</f>
        <v/>
      </c>
      <c r="F16" s="10">
        <f>F$4*F$15</f>
        <v/>
      </c>
      <c r="G16" s="10">
        <f>G$4*G$15</f>
        <v/>
      </c>
      <c r="H16" s="10">
        <f>H$4*H$15</f>
        <v/>
      </c>
      <c r="I16" s="10">
        <f>I$4*I$15</f>
        <v/>
      </c>
      <c r="J16" s="10">
        <f>J$4*J$15</f>
        <v/>
      </c>
      <c r="K16" s="10">
        <f>K$4*K$15</f>
        <v/>
      </c>
      <c r="L16" s="10">
        <f>L$4*L$15</f>
        <v/>
      </c>
      <c r="M16" s="10">
        <f>M$4*M$15</f>
        <v/>
      </c>
      <c r="N16" s="10">
        <f>SUM($C16:$M16)</f>
        <v/>
      </c>
      <c r="O16" s="10">
        <f>$C16+NPV(10%,$D16:$M16)</f>
        <v/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5" t="inlineStr">
        <is>
          <t>IV. FLUX NETS DE TRESORERIE AVANT IMPÔTS</t>
        </is>
      </c>
      <c r="B18" s="6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</row>
    <row r="19">
      <c r="A19" s="2" t="inlineStr">
        <is>
          <t>Flux nets de trésorerie avant impôts</t>
        </is>
      </c>
      <c r="B19" s="3" t="inlineStr">
        <is>
          <t>USD</t>
        </is>
      </c>
      <c r="C19" s="10">
        <f>C$6-C$12-C$16</f>
        <v/>
      </c>
      <c r="D19" s="10">
        <f>D$6-D$12-D$16</f>
        <v/>
      </c>
      <c r="E19" s="10">
        <f>E$6-E$12-E$16</f>
        <v/>
      </c>
      <c r="F19" s="10">
        <f>F$6-F$12-F$16</f>
        <v/>
      </c>
      <c r="G19" s="10">
        <f>G$6-G$12-G$16</f>
        <v/>
      </c>
      <c r="H19" s="10">
        <f>H$6-H$12-H$16</f>
        <v/>
      </c>
      <c r="I19" s="10">
        <f>I$6-I$12-I$16</f>
        <v/>
      </c>
      <c r="J19" s="10">
        <f>J$6-J$12-J$16</f>
        <v/>
      </c>
      <c r="K19" s="10">
        <f>K$6-K$12-K$16</f>
        <v/>
      </c>
      <c r="L19" s="10">
        <f>L$6-L$12-L$16</f>
        <v/>
      </c>
      <c r="M19" s="10">
        <f>M$6-M$12-M$16</f>
        <v/>
      </c>
      <c r="N19" s="10">
        <f>SUM($C19:$M19)</f>
        <v/>
      </c>
      <c r="O19" s="10">
        <f>$C19+NPV(10%,$D19:$M19)</f>
        <v/>
      </c>
    </row>
    <row r="20">
      <c r="A20" s="2" t="inlineStr">
        <is>
          <t>Taux de rendement interne avant impôts</t>
        </is>
      </c>
      <c r="B20" s="3" t="inlineStr">
        <is>
          <t>%</t>
        </is>
      </c>
      <c r="C20" s="14">
        <f>IF(ISNUMBER(IRR($C19:C19)),IF(IRR($C19:C19)&gt;0,IRR($C19:C19),""),"")</f>
        <v/>
      </c>
      <c r="D20" s="14">
        <f>IF(ISNUMBER(IRR($C19:D19)),IF(IRR($C19:D19)&gt;0,IRR($C19:D19),""),"")</f>
        <v/>
      </c>
      <c r="E20" s="14">
        <f>IF(ISNUMBER(IRR($C19:E19)),IF(IRR($C19:E19)&gt;0,IRR($C19:E19),""),"")</f>
        <v/>
      </c>
      <c r="F20" s="14">
        <f>IF(ISNUMBER(IRR($C19:F19)),IF(IRR($C19:F19)&gt;0,IRR($C19:F19),""),"")</f>
        <v/>
      </c>
      <c r="G20" s="14">
        <f>IF(ISNUMBER(IRR($C19:G19)),IF(IRR($C19:G19)&gt;0,IRR($C19:G19),""),"")</f>
        <v/>
      </c>
      <c r="H20" s="14">
        <f>IF(ISNUMBER(IRR($C19:H19)),IF(IRR($C19:H19)&gt;0,IRR($C19:H19),""),"")</f>
        <v/>
      </c>
      <c r="I20" s="14">
        <f>IF(ISNUMBER(IRR($C19:I19)),IF(IRR($C19:I19)&gt;0,IRR($C19:I19),""),"")</f>
        <v/>
      </c>
      <c r="J20" s="14">
        <f>IF(ISNUMBER(IRR($C19:J19)),IF(IRR($C19:J19)&gt;0,IRR($C19:J19),""),"")</f>
        <v/>
      </c>
      <c r="K20" s="14">
        <f>IF(ISNUMBER(IRR($C19:K19)),IF(IRR($C19:K19)&gt;0,IRR($C19:K19),""),"")</f>
        <v/>
      </c>
      <c r="L20" s="14">
        <f>IF(ISNUMBER(IRR($C19:L19)),IF(IRR($C19:L19)&gt;0,IRR($C19:L19),""),"")</f>
        <v/>
      </c>
      <c r="M20" s="14">
        <f>IF(ISNUMBER(IRR($C19:M19)),IF(IRR($C19:M19)&gt;0,IRR($C19:M19),""),"")</f>
        <v/>
      </c>
      <c r="N20" s="15" t="n"/>
      <c r="O20" s="15" t="n"/>
    </row>
    <row r="21">
      <c r="A21" s="2" t="n"/>
      <c r="B21" s="3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7" t="n"/>
      <c r="O21" s="17" t="n"/>
    </row>
    <row r="22">
      <c r="A22" s="5" t="inlineStr">
        <is>
          <t>V. DROITS FIXES</t>
        </is>
      </c>
      <c r="B22" s="18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</row>
    <row r="23">
      <c r="A23" s="2" t="inlineStr">
        <is>
          <t>Droits fixes</t>
        </is>
      </c>
      <c r="B23" s="3" t="inlineStr">
        <is>
          <t>USD</t>
        </is>
      </c>
      <c r="C23" s="19" t="n">
        <v>100000</v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0">
        <f>SUM($C23:$M23)</f>
        <v/>
      </c>
      <c r="O23" s="10">
        <f>$C23+NPV(10%,$D23:$M23)</f>
        <v/>
      </c>
    </row>
    <row r="24">
      <c r="A24" s="2" t="n"/>
      <c r="B24" s="3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7" t="n"/>
      <c r="O24" s="17" t="n"/>
    </row>
    <row r="25">
      <c r="A25" s="5" t="inlineStr">
        <is>
          <t>VI. REDEVANCE SUPERFICAIRE</t>
        </is>
      </c>
      <c r="B25" s="6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>
      <c r="A26" s="2" t="inlineStr">
        <is>
          <t>Superficie de la mine</t>
        </is>
      </c>
      <c r="B26" s="3" t="inlineStr">
        <is>
          <t>km²</t>
        </is>
      </c>
      <c r="C26" s="8" t="n">
        <v>100</v>
      </c>
      <c r="D26" s="8" t="n">
        <v>100</v>
      </c>
      <c r="E26" s="8" t="n">
        <v>100</v>
      </c>
      <c r="F26" s="8" t="n">
        <v>100</v>
      </c>
      <c r="G26" s="8" t="n">
        <v>100</v>
      </c>
      <c r="H26" s="8" t="n">
        <v>100</v>
      </c>
      <c r="I26" s="8" t="n">
        <v>100</v>
      </c>
      <c r="J26" s="8" t="n">
        <v>100</v>
      </c>
      <c r="K26" s="8" t="n">
        <v>100</v>
      </c>
      <c r="L26" s="8" t="n">
        <v>100</v>
      </c>
      <c r="M26" s="8" t="n">
        <v>100</v>
      </c>
      <c r="N26" s="12" t="n"/>
      <c r="O26" s="12" t="n"/>
    </row>
    <row r="27">
      <c r="A27" s="2" t="inlineStr">
        <is>
          <t>Montant de la redevance superfiaire</t>
        </is>
      </c>
      <c r="B27" s="3" t="inlineStr">
        <is>
          <t>USD/km²</t>
        </is>
      </c>
      <c r="C27" s="19" t="n">
        <v>100</v>
      </c>
      <c r="D27" s="19" t="n">
        <v>100</v>
      </c>
      <c r="E27" s="19" t="n">
        <v>100</v>
      </c>
      <c r="F27" s="19" t="n">
        <v>100</v>
      </c>
      <c r="G27" s="19" t="n">
        <v>100</v>
      </c>
      <c r="H27" s="19" t="n">
        <v>100</v>
      </c>
      <c r="I27" s="19" t="n">
        <v>100</v>
      </c>
      <c r="J27" s="19" t="n">
        <v>100</v>
      </c>
      <c r="K27" s="19" t="n">
        <v>100</v>
      </c>
      <c r="L27" s="19" t="n">
        <v>100</v>
      </c>
      <c r="M27" s="19" t="n">
        <v>100</v>
      </c>
      <c r="N27" s="12" t="n"/>
      <c r="O27" s="12" t="n"/>
    </row>
    <row r="28">
      <c r="A28" s="2" t="inlineStr">
        <is>
          <t>Redevance superficiaire</t>
        </is>
      </c>
      <c r="B28" s="3" t="inlineStr">
        <is>
          <t>USD</t>
        </is>
      </c>
      <c r="C28" s="10">
        <f>C$26*C$27</f>
        <v/>
      </c>
      <c r="D28" s="10">
        <f>D$26*D$27</f>
        <v/>
      </c>
      <c r="E28" s="10">
        <f>E$26*E$27</f>
        <v/>
      </c>
      <c r="F28" s="10">
        <f>F$26*F$27</f>
        <v/>
      </c>
      <c r="G28" s="10">
        <f>G$26*G$27</f>
        <v/>
      </c>
      <c r="H28" s="10">
        <f>H$26*H$27</f>
        <v/>
      </c>
      <c r="I28" s="10">
        <f>I$26*I$27</f>
        <v/>
      </c>
      <c r="J28" s="10">
        <f>J$26*J$27</f>
        <v/>
      </c>
      <c r="K28" s="10">
        <f>K$26*K$27</f>
        <v/>
      </c>
      <c r="L28" s="10">
        <f>L$26*L$27</f>
        <v/>
      </c>
      <c r="M28" s="10">
        <f>M$26*M$27</f>
        <v/>
      </c>
      <c r="N28" s="10">
        <f>SUM($C28:$M28)</f>
        <v/>
      </c>
      <c r="O28" s="10">
        <f>$C28+NPV(10%,$D28:$M28)</f>
        <v/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5" t="inlineStr">
        <is>
          <t>VII. REDEVANCE MINIERE</t>
        </is>
      </c>
      <c r="B30" s="6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  <row r="31">
      <c r="A31" s="2" t="inlineStr">
        <is>
          <t>Taux de la redevance minière</t>
        </is>
      </c>
      <c r="B31" s="3" t="inlineStr">
        <is>
          <t>%</t>
        </is>
      </c>
      <c r="C31" s="21">
        <f>IF(ISNUMBER(C5),IF(C$5&lt;1300,3%,IF(C$5&lt;1500,4%,5%)),"")</f>
        <v/>
      </c>
      <c r="D31" s="21">
        <f>IF(ISNUMBER(D5),IF(D$5&lt;1300,3%,IF(D$5&lt;1500,4%,5%)),"")</f>
        <v/>
      </c>
      <c r="E31" s="21">
        <f>IF(ISNUMBER(E5),IF(E$5&lt;1300,3%,IF(E$5&lt;1500,4%,5%)),"")</f>
        <v/>
      </c>
      <c r="F31" s="21">
        <f>IF(ISNUMBER(F5),IF(F$5&lt;1300,3%,IF(F$5&lt;1500,4%,5%)),"")</f>
        <v/>
      </c>
      <c r="G31" s="21">
        <f>IF(ISNUMBER(G5),IF(G$5&lt;1300,3%,IF(G$5&lt;1500,4%,5%)),"")</f>
        <v/>
      </c>
      <c r="H31" s="21">
        <f>IF(ISNUMBER(H5),IF(H$5&lt;1300,3%,IF(H$5&lt;1500,4%,5%)),"")</f>
        <v/>
      </c>
      <c r="I31" s="21">
        <f>IF(ISNUMBER(I5),IF(I$5&lt;1300,3%,IF(I$5&lt;1500,4%,5%)),"")</f>
        <v/>
      </c>
      <c r="J31" s="21">
        <f>IF(ISNUMBER(J5),IF(J$5&lt;1300,3%,IF(J$5&lt;1500,4%,5%)),"")</f>
        <v/>
      </c>
      <c r="K31" s="21">
        <f>IF(ISNUMBER(K5),IF(K$5&lt;1300,3%,IF(K$5&lt;1500,4%,5%)),"")</f>
        <v/>
      </c>
      <c r="L31" s="21">
        <f>IF(ISNUMBER(L5),IF(L$5&lt;1300,3%,IF(L$5&lt;1500,4%,5%)),"")</f>
        <v/>
      </c>
      <c r="M31" s="21">
        <f>IF(ISNUMBER(M5),IF(M$5&lt;1300,3%,IF(M$5&lt;1500,4%,5%)),"")</f>
        <v/>
      </c>
      <c r="N31" s="12" t="n"/>
      <c r="O31" s="12" t="n"/>
    </row>
    <row r="32">
      <c r="A32" s="2" t="inlineStr">
        <is>
          <t>Redevance minière</t>
        </is>
      </c>
      <c r="B32" s="3" t="inlineStr">
        <is>
          <t>USD</t>
        </is>
      </c>
      <c r="C32" s="10">
        <f>IF(ISNUMBER(C31),C$6*C$31,0)</f>
        <v/>
      </c>
      <c r="D32" s="10">
        <f>IF(ISNUMBER(D31),D$6*D$31,0)</f>
        <v/>
      </c>
      <c r="E32" s="10">
        <f>IF(ISNUMBER(E31),E$6*E$31,0)</f>
        <v/>
      </c>
      <c r="F32" s="10">
        <f>IF(ISNUMBER(F31),F$6*F$31,0)</f>
        <v/>
      </c>
      <c r="G32" s="10">
        <f>IF(ISNUMBER(G31),G$6*G$31,0)</f>
        <v/>
      </c>
      <c r="H32" s="10">
        <f>IF(ISNUMBER(H31),H$6*H$31,0)</f>
        <v/>
      </c>
      <c r="I32" s="10">
        <f>IF(ISNUMBER(I31),I$6*I$31,0)</f>
        <v/>
      </c>
      <c r="J32" s="10">
        <f>IF(ISNUMBER(J31),J$6*J$31,0)</f>
        <v/>
      </c>
      <c r="K32" s="10">
        <f>IF(ISNUMBER(K31),K$6*K$31,0)</f>
        <v/>
      </c>
      <c r="L32" s="10">
        <f>IF(ISNUMBER(L31),L$6*L$31,0)</f>
        <v/>
      </c>
      <c r="M32" s="10">
        <f>IF(ISNUMBER(M31),M$6*M$31,0)</f>
        <v/>
      </c>
      <c r="N32" s="10">
        <f>SUM($C32:$M32)</f>
        <v/>
      </c>
      <c r="O32" s="10">
        <f>$C32+NPV(10%,$D32:$M32)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57"/>
  <sheetViews>
    <sheetView workbookViewId="0">
      <selection activeCell="A1" sqref="A1"/>
    </sheetView>
  </sheetViews>
  <sheetFormatPr baseColWidth="8" defaultRowHeight="15"/>
  <cols>
    <col width="40.77734375" customWidth="1" min="1" max="1"/>
    <col width="10.77734375" customWidth="1" min="2" max="2"/>
    <col width="15.77734375" customWidth="1" min="3" max="3"/>
    <col width="10.77734375" customWidth="1" min="14" max="14"/>
  </cols>
  <sheetData>
    <row r="1">
      <c r="A1" s="1" t="inlineStr">
        <is>
          <t>Nom</t>
        </is>
      </c>
      <c r="B1" s="1" t="inlineStr">
        <is>
          <t>Unité</t>
        </is>
      </c>
      <c r="C1" s="1" t="inlineStr">
        <is>
          <t>Année 1</t>
        </is>
      </c>
      <c r="D1" s="1" t="inlineStr">
        <is>
          <t>Année 2</t>
        </is>
      </c>
      <c r="E1" s="1" t="inlineStr">
        <is>
          <t>Année 3</t>
        </is>
      </c>
      <c r="F1" s="1" t="inlineStr">
        <is>
          <t>Année 4</t>
        </is>
      </c>
      <c r="G1" s="1" t="inlineStr">
        <is>
          <t>Année 5</t>
        </is>
      </c>
      <c r="H1" s="1" t="inlineStr">
        <is>
          <t>Année 6</t>
        </is>
      </c>
      <c r="I1" s="1" t="inlineStr">
        <is>
          <t>Année 7</t>
        </is>
      </c>
      <c r="J1" s="1" t="inlineStr">
        <is>
          <t>Année 8</t>
        </is>
      </c>
      <c r="K1" s="1" t="inlineStr">
        <is>
          <t>Année 9</t>
        </is>
      </c>
      <c r="L1" s="1" t="inlineStr">
        <is>
          <t>Année 10</t>
        </is>
      </c>
      <c r="M1" s="1" t="inlineStr">
        <is>
          <t>Année 11</t>
        </is>
      </c>
    </row>
    <row r="2"/>
    <row r="3">
      <c r="A3" s="2" t="inlineStr">
        <is>
          <t>Durée restante maximum</t>
        </is>
      </c>
      <c r="B3" s="22" t="inlineStr">
        <is>
          <t>Années</t>
        </is>
      </c>
      <c r="C3" s="23" t="n">
        <v>11</v>
      </c>
      <c r="D3" s="23" t="n">
        <v>10</v>
      </c>
      <c r="E3" s="23" t="n">
        <v>9</v>
      </c>
      <c r="F3" s="23" t="n">
        <v>8</v>
      </c>
      <c r="G3" s="23" t="n">
        <v>7</v>
      </c>
      <c r="H3" s="23" t="n">
        <v>6</v>
      </c>
      <c r="I3" s="23" t="n">
        <v>5</v>
      </c>
      <c r="J3" s="23" t="n">
        <v>4</v>
      </c>
      <c r="K3" s="23" t="n">
        <v>3</v>
      </c>
      <c r="L3" s="23" t="n">
        <v>2</v>
      </c>
      <c r="M3" s="23" t="n">
        <v>1</v>
      </c>
    </row>
    <row r="4">
      <c r="A4" s="22" t="n"/>
      <c r="B4" s="22" t="n"/>
    </row>
    <row r="5">
      <c r="A5" s="5" t="inlineStr">
        <is>
          <t>I. AMORTISSEMENTS DES CONSTRUCTIONS INDUSTRIELLES</t>
        </is>
      </c>
      <c r="B5" s="24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</row>
    <row r="6">
      <c r="A6" s="2" t="inlineStr">
        <is>
          <t>Durée d'amortissement linéaire</t>
        </is>
      </c>
      <c r="B6" s="22" t="inlineStr">
        <is>
          <t>Années</t>
        </is>
      </c>
      <c r="C6" s="19" t="n">
        <v>10</v>
      </c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</row>
    <row r="7">
      <c r="A7" s="2" t="inlineStr">
        <is>
          <t>Coefficient d'amortissement dégressif</t>
        </is>
      </c>
      <c r="B7" s="22" t="inlineStr">
        <is>
          <t>Coefficient</t>
        </is>
      </c>
      <c r="C7" s="19" t="n">
        <v>1</v>
      </c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</row>
    <row r="8">
      <c r="A8" s="22" t="n"/>
      <c r="B8" s="22" t="n"/>
    </row>
    <row r="9">
      <c r="A9" s="2" t="inlineStr">
        <is>
          <t>Immobilisations de l'année A1</t>
        </is>
      </c>
      <c r="B9" s="22" t="n"/>
    </row>
    <row r="10">
      <c r="A10" s="22" t="inlineStr">
        <is>
          <t>Durée restante</t>
        </is>
      </c>
      <c r="B10" s="22" t="inlineStr">
        <is>
          <t>Années</t>
        </is>
      </c>
      <c r="C10" s="23">
        <f>IF($C$6&lt;C$3,$C$6,C$3)</f>
        <v/>
      </c>
      <c r="D10" s="8">
        <f>IF(C10=0,0,IF(C10-1&lt;D$3,C10-1,D$3))</f>
        <v/>
      </c>
      <c r="E10" s="8">
        <f>IF(D10=0,0,IF(D10-1&lt;E$3,D10-1,E$3))</f>
        <v/>
      </c>
      <c r="F10" s="8">
        <f>IF(E10=0,0,IF(E10-1&lt;F$3,E10-1,F$3))</f>
        <v/>
      </c>
      <c r="G10" s="8">
        <f>IF(F10=0,0,IF(F10-1&lt;G$3,F10-1,G$3))</f>
        <v/>
      </c>
      <c r="H10" s="8">
        <f>IF(G10=0,0,IF(G10-1&lt;H$3,G10-1,H$3))</f>
        <v/>
      </c>
      <c r="I10" s="8">
        <f>IF(H10=0,0,IF(H10-1&lt;I$3,H10-1,I$3))</f>
        <v/>
      </c>
      <c r="J10" s="8">
        <f>IF(I10=0,0,IF(I10-1&lt;J$3,I10-1,J$3))</f>
        <v/>
      </c>
      <c r="K10" s="8">
        <f>IF(J10=0,0,IF(J10-1&lt;K$3,J10-1,K$3))</f>
        <v/>
      </c>
      <c r="L10" s="8">
        <f>IF(K10=0,0,IF(K10-1&lt;L$3,K10-1,L$3))</f>
        <v/>
      </c>
      <c r="M10" s="8">
        <f>IF(L10=0,0,IF(L10-1&lt;M$3,L10-1,M$3))</f>
        <v/>
      </c>
    </row>
    <row r="11">
      <c r="A11" s="22" t="inlineStr">
        <is>
          <t>Base amortissable</t>
        </is>
      </c>
      <c r="B11" s="22" t="inlineStr">
        <is>
          <t>USD</t>
        </is>
      </c>
      <c r="C11" s="23">
        <f>Modèle!C$9</f>
        <v/>
      </c>
      <c r="D11" s="8">
        <f>C15</f>
        <v/>
      </c>
      <c r="E11" s="8">
        <f>D15</f>
        <v/>
      </c>
      <c r="F11" s="8">
        <f>E15</f>
        <v/>
      </c>
      <c r="G11" s="8">
        <f>F15</f>
        <v/>
      </c>
      <c r="H11" s="8">
        <f>G15</f>
        <v/>
      </c>
      <c r="I11" s="8">
        <f>H15</f>
        <v/>
      </c>
      <c r="J11" s="8">
        <f>I15</f>
        <v/>
      </c>
      <c r="K11" s="8">
        <f>J15</f>
        <v/>
      </c>
      <c r="L11" s="8">
        <f>K15</f>
        <v/>
      </c>
      <c r="M11" s="8">
        <f>L15</f>
        <v/>
      </c>
    </row>
    <row r="12">
      <c r="A12" s="22" t="inlineStr">
        <is>
          <t>Inverse de la durée restante</t>
        </is>
      </c>
      <c r="B12" s="22" t="inlineStr">
        <is>
          <t>%</t>
        </is>
      </c>
      <c r="C12" s="27">
        <f>IF(C10=0,0,1/C10)</f>
        <v/>
      </c>
      <c r="D12" s="27">
        <f>IF(D10=0,0,1/D10)</f>
        <v/>
      </c>
      <c r="E12" s="27">
        <f>IF(E10=0,0,1/E10)</f>
        <v/>
      </c>
      <c r="F12" s="27">
        <f>IF(F10=0,0,1/F10)</f>
        <v/>
      </c>
      <c r="G12" s="27">
        <f>IF(G10=0,0,1/G10)</f>
        <v/>
      </c>
      <c r="H12" s="27">
        <f>IF(H10=0,0,1/H10)</f>
        <v/>
      </c>
      <c r="I12" s="27">
        <f>IF(I10=0,0,1/I10)</f>
        <v/>
      </c>
      <c r="J12" s="27">
        <f>IF(J10=0,0,1/J10)</f>
        <v/>
      </c>
      <c r="K12" s="27">
        <f>IF(K10=0,0,1/K10)</f>
        <v/>
      </c>
      <c r="L12" s="27">
        <f>IF(L10=0,0,1/L10)</f>
        <v/>
      </c>
      <c r="M12" s="27">
        <f>IF(M10=0,0,1/M10)</f>
        <v/>
      </c>
    </row>
    <row r="13">
      <c r="A13" s="22" t="inlineStr">
        <is>
          <t>Taux dégressif</t>
        </is>
      </c>
      <c r="B13" s="22" t="inlineStr">
        <is>
          <t>%</t>
        </is>
      </c>
      <c r="C13" s="27">
        <f>IF(C10=0,0,IF($C$7*1/$C$6&gt;C12,$C$7*1/$C$6,C12))</f>
        <v/>
      </c>
      <c r="D13" s="27">
        <f>IF(D10=0,0,IF($C$7*1/$C$6&gt;D12,$C$7*1/$C$6,D12))</f>
        <v/>
      </c>
      <c r="E13" s="27">
        <f>IF(E10=0,0,IF($C$7*1/$C$6&gt;E12,$C$7*1/$C$6,E12))</f>
        <v/>
      </c>
      <c r="F13" s="27">
        <f>IF(F10=0,0,IF($C$7*1/$C$6&gt;F12,$C$7*1/$C$6,F12))</f>
        <v/>
      </c>
      <c r="G13" s="27">
        <f>IF(G10=0,0,IF($C$7*1/$C$6&gt;G12,$C$7*1/$C$6,G12))</f>
        <v/>
      </c>
      <c r="H13" s="27">
        <f>IF(H10=0,0,IF($C$7*1/$C$6&gt;H12,$C$7*1/$C$6,H12))</f>
        <v/>
      </c>
      <c r="I13" s="27">
        <f>IF(I10=0,0,IF($C$7*1/$C$6&gt;I12,$C$7*1/$C$6,I12))</f>
        <v/>
      </c>
      <c r="J13" s="27">
        <f>IF(J10=0,0,IF($C$7*1/$C$6&gt;J12,$C$7*1/$C$6,J12))</f>
        <v/>
      </c>
      <c r="K13" s="27">
        <f>IF(K10=0,0,IF($C$7*1/$C$6&gt;K12,$C$7*1/$C$6,K12))</f>
        <v/>
      </c>
      <c r="L13" s="27">
        <f>IF(L10=0,0,IF($C$7*1/$C$6&gt;L12,$C$7*1/$C$6,L12))</f>
        <v/>
      </c>
      <c r="M13" s="27">
        <f>IF(M10=0,0,IF($C$7*1/$C$6&gt;M12,$C$7*1/$C$6,M12))</f>
        <v/>
      </c>
    </row>
    <row r="14">
      <c r="A14" s="22" t="inlineStr">
        <is>
          <t>Charge d'amortissement</t>
        </is>
      </c>
      <c r="B14" s="22" t="inlineStr">
        <is>
          <t>USD</t>
        </is>
      </c>
      <c r="C14" s="8">
        <f>C11*C13</f>
        <v/>
      </c>
      <c r="D14" s="8">
        <f>D11*D13</f>
        <v/>
      </c>
      <c r="E14" s="8">
        <f>E11*E13</f>
        <v/>
      </c>
      <c r="F14" s="8">
        <f>F11*F13</f>
        <v/>
      </c>
      <c r="G14" s="8">
        <f>G11*G13</f>
        <v/>
      </c>
      <c r="H14" s="8">
        <f>H11*H13</f>
        <v/>
      </c>
      <c r="I14" s="8">
        <f>I11*I13</f>
        <v/>
      </c>
      <c r="J14" s="8">
        <f>J11*J13</f>
        <v/>
      </c>
      <c r="K14" s="8">
        <f>K11*K13</f>
        <v/>
      </c>
      <c r="L14" s="8">
        <f>L11*L13</f>
        <v/>
      </c>
      <c r="M14" s="8">
        <f>M11*M13</f>
        <v/>
      </c>
    </row>
    <row r="15">
      <c r="A15" s="22" t="inlineStr">
        <is>
          <t>Amortissement restant</t>
        </is>
      </c>
      <c r="B15" s="22" t="inlineStr">
        <is>
          <t>USD</t>
        </is>
      </c>
      <c r="C15" s="8">
        <f>C11-C14</f>
        <v/>
      </c>
      <c r="D15" s="8">
        <f>D11-D14</f>
        <v/>
      </c>
      <c r="E15" s="8">
        <f>E11-E14</f>
        <v/>
      </c>
      <c r="F15" s="8">
        <f>F11-F14</f>
        <v/>
      </c>
      <c r="G15" s="8">
        <f>G11-G14</f>
        <v/>
      </c>
      <c r="H15" s="8">
        <f>H11-H14</f>
        <v/>
      </c>
      <c r="I15" s="8">
        <f>I11-I14</f>
        <v/>
      </c>
      <c r="J15" s="8">
        <f>J11-J14</f>
        <v/>
      </c>
      <c r="K15" s="8">
        <f>K11-K14</f>
        <v/>
      </c>
      <c r="L15" s="8">
        <f>L11-L14</f>
        <v/>
      </c>
      <c r="M15" s="8">
        <f>M11-M14</f>
        <v/>
      </c>
    </row>
    <row r="16">
      <c r="A16" s="22" t="n"/>
      <c r="B16" s="22" t="n"/>
    </row>
    <row r="17">
      <c r="A17" s="2" t="inlineStr">
        <is>
          <t>Immobilisations de l'année A2</t>
        </is>
      </c>
      <c r="B17" s="22" t="n"/>
    </row>
    <row r="18">
      <c r="A18" s="22" t="inlineStr">
        <is>
          <t>Durée restante</t>
        </is>
      </c>
      <c r="B18" s="22" t="inlineStr">
        <is>
          <t>Années</t>
        </is>
      </c>
      <c r="D18" s="23">
        <f>IF($C$6&lt;D$3,$C$6,D$3)</f>
        <v/>
      </c>
      <c r="E18" s="8">
        <f>IF(D18=0,0,IF(D18-1&lt;E$3,D18-1,E$3))</f>
        <v/>
      </c>
      <c r="F18" s="8">
        <f>IF(E18=0,0,IF(E18-1&lt;F$3,E18-1,F$3))</f>
        <v/>
      </c>
      <c r="G18" s="8">
        <f>IF(F18=0,0,IF(F18-1&lt;G$3,F18-1,G$3))</f>
        <v/>
      </c>
      <c r="H18" s="8">
        <f>IF(G18=0,0,IF(G18-1&lt;H$3,G18-1,H$3))</f>
        <v/>
      </c>
      <c r="I18" s="8">
        <f>IF(H18=0,0,IF(H18-1&lt;I$3,H18-1,I$3))</f>
        <v/>
      </c>
      <c r="J18" s="8">
        <f>IF(I18=0,0,IF(I18-1&lt;J$3,I18-1,J$3))</f>
        <v/>
      </c>
      <c r="K18" s="8">
        <f>IF(J18=0,0,IF(J18-1&lt;K$3,J18-1,K$3))</f>
        <v/>
      </c>
      <c r="L18" s="8">
        <f>IF(K18=0,0,IF(K18-1&lt;L$3,K18-1,L$3))</f>
        <v/>
      </c>
      <c r="M18" s="8">
        <f>IF(L18=0,0,IF(L18-1&lt;M$3,L18-1,M$3))</f>
        <v/>
      </c>
    </row>
    <row r="19">
      <c r="A19" s="22" t="inlineStr">
        <is>
          <t>Base amortissable</t>
        </is>
      </c>
      <c r="B19" s="22" t="inlineStr">
        <is>
          <t>USD</t>
        </is>
      </c>
      <c r="D19" s="23">
        <f>Modèle!D$9</f>
        <v/>
      </c>
      <c r="E19" s="8">
        <f>D23</f>
        <v/>
      </c>
      <c r="F19" s="8">
        <f>E23</f>
        <v/>
      </c>
      <c r="G19" s="8">
        <f>F23</f>
        <v/>
      </c>
      <c r="H19" s="8">
        <f>G23</f>
        <v/>
      </c>
      <c r="I19" s="8">
        <f>H23</f>
        <v/>
      </c>
      <c r="J19" s="8">
        <f>I23</f>
        <v/>
      </c>
      <c r="K19" s="8">
        <f>J23</f>
        <v/>
      </c>
      <c r="L19" s="8">
        <f>K23</f>
        <v/>
      </c>
      <c r="M19" s="8">
        <f>L23</f>
        <v/>
      </c>
    </row>
    <row r="20">
      <c r="A20" s="22" t="inlineStr">
        <is>
          <t>Inverse de la durée restante</t>
        </is>
      </c>
      <c r="B20" s="22" t="inlineStr">
        <is>
          <t>%</t>
        </is>
      </c>
      <c r="D20" s="27">
        <f>IF(D18=0,0,1/D18)</f>
        <v/>
      </c>
      <c r="E20" s="27">
        <f>IF(E18=0,0,1/E18)</f>
        <v/>
      </c>
      <c r="F20" s="27">
        <f>IF(F18=0,0,1/F18)</f>
        <v/>
      </c>
      <c r="G20" s="27">
        <f>IF(G18=0,0,1/G18)</f>
        <v/>
      </c>
      <c r="H20" s="27">
        <f>IF(H18=0,0,1/H18)</f>
        <v/>
      </c>
      <c r="I20" s="27">
        <f>IF(I18=0,0,1/I18)</f>
        <v/>
      </c>
      <c r="J20" s="27">
        <f>IF(J18=0,0,1/J18)</f>
        <v/>
      </c>
      <c r="K20" s="27">
        <f>IF(K18=0,0,1/K18)</f>
        <v/>
      </c>
      <c r="L20" s="27">
        <f>IF(L18=0,0,1/L18)</f>
        <v/>
      </c>
      <c r="M20" s="27">
        <f>IF(M18=0,0,1/M18)</f>
        <v/>
      </c>
    </row>
    <row r="21">
      <c r="A21" s="22" t="inlineStr">
        <is>
          <t>Taux dégressif</t>
        </is>
      </c>
      <c r="B21" s="22" t="inlineStr">
        <is>
          <t>%</t>
        </is>
      </c>
      <c r="D21" s="27">
        <f>IF(D18=0,0,IF($C$7*1/$C$6&gt;D20,$C$7*1/$C$6,D20))</f>
        <v/>
      </c>
      <c r="E21" s="27">
        <f>IF(E18=0,0,IF($C$7*1/$C$6&gt;E20,$C$7*1/$C$6,E20))</f>
        <v/>
      </c>
      <c r="F21" s="27">
        <f>IF(F18=0,0,IF($C$7*1/$C$6&gt;F20,$C$7*1/$C$6,F20))</f>
        <v/>
      </c>
      <c r="G21" s="27">
        <f>IF(G18=0,0,IF($C$7*1/$C$6&gt;G20,$C$7*1/$C$6,G20))</f>
        <v/>
      </c>
      <c r="H21" s="27">
        <f>IF(H18=0,0,IF($C$7*1/$C$6&gt;H20,$C$7*1/$C$6,H20))</f>
        <v/>
      </c>
      <c r="I21" s="27">
        <f>IF(I18=0,0,IF($C$7*1/$C$6&gt;I20,$C$7*1/$C$6,I20))</f>
        <v/>
      </c>
      <c r="J21" s="27">
        <f>IF(J18=0,0,IF($C$7*1/$C$6&gt;J20,$C$7*1/$C$6,J20))</f>
        <v/>
      </c>
      <c r="K21" s="27">
        <f>IF(K18=0,0,IF($C$7*1/$C$6&gt;K20,$C$7*1/$C$6,K20))</f>
        <v/>
      </c>
      <c r="L21" s="27">
        <f>IF(L18=0,0,IF($C$7*1/$C$6&gt;L20,$C$7*1/$C$6,L20))</f>
        <v/>
      </c>
      <c r="M21" s="27">
        <f>IF(M18=0,0,IF($C$7*1/$C$6&gt;M20,$C$7*1/$C$6,M20))</f>
        <v/>
      </c>
    </row>
    <row r="22">
      <c r="A22" s="22" t="inlineStr">
        <is>
          <t>Charge d'amortissement</t>
        </is>
      </c>
      <c r="B22" s="22" t="inlineStr">
        <is>
          <t>USD</t>
        </is>
      </c>
      <c r="D22" s="8">
        <f>D19*D21</f>
        <v/>
      </c>
      <c r="E22" s="8">
        <f>E19*E21</f>
        <v/>
      </c>
      <c r="F22" s="8">
        <f>F19*F21</f>
        <v/>
      </c>
      <c r="G22" s="8">
        <f>G19*G21</f>
        <v/>
      </c>
      <c r="H22" s="8">
        <f>H19*H21</f>
        <v/>
      </c>
      <c r="I22" s="8">
        <f>I19*I21</f>
        <v/>
      </c>
      <c r="J22" s="8">
        <f>J19*J21</f>
        <v/>
      </c>
      <c r="K22" s="8">
        <f>K19*K21</f>
        <v/>
      </c>
      <c r="L22" s="8">
        <f>L19*L21</f>
        <v/>
      </c>
      <c r="M22" s="8">
        <f>M19*M21</f>
        <v/>
      </c>
    </row>
    <row r="23">
      <c r="A23" s="22" t="inlineStr">
        <is>
          <t>Amortissement restant</t>
        </is>
      </c>
      <c r="B23" s="22" t="inlineStr">
        <is>
          <t>USD</t>
        </is>
      </c>
      <c r="D23" s="8">
        <f>D19-D22</f>
        <v/>
      </c>
      <c r="E23" s="8">
        <f>E19-E22</f>
        <v/>
      </c>
      <c r="F23" s="8">
        <f>F19-F22</f>
        <v/>
      </c>
      <c r="G23" s="8">
        <f>G19-G22</f>
        <v/>
      </c>
      <c r="H23" s="8">
        <f>H19-H22</f>
        <v/>
      </c>
      <c r="I23" s="8">
        <f>I19-I22</f>
        <v/>
      </c>
      <c r="J23" s="8">
        <f>J19-J22</f>
        <v/>
      </c>
      <c r="K23" s="8">
        <f>K19-K22</f>
        <v/>
      </c>
      <c r="L23" s="8">
        <f>L19-L22</f>
        <v/>
      </c>
      <c r="M23" s="8">
        <f>M19-M22</f>
        <v/>
      </c>
    </row>
    <row r="24">
      <c r="A24" s="22" t="n"/>
      <c r="B24" s="22" t="n"/>
    </row>
    <row r="25">
      <c r="A25" s="2" t="inlineStr">
        <is>
          <t>Amortissements des constructions industrielles</t>
        </is>
      </c>
      <c r="B25" s="22" t="inlineStr">
        <is>
          <t>USD</t>
        </is>
      </c>
      <c r="C25" s="8">
        <f>C$14+C$22</f>
        <v/>
      </c>
      <c r="D25" s="8">
        <f>D$14+D$22</f>
        <v/>
      </c>
      <c r="E25" s="8">
        <f>E$14+E$22</f>
        <v/>
      </c>
      <c r="F25" s="8">
        <f>F$14+F$22</f>
        <v/>
      </c>
      <c r="G25" s="8">
        <f>G$14+G$22</f>
        <v/>
      </c>
      <c r="H25" s="8">
        <f>H$14+H$22</f>
        <v/>
      </c>
      <c r="I25" s="8">
        <f>I$14+I$22</f>
        <v/>
      </c>
      <c r="J25" s="8">
        <f>J$14+J$22</f>
        <v/>
      </c>
      <c r="K25" s="8">
        <f>K$14+K$22</f>
        <v/>
      </c>
      <c r="L25" s="8">
        <f>L$14+L$22</f>
        <v/>
      </c>
      <c r="M25" s="8">
        <f>M$14+M$22</f>
        <v/>
      </c>
    </row>
    <row r="26">
      <c r="A26" s="22" t="n"/>
      <c r="B26" s="22" t="n"/>
    </row>
    <row r="27">
      <c r="A27" s="5" t="inlineStr">
        <is>
          <t>II. AMORTISSEMENTS DES BIENS D'EQUIPEMENT</t>
        </is>
      </c>
      <c r="B27" s="24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</row>
    <row r="28">
      <c r="A28" s="2" t="inlineStr">
        <is>
          <t>Durée d'amortissement linéaire</t>
        </is>
      </c>
      <c r="B28" s="22" t="inlineStr">
        <is>
          <t>Années</t>
        </is>
      </c>
      <c r="C28" s="19" t="n">
        <v>5</v>
      </c>
    </row>
    <row r="29">
      <c r="A29" s="2" t="inlineStr">
        <is>
          <t>Coefficient d'amortissement dégressif</t>
        </is>
      </c>
      <c r="B29" s="22" t="inlineStr">
        <is>
          <t>Coefficient</t>
        </is>
      </c>
      <c r="C29" s="19" t="n">
        <v>2</v>
      </c>
    </row>
    <row r="30">
      <c r="A30" s="22" t="n"/>
      <c r="B30" s="22" t="n"/>
    </row>
    <row r="31">
      <c r="A31" s="2" t="inlineStr">
        <is>
          <t>Immobilisations de l'année A1</t>
        </is>
      </c>
      <c r="B31" s="22" t="n"/>
    </row>
    <row r="32">
      <c r="A32" s="22" t="inlineStr">
        <is>
          <t>Durée restante</t>
        </is>
      </c>
      <c r="B32" s="22" t="inlineStr">
        <is>
          <t>Années</t>
        </is>
      </c>
      <c r="C32" s="23">
        <f>IF($C$28&lt;C$3,$C$28,C$3)</f>
        <v/>
      </c>
      <c r="D32" s="8">
        <f>IF(C32=0,0,IF(C32-1&lt;D$3,C32-1,D$3))</f>
        <v/>
      </c>
      <c r="E32" s="8">
        <f>IF(D32=0,0,IF(D32-1&lt;E$3,D32-1,E$3))</f>
        <v/>
      </c>
      <c r="F32" s="8">
        <f>IF(E32=0,0,IF(E32-1&lt;F$3,E32-1,F$3))</f>
        <v/>
      </c>
      <c r="G32" s="8">
        <f>IF(F32=0,0,IF(F32-1&lt;G$3,F32-1,G$3))</f>
        <v/>
      </c>
      <c r="H32" s="8">
        <f>IF(G32=0,0,IF(G32-1&lt;H$3,G32-1,H$3))</f>
        <v/>
      </c>
      <c r="I32" s="8">
        <f>IF(H32=0,0,IF(H32-1&lt;I$3,H32-1,I$3))</f>
        <v/>
      </c>
      <c r="J32" s="8">
        <f>IF(I32=0,0,IF(I32-1&lt;J$3,I32-1,J$3))</f>
        <v/>
      </c>
      <c r="K32" s="8">
        <f>IF(J32=0,0,IF(J32-1&lt;K$3,J32-1,K$3))</f>
        <v/>
      </c>
      <c r="L32" s="8">
        <f>IF(K32=0,0,IF(K32-1&lt;L$3,K32-1,L$3))</f>
        <v/>
      </c>
      <c r="M32" s="8">
        <f>IF(L32=0,0,IF(L32-1&lt;M$3,L32-1,M$3))</f>
        <v/>
      </c>
    </row>
    <row r="33">
      <c r="A33" s="22" t="inlineStr">
        <is>
          <t>Base amortissable</t>
        </is>
      </c>
      <c r="B33" s="22" t="inlineStr">
        <is>
          <t>USD</t>
        </is>
      </c>
      <c r="C33" s="23">
        <f>Modèle!C$10</f>
        <v/>
      </c>
      <c r="D33" s="8">
        <f>C37</f>
        <v/>
      </c>
      <c r="E33" s="8">
        <f>D37</f>
        <v/>
      </c>
      <c r="F33" s="8">
        <f>E37</f>
        <v/>
      </c>
      <c r="G33" s="8">
        <f>F37</f>
        <v/>
      </c>
      <c r="H33" s="8">
        <f>G37</f>
        <v/>
      </c>
      <c r="I33" s="8">
        <f>H37</f>
        <v/>
      </c>
      <c r="J33" s="8">
        <f>I37</f>
        <v/>
      </c>
      <c r="K33" s="8">
        <f>J37</f>
        <v/>
      </c>
      <c r="L33" s="8">
        <f>K37</f>
        <v/>
      </c>
      <c r="M33" s="8">
        <f>L37</f>
        <v/>
      </c>
    </row>
    <row r="34">
      <c r="A34" s="22" t="inlineStr">
        <is>
          <t>Inverse de la durée restante</t>
        </is>
      </c>
      <c r="B34" s="22" t="inlineStr">
        <is>
          <t>%</t>
        </is>
      </c>
      <c r="C34" s="27">
        <f>IF(C32=0,0,1/C32)</f>
        <v/>
      </c>
      <c r="D34" s="27">
        <f>IF(D32=0,0,1/D32)</f>
        <v/>
      </c>
      <c r="E34" s="27">
        <f>IF(E32=0,0,1/E32)</f>
        <v/>
      </c>
      <c r="F34" s="27">
        <f>IF(F32=0,0,1/F32)</f>
        <v/>
      </c>
      <c r="G34" s="27">
        <f>IF(G32=0,0,1/G32)</f>
        <v/>
      </c>
      <c r="H34" s="27">
        <f>IF(H32=0,0,1/H32)</f>
        <v/>
      </c>
      <c r="I34" s="27">
        <f>IF(I32=0,0,1/I32)</f>
        <v/>
      </c>
      <c r="J34" s="27">
        <f>IF(J32=0,0,1/J32)</f>
        <v/>
      </c>
      <c r="K34" s="27">
        <f>IF(K32=0,0,1/K32)</f>
        <v/>
      </c>
      <c r="L34" s="27">
        <f>IF(L32=0,0,1/L32)</f>
        <v/>
      </c>
      <c r="M34" s="27">
        <f>IF(M32=0,0,1/M32)</f>
        <v/>
      </c>
    </row>
    <row r="35">
      <c r="A35" s="22" t="inlineStr">
        <is>
          <t>Taux dégressif</t>
        </is>
      </c>
      <c r="B35" s="22" t="inlineStr">
        <is>
          <t>%</t>
        </is>
      </c>
      <c r="C35" s="27">
        <f>IF(C32=0,0,IF($C$29*1/$C$28&gt;C34,$C$29*1/$C$28,C34))</f>
        <v/>
      </c>
      <c r="D35" s="27">
        <f>IF(D32=0,0,IF($C$29*1/$C$28&gt;D34,$C$29*1/$C$28,D34))</f>
        <v/>
      </c>
      <c r="E35" s="27">
        <f>IF(E32=0,0,IF($C$29*1/$C$28&gt;E34,$C$29*1/$C$28,E34))</f>
        <v/>
      </c>
      <c r="F35" s="27">
        <f>IF(F32=0,0,IF($C$29*1/$C$28&gt;F34,$C$29*1/$C$28,F34))</f>
        <v/>
      </c>
      <c r="G35" s="27">
        <f>IF(G32=0,0,IF($C$29*1/$C$28&gt;G34,$C$29*1/$C$28,G34))</f>
        <v/>
      </c>
      <c r="H35" s="27">
        <f>IF(H32=0,0,IF($C$29*1/$C$28&gt;H34,$C$29*1/$C$28,H34))</f>
        <v/>
      </c>
      <c r="I35" s="27">
        <f>IF(I32=0,0,IF($C$29*1/$C$28&gt;I34,$C$29*1/$C$28,I34))</f>
        <v/>
      </c>
      <c r="J35" s="27">
        <f>IF(J32=0,0,IF($C$29*1/$C$28&gt;J34,$C$29*1/$C$28,J34))</f>
        <v/>
      </c>
      <c r="K35" s="27">
        <f>IF(K32=0,0,IF($C$29*1/$C$28&gt;K34,$C$29*1/$C$28,K34))</f>
        <v/>
      </c>
      <c r="L35" s="27">
        <f>IF(L32=0,0,IF($C$29*1/$C$28&gt;L34,$C$29*1/$C$28,L34))</f>
        <v/>
      </c>
      <c r="M35" s="27">
        <f>IF(M32=0,0,IF($C$29*1/$C$28&gt;M34,$C$29*1/$C$28,M34))</f>
        <v/>
      </c>
    </row>
    <row r="36">
      <c r="A36" s="22" t="inlineStr">
        <is>
          <t>Charge d'amortissement</t>
        </is>
      </c>
      <c r="B36" s="22" t="inlineStr">
        <is>
          <t>USD</t>
        </is>
      </c>
      <c r="C36" s="8">
        <f>C33*C35</f>
        <v/>
      </c>
      <c r="D36" s="8">
        <f>D33*D35</f>
        <v/>
      </c>
      <c r="E36" s="8">
        <f>E33*E35</f>
        <v/>
      </c>
      <c r="F36" s="8">
        <f>F33*F35</f>
        <v/>
      </c>
      <c r="G36" s="8">
        <f>G33*G35</f>
        <v/>
      </c>
      <c r="H36" s="8">
        <f>H33*H35</f>
        <v/>
      </c>
      <c r="I36" s="8">
        <f>I33*I35</f>
        <v/>
      </c>
      <c r="J36" s="8">
        <f>J33*J35</f>
        <v/>
      </c>
      <c r="K36" s="8">
        <f>K33*K35</f>
        <v/>
      </c>
      <c r="L36" s="8">
        <f>L33*L35</f>
        <v/>
      </c>
      <c r="M36" s="8">
        <f>M33*M35</f>
        <v/>
      </c>
    </row>
    <row r="37">
      <c r="A37" s="22" t="inlineStr">
        <is>
          <t>Amortissement restant</t>
        </is>
      </c>
      <c r="B37" s="22" t="inlineStr">
        <is>
          <t>USD</t>
        </is>
      </c>
      <c r="C37" s="8">
        <f>C33-C36</f>
        <v/>
      </c>
      <c r="D37" s="8">
        <f>D33-D36</f>
        <v/>
      </c>
      <c r="E37" s="8">
        <f>E33-E36</f>
        <v/>
      </c>
      <c r="F37" s="8">
        <f>F33-F36</f>
        <v/>
      </c>
      <c r="G37" s="8">
        <f>G33-G36</f>
        <v/>
      </c>
      <c r="H37" s="8">
        <f>H33-H36</f>
        <v/>
      </c>
      <c r="I37" s="8">
        <f>I33-I36</f>
        <v/>
      </c>
      <c r="J37" s="8">
        <f>J33-J36</f>
        <v/>
      </c>
      <c r="K37" s="8">
        <f>K33-K36</f>
        <v/>
      </c>
      <c r="L37" s="8">
        <f>L33-L36</f>
        <v/>
      </c>
      <c r="M37" s="8">
        <f>M33-M36</f>
        <v/>
      </c>
    </row>
    <row r="38">
      <c r="A38" s="22" t="n"/>
      <c r="B38" s="22" t="n"/>
    </row>
    <row r="39">
      <c r="A39" s="2" t="inlineStr">
        <is>
          <t>Immobilisations de l'année A2</t>
        </is>
      </c>
      <c r="B39" s="22" t="n"/>
    </row>
    <row r="40">
      <c r="A40" s="22" t="inlineStr">
        <is>
          <t>Durée restante</t>
        </is>
      </c>
      <c r="B40" s="22" t="inlineStr">
        <is>
          <t>Années</t>
        </is>
      </c>
      <c r="D40" s="23">
        <f>IF($C$28&lt;D$3,$C$28,D$3)</f>
        <v/>
      </c>
      <c r="E40" s="8">
        <f>IF(D40=0,0,IF(D40-1&lt;E$3,D40-1,E$3))</f>
        <v/>
      </c>
      <c r="F40" s="8">
        <f>IF(E40=0,0,IF(E40-1&lt;F$3,E40-1,F$3))</f>
        <v/>
      </c>
      <c r="G40" s="8">
        <f>IF(F40=0,0,IF(F40-1&lt;G$3,F40-1,G$3))</f>
        <v/>
      </c>
      <c r="H40" s="8">
        <f>IF(G40=0,0,IF(G40-1&lt;H$3,G40-1,H$3))</f>
        <v/>
      </c>
      <c r="I40" s="8">
        <f>IF(H40=0,0,IF(H40-1&lt;I$3,H40-1,I$3))</f>
        <v/>
      </c>
      <c r="J40" s="8">
        <f>IF(I40=0,0,IF(I40-1&lt;J$3,I40-1,J$3))</f>
        <v/>
      </c>
      <c r="K40" s="8">
        <f>IF(J40=0,0,IF(J40-1&lt;K$3,J40-1,K$3))</f>
        <v/>
      </c>
      <c r="L40" s="8">
        <f>IF(K40=0,0,IF(K40-1&lt;L$3,K40-1,L$3))</f>
        <v/>
      </c>
      <c r="M40" s="8">
        <f>IF(L40=0,0,IF(L40-1&lt;M$3,L40-1,M$3))</f>
        <v/>
      </c>
    </row>
    <row r="41">
      <c r="A41" s="22" t="inlineStr">
        <is>
          <t>Base amortissable</t>
        </is>
      </c>
      <c r="B41" s="22" t="inlineStr">
        <is>
          <t>USD</t>
        </is>
      </c>
      <c r="D41" s="23">
        <f>Modèle!D$10</f>
        <v/>
      </c>
      <c r="E41" s="8">
        <f>D45</f>
        <v/>
      </c>
      <c r="F41" s="8">
        <f>E45</f>
        <v/>
      </c>
      <c r="G41" s="8">
        <f>F45</f>
        <v/>
      </c>
      <c r="H41" s="8">
        <f>G45</f>
        <v/>
      </c>
      <c r="I41" s="8">
        <f>H45</f>
        <v/>
      </c>
      <c r="J41" s="8">
        <f>I45</f>
        <v/>
      </c>
      <c r="K41" s="8">
        <f>J45</f>
        <v/>
      </c>
      <c r="L41" s="8">
        <f>K45</f>
        <v/>
      </c>
      <c r="M41" s="8">
        <f>L45</f>
        <v/>
      </c>
    </row>
    <row r="42">
      <c r="A42" s="22" t="inlineStr">
        <is>
          <t>Inverse de la durée restante</t>
        </is>
      </c>
      <c r="B42" s="22" t="inlineStr">
        <is>
          <t>%</t>
        </is>
      </c>
      <c r="D42" s="27">
        <f>IF(D40=0,0,1/D40)</f>
        <v/>
      </c>
      <c r="E42" s="27">
        <f>IF(E40=0,0,1/E40)</f>
        <v/>
      </c>
      <c r="F42" s="27">
        <f>IF(F40=0,0,1/F40)</f>
        <v/>
      </c>
      <c r="G42" s="27">
        <f>IF(G40=0,0,1/G40)</f>
        <v/>
      </c>
      <c r="H42" s="27">
        <f>IF(H40=0,0,1/H40)</f>
        <v/>
      </c>
      <c r="I42" s="27">
        <f>IF(I40=0,0,1/I40)</f>
        <v/>
      </c>
      <c r="J42" s="27">
        <f>IF(J40=0,0,1/J40)</f>
        <v/>
      </c>
      <c r="K42" s="27">
        <f>IF(K40=0,0,1/K40)</f>
        <v/>
      </c>
      <c r="L42" s="27">
        <f>IF(L40=0,0,1/L40)</f>
        <v/>
      </c>
      <c r="M42" s="27">
        <f>IF(M40=0,0,1/M40)</f>
        <v/>
      </c>
    </row>
    <row r="43">
      <c r="A43" s="22" t="inlineStr">
        <is>
          <t>Taux dégressif</t>
        </is>
      </c>
      <c r="B43" s="22" t="inlineStr">
        <is>
          <t>%</t>
        </is>
      </c>
      <c r="D43" s="27">
        <f>IF(D40=0,0,IF($C$29*1/$C$28&gt;D42,$C$29*1/$C$28,D42))</f>
        <v/>
      </c>
      <c r="E43" s="27">
        <f>IF(E40=0,0,IF($C$29*1/$C$28&gt;E42,$C$29*1/$C$28,E42))</f>
        <v/>
      </c>
      <c r="F43" s="27">
        <f>IF(F40=0,0,IF($C$29*1/$C$28&gt;F42,$C$29*1/$C$28,F42))</f>
        <v/>
      </c>
      <c r="G43" s="27">
        <f>IF(G40=0,0,IF($C$29*1/$C$28&gt;G42,$C$29*1/$C$28,G42))</f>
        <v/>
      </c>
      <c r="H43" s="27">
        <f>IF(H40=0,0,IF($C$29*1/$C$28&gt;H42,$C$29*1/$C$28,H42))</f>
        <v/>
      </c>
      <c r="I43" s="27">
        <f>IF(I40=0,0,IF($C$29*1/$C$28&gt;I42,$C$29*1/$C$28,I42))</f>
        <v/>
      </c>
      <c r="J43" s="27">
        <f>IF(J40=0,0,IF($C$29*1/$C$28&gt;J42,$C$29*1/$C$28,J42))</f>
        <v/>
      </c>
      <c r="K43" s="27">
        <f>IF(K40=0,0,IF($C$29*1/$C$28&gt;K42,$C$29*1/$C$28,K42))</f>
        <v/>
      </c>
      <c r="L43" s="27">
        <f>IF(L40=0,0,IF($C$29*1/$C$28&gt;L42,$C$29*1/$C$28,L42))</f>
        <v/>
      </c>
      <c r="M43" s="27">
        <f>IF(M40=0,0,IF($C$29*1/$C$28&gt;M42,$C$29*1/$C$28,M42))</f>
        <v/>
      </c>
    </row>
    <row r="44">
      <c r="A44" s="22" t="inlineStr">
        <is>
          <t>Charge d'amortissement</t>
        </is>
      </c>
      <c r="B44" s="22" t="inlineStr">
        <is>
          <t>USD</t>
        </is>
      </c>
      <c r="D44" s="8">
        <f>D41*D43</f>
        <v/>
      </c>
      <c r="E44" s="8">
        <f>E41*E43</f>
        <v/>
      </c>
      <c r="F44" s="8">
        <f>F41*F43</f>
        <v/>
      </c>
      <c r="G44" s="8">
        <f>G41*G43</f>
        <v/>
      </c>
      <c r="H44" s="8">
        <f>H41*H43</f>
        <v/>
      </c>
      <c r="I44" s="8">
        <f>I41*I43</f>
        <v/>
      </c>
      <c r="J44" s="8">
        <f>J41*J43</f>
        <v/>
      </c>
      <c r="K44" s="8">
        <f>K41*K43</f>
        <v/>
      </c>
      <c r="L44" s="8">
        <f>L41*L43</f>
        <v/>
      </c>
      <c r="M44" s="8">
        <f>M41*M43</f>
        <v/>
      </c>
    </row>
    <row r="45">
      <c r="A45" s="22" t="inlineStr">
        <is>
          <t>Amortissement restant</t>
        </is>
      </c>
      <c r="B45" s="22" t="inlineStr">
        <is>
          <t>USD</t>
        </is>
      </c>
      <c r="D45" s="8">
        <f>D41-D44</f>
        <v/>
      </c>
      <c r="E45" s="8">
        <f>E41-E44</f>
        <v/>
      </c>
      <c r="F45" s="8">
        <f>F41-F44</f>
        <v/>
      </c>
      <c r="G45" s="8">
        <f>G41-G44</f>
        <v/>
      </c>
      <c r="H45" s="8">
        <f>H41-H44</f>
        <v/>
      </c>
      <c r="I45" s="8">
        <f>I41-I44</f>
        <v/>
      </c>
      <c r="J45" s="8">
        <f>J41-J44</f>
        <v/>
      </c>
      <c r="K45" s="8">
        <f>K41-K44</f>
        <v/>
      </c>
      <c r="L45" s="8">
        <f>L41-L44</f>
        <v/>
      </c>
      <c r="M45" s="8">
        <f>M41-M44</f>
        <v/>
      </c>
    </row>
    <row r="46">
      <c r="A46" s="22" t="n"/>
      <c r="B46" s="22" t="n"/>
    </row>
    <row r="47">
      <c r="A47" s="2" t="inlineStr">
        <is>
          <t>Immobilisations de l'année A3</t>
        </is>
      </c>
      <c r="B47" s="22" t="n"/>
    </row>
    <row r="48">
      <c r="A48" s="22" t="inlineStr">
        <is>
          <t>Durée restante</t>
        </is>
      </c>
      <c r="B48" s="22" t="inlineStr">
        <is>
          <t>Années</t>
        </is>
      </c>
      <c r="E48" s="23">
        <f>IF($C$28&lt;E$3,$C$28,E$3)</f>
        <v/>
      </c>
      <c r="F48" s="8">
        <f>IF(E48=0,0,IF(E48-1&lt;F$3,E48-1,F$3))</f>
        <v/>
      </c>
      <c r="G48" s="8">
        <f>IF(F48=0,0,IF(F48-1&lt;G$3,F48-1,G$3))</f>
        <v/>
      </c>
      <c r="H48" s="8">
        <f>IF(G48=0,0,IF(G48-1&lt;H$3,G48-1,H$3))</f>
        <v/>
      </c>
      <c r="I48" s="8">
        <f>IF(H48=0,0,IF(H48-1&lt;I$3,H48-1,I$3))</f>
        <v/>
      </c>
      <c r="J48" s="8">
        <f>IF(I48=0,0,IF(I48-1&lt;J$3,I48-1,J$3))</f>
        <v/>
      </c>
      <c r="K48" s="8">
        <f>IF(J48=0,0,IF(J48-1&lt;K$3,J48-1,K$3))</f>
        <v/>
      </c>
      <c r="L48" s="8">
        <f>IF(K48=0,0,IF(K48-1&lt;L$3,K48-1,L$3))</f>
        <v/>
      </c>
      <c r="M48" s="8">
        <f>IF(L48=0,0,IF(L48-1&lt;M$3,L48-1,M$3))</f>
        <v/>
      </c>
    </row>
    <row r="49">
      <c r="A49" s="22" t="inlineStr">
        <is>
          <t>Base amortissable</t>
        </is>
      </c>
      <c r="B49" s="22" t="inlineStr">
        <is>
          <t>USD</t>
        </is>
      </c>
      <c r="E49" s="23">
        <f>Modèle!E$10</f>
        <v/>
      </c>
      <c r="F49" s="8">
        <f>E53</f>
        <v/>
      </c>
      <c r="G49" s="8">
        <f>F53</f>
        <v/>
      </c>
      <c r="H49" s="8">
        <f>G53</f>
        <v/>
      </c>
      <c r="I49" s="8">
        <f>H53</f>
        <v/>
      </c>
      <c r="J49" s="8">
        <f>I53</f>
        <v/>
      </c>
      <c r="K49" s="8">
        <f>J53</f>
        <v/>
      </c>
      <c r="L49" s="8">
        <f>K53</f>
        <v/>
      </c>
      <c r="M49" s="8">
        <f>L53</f>
        <v/>
      </c>
    </row>
    <row r="50">
      <c r="A50" s="22" t="inlineStr">
        <is>
          <t>Inverse de la durée restante</t>
        </is>
      </c>
      <c r="B50" s="22" t="inlineStr">
        <is>
          <t>%</t>
        </is>
      </c>
      <c r="E50" s="27">
        <f>IF(E48=0,0,1/E48)</f>
        <v/>
      </c>
      <c r="F50" s="27">
        <f>IF(F48=0,0,1/F48)</f>
        <v/>
      </c>
      <c r="G50" s="27">
        <f>IF(G48=0,0,1/G48)</f>
        <v/>
      </c>
      <c r="H50" s="27">
        <f>IF(H48=0,0,1/H48)</f>
        <v/>
      </c>
      <c r="I50" s="27">
        <f>IF(I48=0,0,1/I48)</f>
        <v/>
      </c>
      <c r="J50" s="27">
        <f>IF(J48=0,0,1/J48)</f>
        <v/>
      </c>
      <c r="K50" s="27">
        <f>IF(K48=0,0,1/K48)</f>
        <v/>
      </c>
      <c r="L50" s="27">
        <f>IF(L48=0,0,1/L48)</f>
        <v/>
      </c>
      <c r="M50" s="27">
        <f>IF(M48=0,0,1/M48)</f>
        <v/>
      </c>
    </row>
    <row r="51">
      <c r="A51" s="22" t="inlineStr">
        <is>
          <t>Taux dégressif</t>
        </is>
      </c>
      <c r="B51" s="22" t="inlineStr">
        <is>
          <t>%</t>
        </is>
      </c>
      <c r="E51" s="27">
        <f>IF(E48=0,0,IF($C$29*1/$C$28&gt;E50,$C$29*1/$C$28,E50))</f>
        <v/>
      </c>
      <c r="F51" s="27">
        <f>IF(F48=0,0,IF($C$29*1/$C$28&gt;F50,$C$29*1/$C$28,F50))</f>
        <v/>
      </c>
      <c r="G51" s="27">
        <f>IF(G48=0,0,IF($C$29*1/$C$28&gt;G50,$C$29*1/$C$28,G50))</f>
        <v/>
      </c>
      <c r="H51" s="27">
        <f>IF(H48=0,0,IF($C$29*1/$C$28&gt;H50,$C$29*1/$C$28,H50))</f>
        <v/>
      </c>
      <c r="I51" s="27">
        <f>IF(I48=0,0,IF($C$29*1/$C$28&gt;I50,$C$29*1/$C$28,I50))</f>
        <v/>
      </c>
      <c r="J51" s="27">
        <f>IF(J48=0,0,IF($C$29*1/$C$28&gt;J50,$C$29*1/$C$28,J50))</f>
        <v/>
      </c>
      <c r="K51" s="27">
        <f>IF(K48=0,0,IF($C$29*1/$C$28&gt;K50,$C$29*1/$C$28,K50))</f>
        <v/>
      </c>
      <c r="L51" s="27">
        <f>IF(L48=0,0,IF($C$29*1/$C$28&gt;L50,$C$29*1/$C$28,L50))</f>
        <v/>
      </c>
      <c r="M51" s="27">
        <f>IF(M48=0,0,IF($C$29*1/$C$28&gt;M50,$C$29*1/$C$28,M50))</f>
        <v/>
      </c>
    </row>
    <row r="52">
      <c r="A52" s="22" t="inlineStr">
        <is>
          <t>Charge d'amortissement</t>
        </is>
      </c>
      <c r="B52" s="22" t="inlineStr">
        <is>
          <t>USD</t>
        </is>
      </c>
      <c r="E52" s="8">
        <f>E49*E51</f>
        <v/>
      </c>
      <c r="F52" s="8">
        <f>F49*F51</f>
        <v/>
      </c>
      <c r="G52" s="8">
        <f>G49*G51</f>
        <v/>
      </c>
      <c r="H52" s="8">
        <f>H49*H51</f>
        <v/>
      </c>
      <c r="I52" s="8">
        <f>I49*I51</f>
        <v/>
      </c>
      <c r="J52" s="8">
        <f>J49*J51</f>
        <v/>
      </c>
      <c r="K52" s="8">
        <f>K49*K51</f>
        <v/>
      </c>
      <c r="L52" s="8">
        <f>L49*L51</f>
        <v/>
      </c>
      <c r="M52" s="8">
        <f>M49*M51</f>
        <v/>
      </c>
    </row>
    <row r="53">
      <c r="A53" s="22" t="inlineStr">
        <is>
          <t>Amortissement restant</t>
        </is>
      </c>
      <c r="B53" s="22" t="inlineStr">
        <is>
          <t>USD</t>
        </is>
      </c>
      <c r="E53" s="8">
        <f>E49-E52</f>
        <v/>
      </c>
      <c r="F53" s="8">
        <f>F49-F52</f>
        <v/>
      </c>
      <c r="G53" s="8">
        <f>G49-G52</f>
        <v/>
      </c>
      <c r="H53" s="8">
        <f>H49-H52</f>
        <v/>
      </c>
      <c r="I53" s="8">
        <f>I49-I52</f>
        <v/>
      </c>
      <c r="J53" s="8">
        <f>J49-J52</f>
        <v/>
      </c>
      <c r="K53" s="8">
        <f>K49-K52</f>
        <v/>
      </c>
      <c r="L53" s="8">
        <f>L49-L52</f>
        <v/>
      </c>
      <c r="M53" s="8">
        <f>M49-M52</f>
        <v/>
      </c>
    </row>
    <row r="54">
      <c r="A54" s="22" t="n"/>
      <c r="B54" s="22" t="n"/>
    </row>
    <row r="55">
      <c r="A55" s="2" t="inlineStr">
        <is>
          <t>Immobilisations de l'année A4</t>
        </is>
      </c>
      <c r="B55" s="22" t="n"/>
    </row>
    <row r="56">
      <c r="A56" s="22" t="inlineStr">
        <is>
          <t>Durée restante</t>
        </is>
      </c>
      <c r="B56" s="22" t="inlineStr">
        <is>
          <t>Années</t>
        </is>
      </c>
      <c r="F56" s="23">
        <f>IF($C$28&lt;F$3,$C$28,F$3)</f>
        <v/>
      </c>
      <c r="G56" s="8">
        <f>IF(F56=0,0,IF(F56-1&lt;G$3,F56-1,G$3))</f>
        <v/>
      </c>
      <c r="H56" s="8">
        <f>IF(G56=0,0,IF(G56-1&lt;H$3,G56-1,H$3))</f>
        <v/>
      </c>
      <c r="I56" s="8">
        <f>IF(H56=0,0,IF(H56-1&lt;I$3,H56-1,I$3))</f>
        <v/>
      </c>
      <c r="J56" s="8">
        <f>IF(I56=0,0,IF(I56-1&lt;J$3,I56-1,J$3))</f>
        <v/>
      </c>
      <c r="K56" s="8">
        <f>IF(J56=0,0,IF(J56-1&lt;K$3,J56-1,K$3))</f>
        <v/>
      </c>
      <c r="L56" s="8">
        <f>IF(K56=0,0,IF(K56-1&lt;L$3,K56-1,L$3))</f>
        <v/>
      </c>
      <c r="M56" s="8">
        <f>IF(L56=0,0,IF(L56-1&lt;M$3,L56-1,M$3))</f>
        <v/>
      </c>
    </row>
    <row r="57">
      <c r="A57" s="22" t="inlineStr">
        <is>
          <t>Base amortissable</t>
        </is>
      </c>
      <c r="B57" s="22" t="inlineStr">
        <is>
          <t>USD</t>
        </is>
      </c>
      <c r="F57" s="23">
        <f>Modèle!F$10</f>
        <v/>
      </c>
      <c r="G57" s="8">
        <f>F61</f>
        <v/>
      </c>
      <c r="H57" s="8">
        <f>G61</f>
        <v/>
      </c>
      <c r="I57" s="8">
        <f>H61</f>
        <v/>
      </c>
      <c r="J57" s="8">
        <f>I61</f>
        <v/>
      </c>
      <c r="K57" s="8">
        <f>J61</f>
        <v/>
      </c>
      <c r="L57" s="8">
        <f>K61</f>
        <v/>
      </c>
      <c r="M57" s="8">
        <f>L61</f>
        <v/>
      </c>
    </row>
    <row r="58">
      <c r="A58" s="22" t="inlineStr">
        <is>
          <t>Inverse de la durée restante</t>
        </is>
      </c>
      <c r="B58" s="22" t="inlineStr">
        <is>
          <t>%</t>
        </is>
      </c>
      <c r="F58" s="27">
        <f>IF(F56=0,0,1/F56)</f>
        <v/>
      </c>
      <c r="G58" s="27">
        <f>IF(G56=0,0,1/G56)</f>
        <v/>
      </c>
      <c r="H58" s="27">
        <f>IF(H56=0,0,1/H56)</f>
        <v/>
      </c>
      <c r="I58" s="27">
        <f>IF(I56=0,0,1/I56)</f>
        <v/>
      </c>
      <c r="J58" s="27">
        <f>IF(J56=0,0,1/J56)</f>
        <v/>
      </c>
      <c r="K58" s="27">
        <f>IF(K56=0,0,1/K56)</f>
        <v/>
      </c>
      <c r="L58" s="27">
        <f>IF(L56=0,0,1/L56)</f>
        <v/>
      </c>
      <c r="M58" s="27">
        <f>IF(M56=0,0,1/M56)</f>
        <v/>
      </c>
    </row>
    <row r="59">
      <c r="A59" s="22" t="inlineStr">
        <is>
          <t>Taux dégressif</t>
        </is>
      </c>
      <c r="B59" s="22" t="inlineStr">
        <is>
          <t>%</t>
        </is>
      </c>
      <c r="F59" s="27">
        <f>IF(F56=0,0,IF($C$29*1/$C$28&gt;F58,$C$29*1/$C$28,F58))</f>
        <v/>
      </c>
      <c r="G59" s="27">
        <f>IF(G56=0,0,IF($C$29*1/$C$28&gt;G58,$C$29*1/$C$28,G58))</f>
        <v/>
      </c>
      <c r="H59" s="27">
        <f>IF(H56=0,0,IF($C$29*1/$C$28&gt;H58,$C$29*1/$C$28,H58))</f>
        <v/>
      </c>
      <c r="I59" s="27">
        <f>IF(I56=0,0,IF($C$29*1/$C$28&gt;I58,$C$29*1/$C$28,I58))</f>
        <v/>
      </c>
      <c r="J59" s="27">
        <f>IF(J56=0,0,IF($C$29*1/$C$28&gt;J58,$C$29*1/$C$28,J58))</f>
        <v/>
      </c>
      <c r="K59" s="27">
        <f>IF(K56=0,0,IF($C$29*1/$C$28&gt;K58,$C$29*1/$C$28,K58))</f>
        <v/>
      </c>
      <c r="L59" s="27">
        <f>IF(L56=0,0,IF($C$29*1/$C$28&gt;L58,$C$29*1/$C$28,L58))</f>
        <v/>
      </c>
      <c r="M59" s="27">
        <f>IF(M56=0,0,IF($C$29*1/$C$28&gt;M58,$C$29*1/$C$28,M58))</f>
        <v/>
      </c>
    </row>
    <row r="60">
      <c r="A60" s="22" t="inlineStr">
        <is>
          <t>Charge d'amortissement</t>
        </is>
      </c>
      <c r="B60" s="22" t="inlineStr">
        <is>
          <t>USD</t>
        </is>
      </c>
      <c r="F60" s="8">
        <f>F57*F59</f>
        <v/>
      </c>
      <c r="G60" s="8">
        <f>G57*G59</f>
        <v/>
      </c>
      <c r="H60" s="8">
        <f>H57*H59</f>
        <v/>
      </c>
      <c r="I60" s="8">
        <f>I57*I59</f>
        <v/>
      </c>
      <c r="J60" s="8">
        <f>J57*J59</f>
        <v/>
      </c>
      <c r="K60" s="8">
        <f>K57*K59</f>
        <v/>
      </c>
      <c r="L60" s="8">
        <f>L57*L59</f>
        <v/>
      </c>
      <c r="M60" s="8">
        <f>M57*M59</f>
        <v/>
      </c>
    </row>
    <row r="61">
      <c r="A61" s="22" t="inlineStr">
        <is>
          <t>Amortissement restant</t>
        </is>
      </c>
      <c r="B61" s="22" t="inlineStr">
        <is>
          <t>USD</t>
        </is>
      </c>
      <c r="F61" s="8">
        <f>F57-F60</f>
        <v/>
      </c>
      <c r="G61" s="8">
        <f>G57-G60</f>
        <v/>
      </c>
      <c r="H61" s="8">
        <f>H57-H60</f>
        <v/>
      </c>
      <c r="I61" s="8">
        <f>I57-I60</f>
        <v/>
      </c>
      <c r="J61" s="8">
        <f>J57-J60</f>
        <v/>
      </c>
      <c r="K61" s="8">
        <f>K57-K60</f>
        <v/>
      </c>
      <c r="L61" s="8">
        <f>L57-L60</f>
        <v/>
      </c>
      <c r="M61" s="8">
        <f>M57-M60</f>
        <v/>
      </c>
    </row>
    <row r="62">
      <c r="A62" s="22" t="n"/>
      <c r="B62" s="22" t="n"/>
    </row>
    <row r="63">
      <c r="A63" s="2" t="inlineStr">
        <is>
          <t>Immobilisations de l'année A5</t>
        </is>
      </c>
      <c r="B63" s="22" t="n"/>
    </row>
    <row r="64">
      <c r="A64" s="22" t="inlineStr">
        <is>
          <t>Durée restante</t>
        </is>
      </c>
      <c r="B64" s="22" t="inlineStr">
        <is>
          <t>Années</t>
        </is>
      </c>
      <c r="G64" s="23">
        <f>IF($C$28&lt;G$3,$C$28,G$3)</f>
        <v/>
      </c>
      <c r="H64" s="8">
        <f>IF(G64=0,0,IF(G64-1&lt;H$3,G64-1,H$3))</f>
        <v/>
      </c>
      <c r="I64" s="8">
        <f>IF(H64=0,0,IF(H64-1&lt;I$3,H64-1,I$3))</f>
        <v/>
      </c>
      <c r="J64" s="8">
        <f>IF(I64=0,0,IF(I64-1&lt;J$3,I64-1,J$3))</f>
        <v/>
      </c>
      <c r="K64" s="8">
        <f>IF(J64=0,0,IF(J64-1&lt;K$3,J64-1,K$3))</f>
        <v/>
      </c>
      <c r="L64" s="8">
        <f>IF(K64=0,0,IF(K64-1&lt;L$3,K64-1,L$3))</f>
        <v/>
      </c>
      <c r="M64" s="8">
        <f>IF(L64=0,0,IF(L64-1&lt;M$3,L64-1,M$3))</f>
        <v/>
      </c>
    </row>
    <row r="65">
      <c r="A65" s="22" t="inlineStr">
        <is>
          <t>Base amortissable</t>
        </is>
      </c>
      <c r="B65" s="22" t="inlineStr">
        <is>
          <t>USD</t>
        </is>
      </c>
      <c r="G65" s="23">
        <f>Modèle!G$10</f>
        <v/>
      </c>
      <c r="H65" s="8">
        <f>G69</f>
        <v/>
      </c>
      <c r="I65" s="8">
        <f>H69</f>
        <v/>
      </c>
      <c r="J65" s="8">
        <f>I69</f>
        <v/>
      </c>
      <c r="K65" s="8">
        <f>J69</f>
        <v/>
      </c>
      <c r="L65" s="8">
        <f>K69</f>
        <v/>
      </c>
      <c r="M65" s="8">
        <f>L69</f>
        <v/>
      </c>
    </row>
    <row r="66">
      <c r="A66" s="22" t="inlineStr">
        <is>
          <t>Inverse de la durée restante</t>
        </is>
      </c>
      <c r="B66" s="22" t="inlineStr">
        <is>
          <t>%</t>
        </is>
      </c>
      <c r="G66" s="27">
        <f>IF(G64=0,0,1/G64)</f>
        <v/>
      </c>
      <c r="H66" s="27">
        <f>IF(H64=0,0,1/H64)</f>
        <v/>
      </c>
      <c r="I66" s="27">
        <f>IF(I64=0,0,1/I64)</f>
        <v/>
      </c>
      <c r="J66" s="27">
        <f>IF(J64=0,0,1/J64)</f>
        <v/>
      </c>
      <c r="K66" s="27">
        <f>IF(K64=0,0,1/K64)</f>
        <v/>
      </c>
      <c r="L66" s="27">
        <f>IF(L64=0,0,1/L64)</f>
        <v/>
      </c>
      <c r="M66" s="27">
        <f>IF(M64=0,0,1/M64)</f>
        <v/>
      </c>
    </row>
    <row r="67">
      <c r="A67" s="22" t="inlineStr">
        <is>
          <t>Taux dégressif</t>
        </is>
      </c>
      <c r="B67" s="22" t="inlineStr">
        <is>
          <t>%</t>
        </is>
      </c>
      <c r="G67" s="27">
        <f>IF(G64=0,0,IF($C$29*1/$C$28&gt;G66,$C$29*1/$C$28,G66))</f>
        <v/>
      </c>
      <c r="H67" s="27">
        <f>IF(H64=0,0,IF($C$29*1/$C$28&gt;H66,$C$29*1/$C$28,H66))</f>
        <v/>
      </c>
      <c r="I67" s="27">
        <f>IF(I64=0,0,IF($C$29*1/$C$28&gt;I66,$C$29*1/$C$28,I66))</f>
        <v/>
      </c>
      <c r="J67" s="27">
        <f>IF(J64=0,0,IF($C$29*1/$C$28&gt;J66,$C$29*1/$C$28,J66))</f>
        <v/>
      </c>
      <c r="K67" s="27">
        <f>IF(K64=0,0,IF($C$29*1/$C$28&gt;K66,$C$29*1/$C$28,K66))</f>
        <v/>
      </c>
      <c r="L67" s="27">
        <f>IF(L64=0,0,IF($C$29*1/$C$28&gt;L66,$C$29*1/$C$28,L66))</f>
        <v/>
      </c>
      <c r="M67" s="27">
        <f>IF(M64=0,0,IF($C$29*1/$C$28&gt;M66,$C$29*1/$C$28,M66))</f>
        <v/>
      </c>
    </row>
    <row r="68">
      <c r="A68" s="22" t="inlineStr">
        <is>
          <t>Charge d'amortissement</t>
        </is>
      </c>
      <c r="B68" s="22" t="inlineStr">
        <is>
          <t>USD</t>
        </is>
      </c>
      <c r="G68" s="8">
        <f>G65*G67</f>
        <v/>
      </c>
      <c r="H68" s="8">
        <f>H65*H67</f>
        <v/>
      </c>
      <c r="I68" s="8">
        <f>I65*I67</f>
        <v/>
      </c>
      <c r="J68" s="8">
        <f>J65*J67</f>
        <v/>
      </c>
      <c r="K68" s="8">
        <f>K65*K67</f>
        <v/>
      </c>
      <c r="L68" s="8">
        <f>L65*L67</f>
        <v/>
      </c>
      <c r="M68" s="8">
        <f>M65*M67</f>
        <v/>
      </c>
    </row>
    <row r="69">
      <c r="A69" s="22" t="inlineStr">
        <is>
          <t>Amortissement restant</t>
        </is>
      </c>
      <c r="B69" s="22" t="inlineStr">
        <is>
          <t>USD</t>
        </is>
      </c>
      <c r="G69" s="8">
        <f>G65-G68</f>
        <v/>
      </c>
      <c r="H69" s="8">
        <f>H65-H68</f>
        <v/>
      </c>
      <c r="I69" s="8">
        <f>I65-I68</f>
        <v/>
      </c>
      <c r="J69" s="8">
        <f>J65-J68</f>
        <v/>
      </c>
      <c r="K69" s="8">
        <f>K65-K68</f>
        <v/>
      </c>
      <c r="L69" s="8">
        <f>L65-L68</f>
        <v/>
      </c>
      <c r="M69" s="8">
        <f>M65-M68</f>
        <v/>
      </c>
    </row>
    <row r="70">
      <c r="A70" s="22" t="n"/>
      <c r="B70" s="22" t="n"/>
    </row>
    <row r="71">
      <c r="A71" s="2" t="inlineStr">
        <is>
          <t>Immobilisations de l'année A6</t>
        </is>
      </c>
      <c r="B71" s="22" t="n"/>
    </row>
    <row r="72">
      <c r="A72" s="22" t="inlineStr">
        <is>
          <t>Durée restante</t>
        </is>
      </c>
      <c r="B72" s="22" t="inlineStr">
        <is>
          <t>Années</t>
        </is>
      </c>
      <c r="H72" s="23">
        <f>IF($C$28&lt;H$3,$C$28,H$3)</f>
        <v/>
      </c>
      <c r="I72" s="8">
        <f>IF(H72=0,0,IF(H72-1&lt;I$3,H72-1,I$3))</f>
        <v/>
      </c>
      <c r="J72" s="8">
        <f>IF(I72=0,0,IF(I72-1&lt;J$3,I72-1,J$3))</f>
        <v/>
      </c>
      <c r="K72" s="8">
        <f>IF(J72=0,0,IF(J72-1&lt;K$3,J72-1,K$3))</f>
        <v/>
      </c>
      <c r="L72" s="8">
        <f>IF(K72=0,0,IF(K72-1&lt;L$3,K72-1,L$3))</f>
        <v/>
      </c>
      <c r="M72" s="8">
        <f>IF(L72=0,0,IF(L72-1&lt;M$3,L72-1,M$3))</f>
        <v/>
      </c>
    </row>
    <row r="73">
      <c r="A73" s="22" t="inlineStr">
        <is>
          <t>Base amortissable</t>
        </is>
      </c>
      <c r="B73" s="22" t="inlineStr">
        <is>
          <t>USD</t>
        </is>
      </c>
      <c r="H73" s="23">
        <f>Modèle!H$10</f>
        <v/>
      </c>
      <c r="I73" s="8">
        <f>H77</f>
        <v/>
      </c>
      <c r="J73" s="8">
        <f>I77</f>
        <v/>
      </c>
      <c r="K73" s="8">
        <f>J77</f>
        <v/>
      </c>
      <c r="L73" s="8">
        <f>K77</f>
        <v/>
      </c>
      <c r="M73" s="8">
        <f>L77</f>
        <v/>
      </c>
    </row>
    <row r="74">
      <c r="A74" s="22" t="inlineStr">
        <is>
          <t>Inverse de la durée restante</t>
        </is>
      </c>
      <c r="B74" s="22" t="inlineStr">
        <is>
          <t>%</t>
        </is>
      </c>
      <c r="H74" s="27">
        <f>IF(H72=0,0,1/H72)</f>
        <v/>
      </c>
      <c r="I74" s="27">
        <f>IF(I72=0,0,1/I72)</f>
        <v/>
      </c>
      <c r="J74" s="27">
        <f>IF(J72=0,0,1/J72)</f>
        <v/>
      </c>
      <c r="K74" s="27">
        <f>IF(K72=0,0,1/K72)</f>
        <v/>
      </c>
      <c r="L74" s="27">
        <f>IF(L72=0,0,1/L72)</f>
        <v/>
      </c>
      <c r="M74" s="27">
        <f>IF(M72=0,0,1/M72)</f>
        <v/>
      </c>
    </row>
    <row r="75">
      <c r="A75" s="22" t="inlineStr">
        <is>
          <t>Taux dégressif</t>
        </is>
      </c>
      <c r="B75" s="22" t="inlineStr">
        <is>
          <t>%</t>
        </is>
      </c>
      <c r="H75" s="27">
        <f>IF(H72=0,0,IF($C$29*1/$C$28&gt;H74,$C$29*1/$C$28,H74))</f>
        <v/>
      </c>
      <c r="I75" s="27">
        <f>IF(I72=0,0,IF($C$29*1/$C$28&gt;I74,$C$29*1/$C$28,I74))</f>
        <v/>
      </c>
      <c r="J75" s="27">
        <f>IF(J72=0,0,IF($C$29*1/$C$28&gt;J74,$C$29*1/$C$28,J74))</f>
        <v/>
      </c>
      <c r="K75" s="27">
        <f>IF(K72=0,0,IF($C$29*1/$C$28&gt;K74,$C$29*1/$C$28,K74))</f>
        <v/>
      </c>
      <c r="L75" s="27">
        <f>IF(L72=0,0,IF($C$29*1/$C$28&gt;L74,$C$29*1/$C$28,L74))</f>
        <v/>
      </c>
      <c r="M75" s="27">
        <f>IF(M72=0,0,IF($C$29*1/$C$28&gt;M74,$C$29*1/$C$28,M74))</f>
        <v/>
      </c>
    </row>
    <row r="76">
      <c r="A76" s="22" t="inlineStr">
        <is>
          <t>Charge d'amortissement</t>
        </is>
      </c>
      <c r="B76" s="22" t="inlineStr">
        <is>
          <t>USD</t>
        </is>
      </c>
      <c r="H76" s="8">
        <f>H73*H75</f>
        <v/>
      </c>
      <c r="I76" s="8">
        <f>I73*I75</f>
        <v/>
      </c>
      <c r="J76" s="8">
        <f>J73*J75</f>
        <v/>
      </c>
      <c r="K76" s="8">
        <f>K73*K75</f>
        <v/>
      </c>
      <c r="L76" s="8">
        <f>L73*L75</f>
        <v/>
      </c>
      <c r="M76" s="8">
        <f>M73*M75</f>
        <v/>
      </c>
    </row>
    <row r="77">
      <c r="A77" s="22" t="inlineStr">
        <is>
          <t>Amortissement restant</t>
        </is>
      </c>
      <c r="B77" s="22" t="inlineStr">
        <is>
          <t>USD</t>
        </is>
      </c>
      <c r="H77" s="8">
        <f>H73-H76</f>
        <v/>
      </c>
      <c r="I77" s="8">
        <f>I73-I76</f>
        <v/>
      </c>
      <c r="J77" s="8">
        <f>J73-J76</f>
        <v/>
      </c>
      <c r="K77" s="8">
        <f>K73-K76</f>
        <v/>
      </c>
      <c r="L77" s="8">
        <f>L73-L76</f>
        <v/>
      </c>
      <c r="M77" s="8">
        <f>M73-M76</f>
        <v/>
      </c>
    </row>
    <row r="78">
      <c r="A78" s="22" t="n"/>
      <c r="B78" s="22" t="n"/>
    </row>
    <row r="79">
      <c r="A79" s="2" t="inlineStr">
        <is>
          <t>Immobilisations de l'année A7</t>
        </is>
      </c>
      <c r="B79" s="22" t="n"/>
    </row>
    <row r="80">
      <c r="A80" s="22" t="inlineStr">
        <is>
          <t>Durée restante</t>
        </is>
      </c>
      <c r="B80" s="22" t="inlineStr">
        <is>
          <t>Années</t>
        </is>
      </c>
      <c r="I80" s="23">
        <f>IF($C$28&lt;I$3,$C$28,I$3)</f>
        <v/>
      </c>
      <c r="J80" s="8">
        <f>IF(I80=0,0,IF(I80-1&lt;J$3,I80-1,J$3))</f>
        <v/>
      </c>
      <c r="K80" s="8">
        <f>IF(J80=0,0,IF(J80-1&lt;K$3,J80-1,K$3))</f>
        <v/>
      </c>
      <c r="L80" s="8">
        <f>IF(K80=0,0,IF(K80-1&lt;L$3,K80-1,L$3))</f>
        <v/>
      </c>
      <c r="M80" s="8">
        <f>IF(L80=0,0,IF(L80-1&lt;M$3,L80-1,M$3))</f>
        <v/>
      </c>
    </row>
    <row r="81">
      <c r="A81" s="22" t="inlineStr">
        <is>
          <t>Base amortissable</t>
        </is>
      </c>
      <c r="B81" s="22" t="inlineStr">
        <is>
          <t>USD</t>
        </is>
      </c>
      <c r="I81" s="23">
        <f>Modèle!I$10</f>
        <v/>
      </c>
      <c r="J81" s="8">
        <f>I85</f>
        <v/>
      </c>
      <c r="K81" s="8">
        <f>J85</f>
        <v/>
      </c>
      <c r="L81" s="8">
        <f>K85</f>
        <v/>
      </c>
      <c r="M81" s="8">
        <f>L85</f>
        <v/>
      </c>
    </row>
    <row r="82">
      <c r="A82" s="22" t="inlineStr">
        <is>
          <t>Inverse de la durée restante</t>
        </is>
      </c>
      <c r="B82" s="22" t="inlineStr">
        <is>
          <t>%</t>
        </is>
      </c>
      <c r="I82" s="27">
        <f>IF(I80=0,0,1/I80)</f>
        <v/>
      </c>
      <c r="J82" s="27">
        <f>IF(J80=0,0,1/J80)</f>
        <v/>
      </c>
      <c r="K82" s="27">
        <f>IF(K80=0,0,1/K80)</f>
        <v/>
      </c>
      <c r="L82" s="27">
        <f>IF(L80=0,0,1/L80)</f>
        <v/>
      </c>
      <c r="M82" s="27">
        <f>IF(M80=0,0,1/M80)</f>
        <v/>
      </c>
    </row>
    <row r="83">
      <c r="A83" s="22" t="inlineStr">
        <is>
          <t>Taux dégressif</t>
        </is>
      </c>
      <c r="B83" s="22" t="inlineStr">
        <is>
          <t>%</t>
        </is>
      </c>
      <c r="I83" s="27">
        <f>IF(I80=0,0,IF($C$29*1/$C$28&gt;I82,$C$29*1/$C$28,I82))</f>
        <v/>
      </c>
      <c r="J83" s="27">
        <f>IF(J80=0,0,IF($C$29*1/$C$28&gt;J82,$C$29*1/$C$28,J82))</f>
        <v/>
      </c>
      <c r="K83" s="27">
        <f>IF(K80=0,0,IF($C$29*1/$C$28&gt;K82,$C$29*1/$C$28,K82))</f>
        <v/>
      </c>
      <c r="L83" s="27">
        <f>IF(L80=0,0,IF($C$29*1/$C$28&gt;L82,$C$29*1/$C$28,L82))</f>
        <v/>
      </c>
      <c r="M83" s="27">
        <f>IF(M80=0,0,IF($C$29*1/$C$28&gt;M82,$C$29*1/$C$28,M82))</f>
        <v/>
      </c>
    </row>
    <row r="84">
      <c r="A84" s="22" t="inlineStr">
        <is>
          <t>Charge d'amortissement</t>
        </is>
      </c>
      <c r="B84" s="22" t="inlineStr">
        <is>
          <t>USD</t>
        </is>
      </c>
      <c r="I84" s="8">
        <f>I81*I83</f>
        <v/>
      </c>
      <c r="J84" s="8">
        <f>J81*J83</f>
        <v/>
      </c>
      <c r="K84" s="8">
        <f>K81*K83</f>
        <v/>
      </c>
      <c r="L84" s="8">
        <f>L81*L83</f>
        <v/>
      </c>
      <c r="M84" s="8">
        <f>M81*M83</f>
        <v/>
      </c>
    </row>
    <row r="85">
      <c r="A85" s="22" t="inlineStr">
        <is>
          <t>Amortissement restant</t>
        </is>
      </c>
      <c r="B85" s="22" t="inlineStr">
        <is>
          <t>USD</t>
        </is>
      </c>
      <c r="I85" s="8">
        <f>I81-I84</f>
        <v/>
      </c>
      <c r="J85" s="8">
        <f>J81-J84</f>
        <v/>
      </c>
      <c r="K85" s="8">
        <f>K81-K84</f>
        <v/>
      </c>
      <c r="L85" s="8">
        <f>L81-L84</f>
        <v/>
      </c>
      <c r="M85" s="8">
        <f>M81-M84</f>
        <v/>
      </c>
    </row>
    <row r="86">
      <c r="A86" s="22" t="n"/>
      <c r="B86" s="22" t="n"/>
    </row>
    <row r="87">
      <c r="A87" s="2" t="inlineStr">
        <is>
          <t>Immobilisations de l'année A8</t>
        </is>
      </c>
      <c r="B87" s="22" t="n"/>
    </row>
    <row r="88">
      <c r="A88" s="22" t="inlineStr">
        <is>
          <t>Durée restante</t>
        </is>
      </c>
      <c r="B88" s="22" t="inlineStr">
        <is>
          <t>Années</t>
        </is>
      </c>
      <c r="J88" s="23">
        <f>IF($C$28&lt;J$3,$C$28,J$3)</f>
        <v/>
      </c>
      <c r="K88" s="8">
        <f>IF(J88=0,0,IF(J88-1&lt;K$3,J88-1,K$3))</f>
        <v/>
      </c>
      <c r="L88" s="8">
        <f>IF(K88=0,0,IF(K88-1&lt;L$3,K88-1,L$3))</f>
        <v/>
      </c>
      <c r="M88" s="8">
        <f>IF(L88=0,0,IF(L88-1&lt;M$3,L88-1,M$3))</f>
        <v/>
      </c>
    </row>
    <row r="89">
      <c r="A89" s="22" t="inlineStr">
        <is>
          <t>Base amortissable</t>
        </is>
      </c>
      <c r="B89" s="22" t="inlineStr">
        <is>
          <t>USD</t>
        </is>
      </c>
      <c r="J89" s="23">
        <f>Modèle!J$10</f>
        <v/>
      </c>
      <c r="K89" s="8">
        <f>J93</f>
        <v/>
      </c>
      <c r="L89" s="8">
        <f>K93</f>
        <v/>
      </c>
      <c r="M89" s="8">
        <f>L93</f>
        <v/>
      </c>
    </row>
    <row r="90">
      <c r="A90" s="22" t="inlineStr">
        <is>
          <t>Inverse de la durée restante</t>
        </is>
      </c>
      <c r="B90" s="22" t="inlineStr">
        <is>
          <t>%</t>
        </is>
      </c>
      <c r="J90" s="27">
        <f>IF(J88=0,0,1/J88)</f>
        <v/>
      </c>
      <c r="K90" s="27">
        <f>IF(K88=0,0,1/K88)</f>
        <v/>
      </c>
      <c r="L90" s="27">
        <f>IF(L88=0,0,1/L88)</f>
        <v/>
      </c>
      <c r="M90" s="27">
        <f>IF(M88=0,0,1/M88)</f>
        <v/>
      </c>
    </row>
    <row r="91">
      <c r="A91" s="22" t="inlineStr">
        <is>
          <t>Taux dégressif</t>
        </is>
      </c>
      <c r="B91" s="22" t="inlineStr">
        <is>
          <t>%</t>
        </is>
      </c>
      <c r="J91" s="27">
        <f>IF(J88=0,0,IF($C$29*1/$C$28&gt;J90,$C$29*1/$C$28,J90))</f>
        <v/>
      </c>
      <c r="K91" s="27">
        <f>IF(K88=0,0,IF($C$29*1/$C$28&gt;K90,$C$29*1/$C$28,K90))</f>
        <v/>
      </c>
      <c r="L91" s="27">
        <f>IF(L88=0,0,IF($C$29*1/$C$28&gt;L90,$C$29*1/$C$28,L90))</f>
        <v/>
      </c>
      <c r="M91" s="27">
        <f>IF(M88=0,0,IF($C$29*1/$C$28&gt;M90,$C$29*1/$C$28,M90))</f>
        <v/>
      </c>
    </row>
    <row r="92">
      <c r="A92" s="22" t="inlineStr">
        <is>
          <t>Charge d'amortissement</t>
        </is>
      </c>
      <c r="B92" s="22" t="inlineStr">
        <is>
          <t>USD</t>
        </is>
      </c>
      <c r="J92" s="8">
        <f>J89*J91</f>
        <v/>
      </c>
      <c r="K92" s="8">
        <f>K89*K91</f>
        <v/>
      </c>
      <c r="L92" s="8">
        <f>L89*L91</f>
        <v/>
      </c>
      <c r="M92" s="8">
        <f>M89*M91</f>
        <v/>
      </c>
    </row>
    <row r="93">
      <c r="A93" s="22" t="inlineStr">
        <is>
          <t>Amortissement restant</t>
        </is>
      </c>
      <c r="B93" s="22" t="inlineStr">
        <is>
          <t>USD</t>
        </is>
      </c>
      <c r="J93" s="8">
        <f>J89-J92</f>
        <v/>
      </c>
      <c r="K93" s="8">
        <f>K89-K92</f>
        <v/>
      </c>
      <c r="L93" s="8">
        <f>L89-L92</f>
        <v/>
      </c>
      <c r="M93" s="8">
        <f>M89-M92</f>
        <v/>
      </c>
    </row>
    <row r="94">
      <c r="A94" s="22" t="n"/>
      <c r="B94" s="22" t="n"/>
    </row>
    <row r="95">
      <c r="A95" s="2" t="inlineStr">
        <is>
          <t>Immobilisations de l'année A9</t>
        </is>
      </c>
      <c r="B95" s="22" t="n"/>
    </row>
    <row r="96">
      <c r="A96" s="22" t="inlineStr">
        <is>
          <t>Durée restante</t>
        </is>
      </c>
      <c r="B96" s="22" t="inlineStr">
        <is>
          <t>Années</t>
        </is>
      </c>
      <c r="K96" s="23">
        <f>IF($C$28&lt;K$3,$C$28,K$3)</f>
        <v/>
      </c>
      <c r="L96" s="8">
        <f>IF(K96=0,0,IF(K96-1&lt;L$3,K96-1,L$3))</f>
        <v/>
      </c>
      <c r="M96" s="8">
        <f>IF(L96=0,0,IF(L96-1&lt;M$3,L96-1,M$3))</f>
        <v/>
      </c>
    </row>
    <row r="97">
      <c r="A97" s="22" t="inlineStr">
        <is>
          <t>Base amortissable</t>
        </is>
      </c>
      <c r="B97" s="22" t="inlineStr">
        <is>
          <t>USD</t>
        </is>
      </c>
      <c r="K97" s="23">
        <f>Modèle!K$10</f>
        <v/>
      </c>
      <c r="L97" s="8">
        <f>K101</f>
        <v/>
      </c>
      <c r="M97" s="8">
        <f>L101</f>
        <v/>
      </c>
    </row>
    <row r="98">
      <c r="A98" s="22" t="inlineStr">
        <is>
          <t>Inverse de la durée restante</t>
        </is>
      </c>
      <c r="B98" s="22" t="inlineStr">
        <is>
          <t>%</t>
        </is>
      </c>
      <c r="K98" s="27">
        <f>IF(K96=0,0,1/K96)</f>
        <v/>
      </c>
      <c r="L98" s="27">
        <f>IF(L96=0,0,1/L96)</f>
        <v/>
      </c>
      <c r="M98" s="27">
        <f>IF(M96=0,0,1/M96)</f>
        <v/>
      </c>
    </row>
    <row r="99">
      <c r="A99" s="22" t="inlineStr">
        <is>
          <t>Taux dégressif</t>
        </is>
      </c>
      <c r="B99" s="22" t="inlineStr">
        <is>
          <t>%</t>
        </is>
      </c>
      <c r="K99" s="27">
        <f>IF(K96=0,0,IF($C$29*1/$C$28&gt;K98,$C$29*1/$C$28,K98))</f>
        <v/>
      </c>
      <c r="L99" s="27">
        <f>IF(L96=0,0,IF($C$29*1/$C$28&gt;L98,$C$29*1/$C$28,L98))</f>
        <v/>
      </c>
      <c r="M99" s="27">
        <f>IF(M96=0,0,IF($C$29*1/$C$28&gt;M98,$C$29*1/$C$28,M98))</f>
        <v/>
      </c>
    </row>
    <row r="100">
      <c r="A100" s="22" t="inlineStr">
        <is>
          <t>Charge d'amortissement</t>
        </is>
      </c>
      <c r="B100" s="22" t="inlineStr">
        <is>
          <t>USD</t>
        </is>
      </c>
      <c r="K100" s="8">
        <f>K97*K99</f>
        <v/>
      </c>
      <c r="L100" s="8">
        <f>L97*L99</f>
        <v/>
      </c>
      <c r="M100" s="8">
        <f>M97*M99</f>
        <v/>
      </c>
    </row>
    <row r="101">
      <c r="A101" s="22" t="inlineStr">
        <is>
          <t>Amortissement restant</t>
        </is>
      </c>
      <c r="B101" s="22" t="inlineStr">
        <is>
          <t>USD</t>
        </is>
      </c>
      <c r="K101" s="8">
        <f>K97-K100</f>
        <v/>
      </c>
      <c r="L101" s="8">
        <f>L97-L100</f>
        <v/>
      </c>
      <c r="M101" s="8">
        <f>M97-M100</f>
        <v/>
      </c>
    </row>
    <row r="102">
      <c r="A102" s="22" t="n"/>
      <c r="B102" s="22" t="n"/>
    </row>
    <row r="103">
      <c r="A103" s="2" t="inlineStr">
        <is>
          <t>Immobilisations de l'année A10</t>
        </is>
      </c>
      <c r="B103" s="22" t="n"/>
    </row>
    <row r="104">
      <c r="A104" s="22" t="inlineStr">
        <is>
          <t>Durée restante</t>
        </is>
      </c>
      <c r="B104" s="22" t="inlineStr">
        <is>
          <t>Années</t>
        </is>
      </c>
      <c r="L104" s="23">
        <f>IF($C$28&lt;L$3,$C$28,L$3)</f>
        <v/>
      </c>
      <c r="M104" s="8">
        <f>IF(L104=0,0,IF(L104-1&lt;M$3,L104-1,M$3))</f>
        <v/>
      </c>
    </row>
    <row r="105">
      <c r="A105" s="22" t="inlineStr">
        <is>
          <t>Base amortissable</t>
        </is>
      </c>
      <c r="B105" s="22" t="inlineStr">
        <is>
          <t>USD</t>
        </is>
      </c>
      <c r="L105" s="23">
        <f>Modèle!L$10</f>
        <v/>
      </c>
      <c r="M105" s="8">
        <f>L109</f>
        <v/>
      </c>
    </row>
    <row r="106">
      <c r="A106" s="22" t="inlineStr">
        <is>
          <t>Inverse de la durée restante</t>
        </is>
      </c>
      <c r="B106" s="22" t="inlineStr">
        <is>
          <t>%</t>
        </is>
      </c>
      <c r="L106" s="27">
        <f>IF(L104=0,0,1/L104)</f>
        <v/>
      </c>
      <c r="M106" s="27">
        <f>IF(M104=0,0,1/M104)</f>
        <v/>
      </c>
    </row>
    <row r="107">
      <c r="A107" s="22" t="inlineStr">
        <is>
          <t>Taux dégressif</t>
        </is>
      </c>
      <c r="B107" s="22" t="inlineStr">
        <is>
          <t>%</t>
        </is>
      </c>
      <c r="L107" s="27">
        <f>IF(L104=0,0,IF($C$29*1/$C$28&gt;L106,$C$29*1/$C$28,L106))</f>
        <v/>
      </c>
      <c r="M107" s="27">
        <f>IF(M104=0,0,IF($C$29*1/$C$28&gt;M106,$C$29*1/$C$28,M106))</f>
        <v/>
      </c>
    </row>
    <row r="108">
      <c r="A108" s="22" t="inlineStr">
        <is>
          <t>Charge d'amortissement</t>
        </is>
      </c>
      <c r="B108" s="22" t="inlineStr">
        <is>
          <t>USD</t>
        </is>
      </c>
      <c r="L108" s="8">
        <f>L105*L107</f>
        <v/>
      </c>
      <c r="M108" s="8">
        <f>M105*M107</f>
        <v/>
      </c>
    </row>
    <row r="109">
      <c r="A109" s="22" t="inlineStr">
        <is>
          <t>Amortissement restant</t>
        </is>
      </c>
      <c r="B109" s="22" t="inlineStr">
        <is>
          <t>USD</t>
        </is>
      </c>
      <c r="L109" s="8">
        <f>L105-L108</f>
        <v/>
      </c>
      <c r="M109" s="8">
        <f>M105-M108</f>
        <v/>
      </c>
    </row>
    <row r="110">
      <c r="A110" s="22" t="n"/>
      <c r="B110" s="22" t="n"/>
    </row>
    <row r="111">
      <c r="A111" s="2" t="inlineStr">
        <is>
          <t>Immobilisations de l'année A11</t>
        </is>
      </c>
      <c r="B111" s="22" t="n"/>
    </row>
    <row r="112">
      <c r="A112" s="22" t="inlineStr">
        <is>
          <t>Durée restante</t>
        </is>
      </c>
      <c r="B112" s="22" t="inlineStr">
        <is>
          <t>Années</t>
        </is>
      </c>
      <c r="M112" s="23">
        <f>IF($C$28&lt;M$3,$C$28,M$3)</f>
        <v/>
      </c>
    </row>
    <row r="113">
      <c r="A113" s="22" t="inlineStr">
        <is>
          <t>Base amortissable</t>
        </is>
      </c>
      <c r="B113" s="22" t="inlineStr">
        <is>
          <t>USD</t>
        </is>
      </c>
      <c r="M113" s="23">
        <f>Modèle!M$10</f>
        <v/>
      </c>
    </row>
    <row r="114">
      <c r="A114" s="22" t="inlineStr">
        <is>
          <t>Inverse de la durée restante</t>
        </is>
      </c>
      <c r="B114" s="22" t="inlineStr">
        <is>
          <t>%</t>
        </is>
      </c>
      <c r="M114" s="27">
        <f>IF(M112=0,0,1/M112)</f>
        <v/>
      </c>
    </row>
    <row r="115">
      <c r="A115" s="22" t="inlineStr">
        <is>
          <t>Taux dégressif</t>
        </is>
      </c>
      <c r="B115" s="22" t="inlineStr">
        <is>
          <t>%</t>
        </is>
      </c>
      <c r="M115" s="27">
        <f>IF(M112=0,0,IF($C$29*1/$C$28&gt;M114,$C$29*1/$C$28,M114))</f>
        <v/>
      </c>
    </row>
    <row r="116">
      <c r="A116" s="22" t="inlineStr">
        <is>
          <t>Charge d'amortissement</t>
        </is>
      </c>
      <c r="B116" s="22" t="inlineStr">
        <is>
          <t>USD</t>
        </is>
      </c>
      <c r="M116" s="8">
        <f>M113*M115</f>
        <v/>
      </c>
    </row>
    <row r="117">
      <c r="A117" s="22" t="inlineStr">
        <is>
          <t>Amortissement restant</t>
        </is>
      </c>
      <c r="B117" s="22" t="inlineStr">
        <is>
          <t>USD</t>
        </is>
      </c>
      <c r="M117" s="8">
        <f>M113-M116</f>
        <v/>
      </c>
    </row>
    <row r="118">
      <c r="A118" s="22" t="n"/>
      <c r="B118" s="22" t="n"/>
    </row>
    <row r="119">
      <c r="A119" s="2" t="inlineStr">
        <is>
          <t>Amortissements des biens d'équipement</t>
        </is>
      </c>
      <c r="B119" s="22" t="inlineStr">
        <is>
          <t>USD</t>
        </is>
      </c>
      <c r="C119" s="8">
        <f>C$36+C$44+C$52+C$60+C$68+C$76+C$84+C$92+C$100+C$108+C$116</f>
        <v/>
      </c>
      <c r="D119" s="8">
        <f>D$36+D$44+D$52+D$60+D$68+D$76+D$84+D$92+D$100+D$108+D$116</f>
        <v/>
      </c>
      <c r="E119" s="8">
        <f>E$36+E$44+E$52+E$60+E$68+E$76+E$84+E$92+E$100+E$108+E$116</f>
        <v/>
      </c>
      <c r="F119" s="8">
        <f>F$36+F$44+F$52+F$60+F$68+F$76+F$84+F$92+F$100+F$108+F$116</f>
        <v/>
      </c>
      <c r="G119" s="8">
        <f>G$36+G$44+G$52+G$60+G$68+G$76+G$84+G$92+G$100+G$108+G$116</f>
        <v/>
      </c>
      <c r="H119" s="8">
        <f>H$36+H$44+H$52+H$60+H$68+H$76+H$84+H$92+H$100+H$108+H$116</f>
        <v/>
      </c>
      <c r="I119" s="8">
        <f>I$36+I$44+I$52+I$60+I$68+I$76+I$84+I$92+I$100+I$108+I$116</f>
        <v/>
      </c>
      <c r="J119" s="8">
        <f>J$36+J$44+J$52+J$60+J$68+J$76+J$84+J$92+J$100+J$108+J$116</f>
        <v/>
      </c>
      <c r="K119" s="8">
        <f>K$36+K$44+K$52+K$60+K$68+K$76+K$84+K$92+K$100+K$108+K$116</f>
        <v/>
      </c>
      <c r="L119" s="8">
        <f>L$36+L$44+L$52+L$60+L$68+L$76+L$84+L$92+L$100+L$108+L$116</f>
        <v/>
      </c>
      <c r="M119" s="8">
        <f>M$36+M$44+M$52+M$60+M$68+M$76+M$84+M$92+M$100+M$108+M$116</f>
        <v/>
      </c>
    </row>
    <row r="120">
      <c r="A120" s="22" t="n"/>
      <c r="B120" s="22" t="n"/>
    </row>
    <row r="121">
      <c r="A121" s="5" t="inlineStr">
        <is>
          <t>III. AMORTISSEMENTS DES DEPENSES DE REHABILITATION</t>
        </is>
      </c>
      <c r="B121" s="24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</row>
    <row r="122">
      <c r="A122" s="2" t="inlineStr">
        <is>
          <t>Durée d'amortissement linéaire</t>
        </is>
      </c>
      <c r="B122" s="22" t="inlineStr">
        <is>
          <t>Années</t>
        </is>
      </c>
      <c r="C122" s="19" t="n">
        <v>1</v>
      </c>
    </row>
    <row r="123">
      <c r="A123" s="2" t="inlineStr">
        <is>
          <t>Coefficient d'amortissement dégressif</t>
        </is>
      </c>
      <c r="B123" s="22" t="inlineStr">
        <is>
          <t>Coefficient</t>
        </is>
      </c>
      <c r="C123" s="19" t="n">
        <v>1</v>
      </c>
    </row>
    <row r="124">
      <c r="A124" s="22" t="n"/>
      <c r="B124" s="22" t="n"/>
    </row>
    <row r="125">
      <c r="A125" s="2" t="inlineStr">
        <is>
          <t>Immobilisations de l'année A11</t>
        </is>
      </c>
      <c r="B125" s="22" t="n"/>
    </row>
    <row r="126">
      <c r="A126" s="22" t="inlineStr">
        <is>
          <t>Durée restante</t>
        </is>
      </c>
      <c r="B126" s="22" t="inlineStr">
        <is>
          <t>Années</t>
        </is>
      </c>
      <c r="M126" s="23">
        <f>IF($C$122&lt;M$3,$C$122,M$3)</f>
        <v/>
      </c>
    </row>
    <row r="127">
      <c r="A127" s="22" t="inlineStr">
        <is>
          <t>Base amortissable</t>
        </is>
      </c>
      <c r="B127" s="22" t="inlineStr">
        <is>
          <t>USD</t>
        </is>
      </c>
      <c r="M127" s="23">
        <f>Modèle!M$11</f>
        <v/>
      </c>
    </row>
    <row r="128">
      <c r="A128" s="22" t="inlineStr">
        <is>
          <t>Inverse de la durée restante</t>
        </is>
      </c>
      <c r="B128" s="22" t="inlineStr">
        <is>
          <t>%</t>
        </is>
      </c>
      <c r="M128" s="27">
        <f>IF(M126=0,0,1/M126)</f>
        <v/>
      </c>
    </row>
    <row r="129">
      <c r="A129" s="22" t="inlineStr">
        <is>
          <t>Taux dégressif</t>
        </is>
      </c>
      <c r="B129" s="22" t="inlineStr">
        <is>
          <t>%</t>
        </is>
      </c>
      <c r="M129" s="27">
        <f>IF(M126=0,0,IF($C$123*1/$C$122&gt;M128,$C$123*1/$C$122,M128))</f>
        <v/>
      </c>
    </row>
    <row r="130">
      <c r="A130" s="22" t="inlineStr">
        <is>
          <t>Charge d'amortissement</t>
        </is>
      </c>
      <c r="B130" s="22" t="inlineStr">
        <is>
          <t>USD</t>
        </is>
      </c>
      <c r="M130" s="8">
        <f>M127*M129</f>
        <v/>
      </c>
    </row>
    <row r="131">
      <c r="A131" s="22" t="inlineStr">
        <is>
          <t>Amortissement restant</t>
        </is>
      </c>
      <c r="B131" s="22" t="inlineStr">
        <is>
          <t>USD</t>
        </is>
      </c>
      <c r="M131" s="8">
        <f>M127-M130</f>
        <v/>
      </c>
    </row>
    <row r="132">
      <c r="A132" s="22" t="n"/>
      <c r="B132" s="22" t="n"/>
    </row>
    <row r="133">
      <c r="A133" s="2" t="inlineStr">
        <is>
          <t>Amortissements des dépenses de réhabilitation</t>
        </is>
      </c>
      <c r="B133" s="22" t="inlineStr">
        <is>
          <t>USD</t>
        </is>
      </c>
      <c r="C133" s="8">
        <f>C130</f>
        <v/>
      </c>
      <c r="D133" s="8">
        <f>D130</f>
        <v/>
      </c>
      <c r="E133" s="8">
        <f>E130</f>
        <v/>
      </c>
      <c r="F133" s="8">
        <f>F130</f>
        <v/>
      </c>
      <c r="G133" s="8">
        <f>G130</f>
        <v/>
      </c>
      <c r="H133" s="8">
        <f>H130</f>
        <v/>
      </c>
      <c r="I133" s="8">
        <f>I130</f>
        <v/>
      </c>
      <c r="J133" s="8">
        <f>J130</f>
        <v/>
      </c>
      <c r="K133" s="8">
        <f>K130</f>
        <v/>
      </c>
      <c r="L133" s="8">
        <f>L130</f>
        <v/>
      </c>
      <c r="M133" s="8">
        <f>M130</f>
        <v/>
      </c>
    </row>
    <row r="134">
      <c r="A134" s="22" t="n"/>
      <c r="B134" s="22" t="n"/>
    </row>
    <row r="135">
      <c r="A135" s="5" t="inlineStr">
        <is>
          <t>IV. CHARGES FINANCIERES</t>
        </is>
      </c>
      <c r="B135" s="24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</row>
    <row r="136">
      <c r="A136" s="2" t="inlineStr">
        <is>
          <t>Emprunt</t>
        </is>
      </c>
      <c r="B136" s="22" t="n"/>
    </row>
    <row r="137">
      <c r="A137" s="22" t="inlineStr">
        <is>
          <t>Durée de l'emprunt</t>
        </is>
      </c>
      <c r="B137" s="22" t="inlineStr">
        <is>
          <t>Années</t>
        </is>
      </c>
      <c r="C137" s="19" t="n">
        <v>5</v>
      </c>
    </row>
    <row r="138">
      <c r="A138" s="22" t="inlineStr">
        <is>
          <t>Taux d'intérêt de l'emprunt</t>
        </is>
      </c>
      <c r="B138" s="22" t="inlineStr">
        <is>
          <t>%</t>
        </is>
      </c>
      <c r="C138" s="21" t="n">
        <v>0.1</v>
      </c>
    </row>
    <row r="139">
      <c r="A139" s="2" t="inlineStr">
        <is>
          <t>Régle de sous-capitalisation</t>
        </is>
      </c>
      <c r="B139" s="22" t="n"/>
    </row>
    <row r="140">
      <c r="A140" s="22" t="inlineStr">
        <is>
          <t>Taux d'intérêt légal maximum</t>
        </is>
      </c>
      <c r="B140" s="22" t="inlineStr">
        <is>
          <t>%</t>
        </is>
      </c>
      <c r="C140" s="21" t="n">
        <v>0.05</v>
      </c>
    </row>
    <row r="141">
      <c r="A141" s="22" t="n"/>
      <c r="B141" s="22" t="n"/>
    </row>
    <row r="142">
      <c r="A142" s="2" t="inlineStr">
        <is>
          <t>Emprunt de l'année A1</t>
        </is>
      </c>
      <c r="B142" s="22" t="n"/>
    </row>
    <row r="143">
      <c r="A143" s="22" t="inlineStr">
        <is>
          <t>Durée restante</t>
        </is>
      </c>
      <c r="B143" s="22" t="inlineStr">
        <is>
          <t>Années</t>
        </is>
      </c>
      <c r="C143" s="23">
        <f>IF($C$137+1&lt;C$3,$C$137+1,C$3)</f>
        <v/>
      </c>
      <c r="D143" s="8">
        <f>IF(C143=0,0,IF(C143-1&lt;D$3,C143-1,D$3))</f>
        <v/>
      </c>
      <c r="E143" s="8">
        <f>IF(D143=0,0,IF(D143-1&lt;E$3,D143-1,E$3))</f>
        <v/>
      </c>
      <c r="F143" s="8">
        <f>IF(E143=0,0,IF(E143-1&lt;F$3,E143-1,F$3))</f>
        <v/>
      </c>
      <c r="G143" s="8">
        <f>IF(F143=0,0,IF(F143-1&lt;G$3,F143-1,G$3))</f>
        <v/>
      </c>
      <c r="H143" s="8">
        <f>IF(G143=0,0,IF(G143-1&lt;H$3,G143-1,H$3))</f>
        <v/>
      </c>
      <c r="I143" s="8">
        <f>IF(H143=0,0,IF(H143-1&lt;I$3,H143-1,I$3))</f>
        <v/>
      </c>
      <c r="J143" s="8">
        <f>IF(I143=0,0,IF(I143-1&lt;J$3,I143-1,J$3))</f>
        <v/>
      </c>
      <c r="K143" s="8">
        <f>IF(J143=0,0,IF(J143-1&lt;K$3,J143-1,K$3))</f>
        <v/>
      </c>
      <c r="L143" s="8">
        <f>IF(K143=0,0,IF(K143-1&lt;L$3,K143-1,L$3))</f>
        <v/>
      </c>
      <c r="M143" s="8">
        <f>IF(L143=0,0,IF(L143-1&lt;M$3,L143-1,M$3))</f>
        <v/>
      </c>
    </row>
    <row r="144">
      <c r="A144" s="22" t="inlineStr">
        <is>
          <t>Emprunt restant</t>
        </is>
      </c>
      <c r="B144" s="22" t="inlineStr">
        <is>
          <t>USD</t>
        </is>
      </c>
      <c r="C144" s="23">
        <f>Modèle!C$12</f>
        <v/>
      </c>
      <c r="D144" s="8">
        <f>C144-D145</f>
        <v/>
      </c>
      <c r="E144" s="8">
        <f>D144-E145</f>
        <v/>
      </c>
      <c r="F144" s="8">
        <f>E144-F145</f>
        <v/>
      </c>
      <c r="G144" s="8">
        <f>F144-G145</f>
        <v/>
      </c>
      <c r="H144" s="8">
        <f>G144-H145</f>
        <v/>
      </c>
      <c r="I144" s="8">
        <f>H144-I145</f>
        <v/>
      </c>
      <c r="J144" s="8">
        <f>I144-J145</f>
        <v/>
      </c>
      <c r="K144" s="8">
        <f>J144-K145</f>
        <v/>
      </c>
      <c r="L144" s="8">
        <f>K144-L145</f>
        <v/>
      </c>
      <c r="M144" s="8">
        <f>L144-M145</f>
        <v/>
      </c>
    </row>
    <row r="145">
      <c r="A145" s="22" t="inlineStr">
        <is>
          <t>Remboursement du principal</t>
        </is>
      </c>
      <c r="B145" s="22" t="inlineStr">
        <is>
          <t>USD</t>
        </is>
      </c>
      <c r="C145" s="24" t="n"/>
      <c r="D145" s="28">
        <f>IF(D143=0,0,C144/D143)</f>
        <v/>
      </c>
      <c r="E145" s="28">
        <f>IF(E143=0,0,D144/E143)</f>
        <v/>
      </c>
      <c r="F145" s="28">
        <f>IF(F143=0,0,E144/F143)</f>
        <v/>
      </c>
      <c r="G145" s="28">
        <f>IF(G143=0,0,F144/G143)</f>
        <v/>
      </c>
      <c r="H145" s="28">
        <f>IF(H143=0,0,G144/H143)</f>
        <v/>
      </c>
      <c r="I145" s="28">
        <f>IF(I143=0,0,H144/I143)</f>
        <v/>
      </c>
      <c r="J145" s="28">
        <f>IF(J143=0,0,I144/J143)</f>
        <v/>
      </c>
      <c r="K145" s="28">
        <f>IF(K143=0,0,J144/K143)</f>
        <v/>
      </c>
      <c r="L145" s="28">
        <f>IF(L143=0,0,K144/L143)</f>
        <v/>
      </c>
      <c r="M145" s="28">
        <f>IF(M143=0,0,L144/M143)</f>
        <v/>
      </c>
    </row>
    <row r="146">
      <c r="A146" s="22" t="inlineStr">
        <is>
          <t>Intérêts versés</t>
        </is>
      </c>
      <c r="B146" s="22" t="inlineStr">
        <is>
          <t>USD</t>
        </is>
      </c>
      <c r="C146" s="28">
        <f>C144*$C$138</f>
        <v/>
      </c>
      <c r="D146" s="28">
        <f>D144*$C$138</f>
        <v/>
      </c>
      <c r="E146" s="28">
        <f>E144*$C$138</f>
        <v/>
      </c>
      <c r="F146" s="28">
        <f>F144*$C$138</f>
        <v/>
      </c>
      <c r="G146" s="28">
        <f>G144*$C$138</f>
        <v/>
      </c>
      <c r="H146" s="28">
        <f>H144*$C$138</f>
        <v/>
      </c>
      <c r="I146" s="28">
        <f>I144*$C$138</f>
        <v/>
      </c>
      <c r="J146" s="28">
        <f>J144*$C$138</f>
        <v/>
      </c>
      <c r="K146" s="28">
        <f>K144*$C$138</f>
        <v/>
      </c>
      <c r="L146" s="28">
        <f>L144*$C$138</f>
        <v/>
      </c>
      <c r="M146" s="28">
        <f>M144*$C$138</f>
        <v/>
      </c>
    </row>
    <row r="147">
      <c r="A147" s="22" t="inlineStr">
        <is>
          <t>Intérêts déductibles</t>
        </is>
      </c>
      <c r="B147" s="22" t="inlineStr">
        <is>
          <t>USD</t>
        </is>
      </c>
      <c r="C147" s="28">
        <f>IF(C144*$C$140&lt;C146,C144*$C$140,C146)</f>
        <v/>
      </c>
      <c r="D147" s="28">
        <f>IF(D144*$C$140&lt;D146,D144*$C$140,D146)</f>
        <v/>
      </c>
      <c r="E147" s="28">
        <f>IF(E144*$C$140&lt;E146,E144*$C$140,E146)</f>
        <v/>
      </c>
      <c r="F147" s="28">
        <f>IF(F144*$C$140&lt;F146,F144*$C$140,F146)</f>
        <v/>
      </c>
      <c r="G147" s="28">
        <f>IF(G144*$C$140&lt;G146,G144*$C$140,G146)</f>
        <v/>
      </c>
      <c r="H147" s="28">
        <f>IF(H144*$C$140&lt;H146,H144*$C$140,H146)</f>
        <v/>
      </c>
      <c r="I147" s="28">
        <f>IF(I144*$C$140&lt;I146,I144*$C$140,I146)</f>
        <v/>
      </c>
      <c r="J147" s="28">
        <f>IF(J144*$C$140&lt;J146,J144*$C$140,J146)</f>
        <v/>
      </c>
      <c r="K147" s="28">
        <f>IF(K144*$C$140&lt;K146,K144*$C$140,K146)</f>
        <v/>
      </c>
      <c r="L147" s="28">
        <f>IF(L144*$C$140&lt;L146,L144*$C$140,L146)</f>
        <v/>
      </c>
      <c r="M147" s="28">
        <f>IF(M144*$C$140&lt;M146,M144*$C$140,M146)</f>
        <v/>
      </c>
    </row>
    <row r="148">
      <c r="A148" s="22" t="n"/>
      <c r="B148" s="22" t="n"/>
    </row>
    <row r="149">
      <c r="A149" s="2" t="inlineStr">
        <is>
          <t>Emprunt de l'année A2</t>
        </is>
      </c>
      <c r="B149" s="22" t="n"/>
    </row>
    <row r="150">
      <c r="A150" s="22" t="inlineStr">
        <is>
          <t>Durée restante</t>
        </is>
      </c>
      <c r="B150" s="22" t="inlineStr">
        <is>
          <t>Années</t>
        </is>
      </c>
      <c r="D150" s="23">
        <f>IF($C$137+1&lt;D$3,$C$137+1,D$3)</f>
        <v/>
      </c>
      <c r="E150" s="8">
        <f>IF(D150=0,0,IF(D150-1&lt;E$3,D150-1,E$3))</f>
        <v/>
      </c>
      <c r="F150" s="8">
        <f>IF(E150=0,0,IF(E150-1&lt;F$3,E150-1,F$3))</f>
        <v/>
      </c>
      <c r="G150" s="8">
        <f>IF(F150=0,0,IF(F150-1&lt;G$3,F150-1,G$3))</f>
        <v/>
      </c>
      <c r="H150" s="8">
        <f>IF(G150=0,0,IF(G150-1&lt;H$3,G150-1,H$3))</f>
        <v/>
      </c>
      <c r="I150" s="8">
        <f>IF(H150=0,0,IF(H150-1&lt;I$3,H150-1,I$3))</f>
        <v/>
      </c>
      <c r="J150" s="8">
        <f>IF(I150=0,0,IF(I150-1&lt;J$3,I150-1,J$3))</f>
        <v/>
      </c>
      <c r="K150" s="8">
        <f>IF(J150=0,0,IF(J150-1&lt;K$3,J150-1,K$3))</f>
        <v/>
      </c>
      <c r="L150" s="8">
        <f>IF(K150=0,0,IF(K150-1&lt;L$3,K150-1,L$3))</f>
        <v/>
      </c>
      <c r="M150" s="8">
        <f>IF(L150=0,0,IF(L150-1&lt;M$3,L150-1,M$3))</f>
        <v/>
      </c>
    </row>
    <row r="151">
      <c r="A151" s="22" t="inlineStr">
        <is>
          <t>Emprunt restant</t>
        </is>
      </c>
      <c r="B151" s="22" t="inlineStr">
        <is>
          <t>USD</t>
        </is>
      </c>
      <c r="D151" s="23">
        <f>Modèle!D$12</f>
        <v/>
      </c>
      <c r="E151" s="8">
        <f>D151-E152</f>
        <v/>
      </c>
      <c r="F151" s="8">
        <f>E151-F152</f>
        <v/>
      </c>
      <c r="G151" s="8">
        <f>F151-G152</f>
        <v/>
      </c>
      <c r="H151" s="8">
        <f>G151-H152</f>
        <v/>
      </c>
      <c r="I151" s="8">
        <f>H151-I152</f>
        <v/>
      </c>
      <c r="J151" s="8">
        <f>I151-J152</f>
        <v/>
      </c>
      <c r="K151" s="8">
        <f>J151-K152</f>
        <v/>
      </c>
      <c r="L151" s="8">
        <f>K151-L152</f>
        <v/>
      </c>
      <c r="M151" s="8">
        <f>L151-M152</f>
        <v/>
      </c>
    </row>
    <row r="152">
      <c r="A152" s="22" t="inlineStr">
        <is>
          <t>Remboursement du principal</t>
        </is>
      </c>
      <c r="B152" s="22" t="inlineStr">
        <is>
          <t>USD</t>
        </is>
      </c>
      <c r="D152" s="24" t="n"/>
      <c r="E152" s="28">
        <f>IF(E150=0,0,D151/E150)</f>
        <v/>
      </c>
      <c r="F152" s="28">
        <f>IF(F150=0,0,E151/F150)</f>
        <v/>
      </c>
      <c r="G152" s="28">
        <f>IF(G150=0,0,F151/G150)</f>
        <v/>
      </c>
      <c r="H152" s="28">
        <f>IF(H150=0,0,G151/H150)</f>
        <v/>
      </c>
      <c r="I152" s="28">
        <f>IF(I150=0,0,H151/I150)</f>
        <v/>
      </c>
      <c r="J152" s="28">
        <f>IF(J150=0,0,I151/J150)</f>
        <v/>
      </c>
      <c r="K152" s="28">
        <f>IF(K150=0,0,J151/K150)</f>
        <v/>
      </c>
      <c r="L152" s="28">
        <f>IF(L150=0,0,K151/L150)</f>
        <v/>
      </c>
      <c r="M152" s="28">
        <f>IF(M150=0,0,L151/M150)</f>
        <v/>
      </c>
    </row>
    <row r="153">
      <c r="A153" s="22" t="inlineStr">
        <is>
          <t>Intérêts versés</t>
        </is>
      </c>
      <c r="B153" s="22" t="inlineStr">
        <is>
          <t>USD</t>
        </is>
      </c>
      <c r="D153" s="28">
        <f>D151*$C$138</f>
        <v/>
      </c>
      <c r="E153" s="28">
        <f>E151*$C$138</f>
        <v/>
      </c>
      <c r="F153" s="28">
        <f>F151*$C$138</f>
        <v/>
      </c>
      <c r="G153" s="28">
        <f>G151*$C$138</f>
        <v/>
      </c>
      <c r="H153" s="28">
        <f>H151*$C$138</f>
        <v/>
      </c>
      <c r="I153" s="28">
        <f>I151*$C$138</f>
        <v/>
      </c>
      <c r="J153" s="28">
        <f>J151*$C$138</f>
        <v/>
      </c>
      <c r="K153" s="28">
        <f>K151*$C$138</f>
        <v/>
      </c>
      <c r="L153" s="28">
        <f>L151*$C$138</f>
        <v/>
      </c>
      <c r="M153" s="28">
        <f>M151*$C$138</f>
        <v/>
      </c>
    </row>
    <row r="154">
      <c r="A154" s="22" t="inlineStr">
        <is>
          <t>Intérêts déductibles</t>
        </is>
      </c>
      <c r="B154" s="22" t="inlineStr">
        <is>
          <t>USD</t>
        </is>
      </c>
      <c r="D154" s="28">
        <f>IF(D151*$C$140&lt;D153,D151*$C$140,D153)</f>
        <v/>
      </c>
      <c r="E154" s="28">
        <f>IF(E151*$C$140&lt;E153,E151*$C$140,E153)</f>
        <v/>
      </c>
      <c r="F154" s="28">
        <f>IF(F151*$C$140&lt;F153,F151*$C$140,F153)</f>
        <v/>
      </c>
      <c r="G154" s="28">
        <f>IF(G151*$C$140&lt;G153,G151*$C$140,G153)</f>
        <v/>
      </c>
      <c r="H154" s="28">
        <f>IF(H151*$C$140&lt;H153,H151*$C$140,H153)</f>
        <v/>
      </c>
      <c r="I154" s="28">
        <f>IF(I151*$C$140&lt;I153,I151*$C$140,I153)</f>
        <v/>
      </c>
      <c r="J154" s="28">
        <f>IF(J151*$C$140&lt;J153,J151*$C$140,J153)</f>
        <v/>
      </c>
      <c r="K154" s="28">
        <f>IF(K151*$C$140&lt;K153,K151*$C$140,K153)</f>
        <v/>
      </c>
      <c r="L154" s="28">
        <f>IF(L151*$C$140&lt;L153,L151*$C$140,L153)</f>
        <v/>
      </c>
      <c r="M154" s="28">
        <f>IF(M151*$C$140&lt;M153,M151*$C$140,M153)</f>
        <v/>
      </c>
    </row>
    <row r="155">
      <c r="A155" s="22" t="n"/>
      <c r="B155" s="22" t="n"/>
    </row>
    <row r="156">
      <c r="A156" s="2" t="inlineStr">
        <is>
          <t>Total des intérêts versés</t>
        </is>
      </c>
      <c r="B156" s="22" t="inlineStr">
        <is>
          <t>USD</t>
        </is>
      </c>
      <c r="C156" s="8">
        <f>C$146+C$153</f>
        <v/>
      </c>
      <c r="D156" s="8">
        <f>D$146+D$153</f>
        <v/>
      </c>
      <c r="E156" s="8">
        <f>E$146+E$153</f>
        <v/>
      </c>
      <c r="F156" s="8">
        <f>F$146+F$153</f>
        <v/>
      </c>
      <c r="G156" s="8">
        <f>G$146+G$153</f>
        <v/>
      </c>
      <c r="H156" s="8">
        <f>H$146+H$153</f>
        <v/>
      </c>
      <c r="I156" s="8">
        <f>I$146+I$153</f>
        <v/>
      </c>
      <c r="J156" s="8">
        <f>J$146+J$153</f>
        <v/>
      </c>
      <c r="K156" s="8">
        <f>K$146+K$153</f>
        <v/>
      </c>
      <c r="L156" s="8">
        <f>L$146+L$153</f>
        <v/>
      </c>
      <c r="M156" s="8">
        <f>M$146+M$153</f>
        <v/>
      </c>
    </row>
    <row r="157">
      <c r="A157" s="2" t="inlineStr">
        <is>
          <t>Total des intérêts déductibles</t>
        </is>
      </c>
      <c r="B157" s="22" t="inlineStr">
        <is>
          <t>USD</t>
        </is>
      </c>
      <c r="C157" s="8">
        <f>C$147+C$154</f>
        <v/>
      </c>
      <c r="D157" s="8">
        <f>D$147+D$154</f>
        <v/>
      </c>
      <c r="E157" s="8">
        <f>E$147+E$154</f>
        <v/>
      </c>
      <c r="F157" s="8">
        <f>F$147+F$154</f>
        <v/>
      </c>
      <c r="G157" s="8">
        <f>G$147+G$154</f>
        <v/>
      </c>
      <c r="H157" s="8">
        <f>H$147+H$154</f>
        <v/>
      </c>
      <c r="I157" s="8">
        <f>I$147+I$154</f>
        <v/>
      </c>
      <c r="J157" s="8">
        <f>J$147+J$154</f>
        <v/>
      </c>
      <c r="K157" s="8">
        <f>K$147+K$154</f>
        <v/>
      </c>
      <c r="L157" s="8">
        <f>L$147+L$154</f>
        <v/>
      </c>
      <c r="M157" s="8">
        <f>M$147+M$154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cols>
    <col width="40.83203125" customWidth="1" min="1" max="1"/>
    <col width="10.83203125" customWidth="1" min="2" max="2"/>
    <col width="15.83203125" customWidth="1" min="3" max="3"/>
    <col width="10.83203125" customWidth="1" min="16" max="16"/>
  </cols>
  <sheetData>
    <row r="1">
      <c r="A1" s="1" t="inlineStr">
        <is>
          <t>Nom</t>
        </is>
      </c>
      <c r="B1" s="1" t="inlineStr">
        <is>
          <t>Unité</t>
        </is>
      </c>
      <c r="C1" s="1" t="inlineStr">
        <is>
          <t>Année 1</t>
        </is>
      </c>
      <c r="D1" s="1" t="inlineStr">
        <is>
          <t>Année 2</t>
        </is>
      </c>
      <c r="E1" s="1" t="inlineStr">
        <is>
          <t>Année 3</t>
        </is>
      </c>
      <c r="F1" s="1" t="inlineStr">
        <is>
          <t>Année 4</t>
        </is>
      </c>
      <c r="G1" s="1" t="inlineStr">
        <is>
          <t>Année 5</t>
        </is>
      </c>
      <c r="H1" s="1" t="inlineStr">
        <is>
          <t>Année 6</t>
        </is>
      </c>
      <c r="I1" s="1" t="inlineStr">
        <is>
          <t>Année 7</t>
        </is>
      </c>
      <c r="J1" s="1" t="inlineStr">
        <is>
          <t>Année 8</t>
        </is>
      </c>
      <c r="K1" s="1" t="inlineStr">
        <is>
          <t>Année 9</t>
        </is>
      </c>
      <c r="L1" s="1" t="inlineStr">
        <is>
          <t>Année 10</t>
        </is>
      </c>
      <c r="M1" s="1" t="inlineStr">
        <is>
          <t>Année 11</t>
        </is>
      </c>
      <c r="N1" s="1" t="inlineStr">
        <is>
          <t>SOMME</t>
        </is>
      </c>
      <c r="O1" s="1" t="inlineStr">
        <is>
          <t>VAN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5" t="inlineStr">
        <is>
          <t>I. PRODUCTION</t>
        </is>
      </c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</row>
    <row r="4">
      <c r="A4" s="2" t="inlineStr">
        <is>
          <t>Production d'or</t>
        </is>
      </c>
      <c r="B4" s="3" t="inlineStr">
        <is>
          <t>oz</t>
        </is>
      </c>
      <c r="C4" s="8" t="n"/>
      <c r="D4" s="8" t="n"/>
      <c r="E4" s="8" t="n">
        <v>250000</v>
      </c>
      <c r="F4" s="8" t="n">
        <v>250000</v>
      </c>
      <c r="G4" s="8" t="n">
        <v>250000</v>
      </c>
      <c r="H4" s="8" t="n">
        <v>250000</v>
      </c>
      <c r="I4" s="8" t="n">
        <v>250000</v>
      </c>
      <c r="J4" s="8" t="n">
        <v>250000</v>
      </c>
      <c r="K4" s="8" t="n">
        <v>250000</v>
      </c>
      <c r="L4" s="8" t="n">
        <v>250000</v>
      </c>
      <c r="M4" s="8" t="n"/>
      <c r="N4" s="9">
        <f>SUM($C4:$M4)</f>
        <v/>
      </c>
      <c r="O4" s="9" t="n"/>
    </row>
    <row r="5">
      <c r="A5" s="2" t="inlineStr">
        <is>
          <t>Cours de l'or</t>
        </is>
      </c>
      <c r="B5" s="3" t="inlineStr">
        <is>
          <t>USD/oz</t>
        </is>
      </c>
      <c r="C5" s="8" t="n"/>
      <c r="D5" s="8" t="n"/>
      <c r="E5" s="8" t="n">
        <v>1300</v>
      </c>
      <c r="F5" s="8" t="n">
        <v>1300</v>
      </c>
      <c r="G5" s="8" t="n">
        <v>1300</v>
      </c>
      <c r="H5" s="8" t="n">
        <v>1300</v>
      </c>
      <c r="I5" s="8" t="n">
        <v>1300</v>
      </c>
      <c r="J5" s="8" t="n">
        <v>1300</v>
      </c>
      <c r="K5" s="8" t="n">
        <v>1300</v>
      </c>
      <c r="L5" s="8" t="n">
        <v>1300</v>
      </c>
      <c r="M5" s="8" t="n"/>
      <c r="N5" s="9" t="n"/>
      <c r="O5" s="9" t="n"/>
    </row>
    <row r="6">
      <c r="A6" s="2" t="inlineStr">
        <is>
          <t>Chiffre d'affaires</t>
        </is>
      </c>
      <c r="B6" s="3" t="inlineStr">
        <is>
          <t>USD</t>
        </is>
      </c>
      <c r="C6" s="10">
        <f>C$4*C$5</f>
        <v/>
      </c>
      <c r="D6" s="10">
        <f>D$4*D$5</f>
        <v/>
      </c>
      <c r="E6" s="10">
        <f>E$4*E$5</f>
        <v/>
      </c>
      <c r="F6" s="10">
        <f>F$4*F$5</f>
        <v/>
      </c>
      <c r="G6" s="10">
        <f>G$4*G$5</f>
        <v/>
      </c>
      <c r="H6" s="10">
        <f>H$4*H$5</f>
        <v/>
      </c>
      <c r="I6" s="10">
        <f>I$4*I$5</f>
        <v/>
      </c>
      <c r="J6" s="10">
        <f>J$4*J$5</f>
        <v/>
      </c>
      <c r="K6" s="10">
        <f>K$4*K$5</f>
        <v/>
      </c>
      <c r="L6" s="10">
        <f>L$4*L$5</f>
        <v/>
      </c>
      <c r="M6" s="10">
        <f>M$4*M$5</f>
        <v/>
      </c>
      <c r="N6" s="10">
        <f>SUM($C6:$M6)</f>
        <v/>
      </c>
      <c r="O6" s="10">
        <f>$C6+NPV(10%,$D6:$M6)</f>
        <v/>
      </c>
    </row>
    <row r="7">
      <c r="A7" s="2" t="n"/>
      <c r="B7" s="3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5" t="inlineStr">
        <is>
          <t>II. DEPENSES D'INVESTISSEMENT (CAPEX)</t>
        </is>
      </c>
      <c r="B8" s="6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</row>
    <row r="9">
      <c r="A9" s="2" t="inlineStr">
        <is>
          <t>Coûts des construction industrielles</t>
        </is>
      </c>
      <c r="B9" s="3" t="inlineStr">
        <is>
          <t>USD</t>
        </is>
      </c>
      <c r="C9" s="8" t="n">
        <v>50000000</v>
      </c>
      <c r="D9" s="8" t="n">
        <v>100000000</v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9">
        <f>SUM($C9:$M9)</f>
        <v/>
      </c>
      <c r="O9" s="9">
        <f>$C9+NPV(10%,$D9:$M9)</f>
        <v/>
      </c>
    </row>
    <row r="10">
      <c r="A10" s="2" t="inlineStr">
        <is>
          <t>Coûts des biens d'équipement</t>
        </is>
      </c>
      <c r="B10" s="3" t="inlineStr">
        <is>
          <t>USD</t>
        </is>
      </c>
      <c r="C10" s="8" t="n"/>
      <c r="D10" s="8" t="n">
        <v>50000000</v>
      </c>
      <c r="E10" s="8" t="n">
        <v>5000000</v>
      </c>
      <c r="F10" s="8" t="n">
        <v>5000000</v>
      </c>
      <c r="G10" s="8" t="n">
        <v>5000000</v>
      </c>
      <c r="H10" s="8" t="n">
        <v>5000000</v>
      </c>
      <c r="I10" s="8" t="n">
        <v>5000000</v>
      </c>
      <c r="J10" s="8" t="n">
        <v>5000000</v>
      </c>
      <c r="K10" s="8" t="n">
        <v>5000000</v>
      </c>
      <c r="L10" s="8" t="n">
        <v>5000000</v>
      </c>
      <c r="M10" s="8" t="n"/>
      <c r="N10" s="9">
        <f>SUM($C10:$M10)</f>
        <v/>
      </c>
      <c r="O10" s="9">
        <f>$C10+NPV(10%,$D10:$M10)</f>
        <v/>
      </c>
    </row>
    <row r="11">
      <c r="A11" s="2" t="inlineStr">
        <is>
          <t>Coûts de réhabilitation du site</t>
        </is>
      </c>
      <c r="B11" s="3" t="inlineStr">
        <is>
          <t>USD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>
        <v>10000000</v>
      </c>
      <c r="N11" s="9">
        <f>SUM($C11:$M11)</f>
        <v/>
      </c>
      <c r="O11" s="9">
        <f>$C11+NPV(10%,$D11:$M11)</f>
        <v/>
      </c>
    </row>
    <row r="12">
      <c r="A12" s="2" t="inlineStr">
        <is>
          <t>Total des dépenses d'investissement</t>
        </is>
      </c>
      <c r="B12" s="3" t="inlineStr">
        <is>
          <t>USD</t>
        </is>
      </c>
      <c r="C12" s="10">
        <f>SUM(C$9:C$11)</f>
        <v/>
      </c>
      <c r="D12" s="10">
        <f>SUM(D$9:D$11)</f>
        <v/>
      </c>
      <c r="E12" s="10">
        <f>SUM(E$9:E$11)</f>
        <v/>
      </c>
      <c r="F12" s="10">
        <f>SUM(F$9:F$11)</f>
        <v/>
      </c>
      <c r="G12" s="10">
        <f>SUM(G$9:G$11)</f>
        <v/>
      </c>
      <c r="H12" s="10">
        <f>SUM(H$9:H$11)</f>
        <v/>
      </c>
      <c r="I12" s="10">
        <f>SUM(I$9:I$11)</f>
        <v/>
      </c>
      <c r="J12" s="10">
        <f>SUM(J$9:J$11)</f>
        <v/>
      </c>
      <c r="K12" s="10">
        <f>SUM(K$9:K$11)</f>
        <v/>
      </c>
      <c r="L12" s="10">
        <f>SUM(L$9:L$11)</f>
        <v/>
      </c>
      <c r="M12" s="10">
        <f>SUM(M$9:M$11)</f>
        <v/>
      </c>
      <c r="N12" s="10">
        <f>SUM($C12:$M12)</f>
        <v/>
      </c>
      <c r="O12" s="10">
        <f>$C12+NPV(10%,$D12:$M12)</f>
        <v/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5" t="inlineStr">
        <is>
          <t>III. COÛTS D'EXPLOITATION (OPEX)</t>
        </is>
      </c>
      <c r="B14" s="6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</row>
    <row r="15">
      <c r="A15" s="2" t="inlineStr">
        <is>
          <t>Coût moyen d'exploitation</t>
        </is>
      </c>
      <c r="B15" s="3" t="inlineStr">
        <is>
          <t>USD/oz</t>
        </is>
      </c>
      <c r="C15" s="8" t="n"/>
      <c r="D15" s="8" t="n"/>
      <c r="E15" s="8" t="n">
        <v>700</v>
      </c>
      <c r="F15" s="8" t="n">
        <v>700</v>
      </c>
      <c r="G15" s="8" t="n">
        <v>700</v>
      </c>
      <c r="H15" s="8" t="n">
        <v>700</v>
      </c>
      <c r="I15" s="8" t="n">
        <v>700</v>
      </c>
      <c r="J15" s="8" t="n">
        <v>700</v>
      </c>
      <c r="K15" s="8" t="n">
        <v>700</v>
      </c>
      <c r="L15" s="8" t="n">
        <v>700</v>
      </c>
      <c r="M15" s="8" t="n"/>
      <c r="N15" s="12" t="n"/>
      <c r="O15" s="12" t="n"/>
    </row>
    <row r="16">
      <c r="A16" s="2" t="inlineStr">
        <is>
          <t>Total des coûts d'exploitation</t>
        </is>
      </c>
      <c r="B16" s="3" t="inlineStr">
        <is>
          <t>USD</t>
        </is>
      </c>
      <c r="C16" s="10">
        <f>C$4*C$15</f>
        <v/>
      </c>
      <c r="D16" s="10">
        <f>D$4*D$15</f>
        <v/>
      </c>
      <c r="E16" s="10">
        <f>E$4*E$15</f>
        <v/>
      </c>
      <c r="F16" s="10">
        <f>F$4*F$15</f>
        <v/>
      </c>
      <c r="G16" s="10">
        <f>G$4*G$15</f>
        <v/>
      </c>
      <c r="H16" s="10">
        <f>H$4*H$15</f>
        <v/>
      </c>
      <c r="I16" s="10">
        <f>I$4*I$15</f>
        <v/>
      </c>
      <c r="J16" s="10">
        <f>J$4*J$15</f>
        <v/>
      </c>
      <c r="K16" s="10">
        <f>K$4*K$15</f>
        <v/>
      </c>
      <c r="L16" s="10">
        <f>L$4*L$15</f>
        <v/>
      </c>
      <c r="M16" s="10">
        <f>M$4*M$15</f>
        <v/>
      </c>
      <c r="N16" s="10">
        <f>SUM($C16:$M16)</f>
        <v/>
      </c>
      <c r="O16" s="10">
        <f>$C16+NPV(10%,$D16:$M16)</f>
        <v/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5" t="inlineStr">
        <is>
          <t>IV. FLUX NETS DE TRESORERIE AVANT IMPÔTS</t>
        </is>
      </c>
      <c r="B18" s="6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</row>
    <row r="19">
      <c r="A19" s="2" t="inlineStr">
        <is>
          <t>Flux nets de trésorerie avant impôts</t>
        </is>
      </c>
      <c r="B19" s="3" t="inlineStr">
        <is>
          <t>USD</t>
        </is>
      </c>
      <c r="C19" s="10">
        <f>C$6-C$12-C$16</f>
        <v/>
      </c>
      <c r="D19" s="10">
        <f>D$6-D$12-D$16</f>
        <v/>
      </c>
      <c r="E19" s="10">
        <f>E$6-E$12-E$16</f>
        <v/>
      </c>
      <c r="F19" s="10">
        <f>F$6-F$12-F$16</f>
        <v/>
      </c>
      <c r="G19" s="10">
        <f>G$6-G$12-G$16</f>
        <v/>
      </c>
      <c r="H19" s="10">
        <f>H$6-H$12-H$16</f>
        <v/>
      </c>
      <c r="I19" s="10">
        <f>I$6-I$12-I$16</f>
        <v/>
      </c>
      <c r="J19" s="10">
        <f>J$6-J$12-J$16</f>
        <v/>
      </c>
      <c r="K19" s="10">
        <f>K$6-K$12-K$16</f>
        <v/>
      </c>
      <c r="L19" s="10">
        <f>L$6-L$12-L$16</f>
        <v/>
      </c>
      <c r="M19" s="10">
        <f>M$6-M$12-M$16</f>
        <v/>
      </c>
      <c r="N19" s="10">
        <f>SUM($C19:$M19)</f>
        <v/>
      </c>
      <c r="O19" s="10">
        <f>$C19+NPV(10%,$D19:$M19)</f>
        <v/>
      </c>
    </row>
    <row r="20">
      <c r="A20" s="2" t="inlineStr">
        <is>
          <t>Taux de rendement interne avant impôts</t>
        </is>
      </c>
      <c r="B20" s="3" t="inlineStr">
        <is>
          <t>%</t>
        </is>
      </c>
      <c r="C20" s="14">
        <f>IF(ISNUMBER(IRR($C19:C19)),IF(IRR($C19:C19)&gt;0,IRR($C19:C19),""),"")</f>
        <v/>
      </c>
      <c r="D20" s="14">
        <f>IF(ISNUMBER(IRR($C19:D19)),IF(IRR($C19:D19)&gt;0,IRR($C19:D19),""),"")</f>
        <v/>
      </c>
      <c r="E20" s="14">
        <f>IF(ISNUMBER(IRR($C19:E19)),IF(IRR($C19:E19)&gt;0,IRR($C19:E19),""),"")</f>
        <v/>
      </c>
      <c r="F20" s="14">
        <f>IF(ISNUMBER(IRR($C19:F19)),IF(IRR($C19:F19)&gt;0,IRR($C19:F19),""),"")</f>
        <v/>
      </c>
      <c r="G20" s="14">
        <f>IF(ISNUMBER(IRR($C19:G19)),IF(IRR($C19:G19)&gt;0,IRR($C19:G19),""),"")</f>
        <v/>
      </c>
      <c r="H20" s="14">
        <f>IF(ISNUMBER(IRR($C19:H19)),IF(IRR($C19:H19)&gt;0,IRR($C19:H19),""),"")</f>
        <v/>
      </c>
      <c r="I20" s="14">
        <f>IF(ISNUMBER(IRR($C19:I19)),IF(IRR($C19:I19)&gt;0,IRR($C19:I19),""),"")</f>
        <v/>
      </c>
      <c r="J20" s="14">
        <f>IF(ISNUMBER(IRR($C19:J19)),IF(IRR($C19:J19)&gt;0,IRR($C19:J19),""),"")</f>
        <v/>
      </c>
      <c r="K20" s="14">
        <f>IF(ISNUMBER(IRR($C19:K19)),IF(IRR($C19:K19)&gt;0,IRR($C19:K19),""),"")</f>
        <v/>
      </c>
      <c r="L20" s="14">
        <f>IF(ISNUMBER(IRR($C19:L19)),IF(IRR($C19:L19)&gt;0,IRR($C19:L19),""),"")</f>
        <v/>
      </c>
      <c r="M20" s="14">
        <f>IF(ISNUMBER(IRR($C19:M19)),IF(IRR($C19:M19)&gt;0,IRR($C19:M19),""),"")</f>
        <v/>
      </c>
      <c r="N20" s="15" t="n"/>
      <c r="O20" s="15" t="n"/>
    </row>
    <row r="21">
      <c r="A21" s="2" t="n"/>
      <c r="B21" s="3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7" t="n"/>
      <c r="O21" s="17" t="n"/>
    </row>
    <row r="22">
      <c r="A22" s="5" t="inlineStr">
        <is>
          <t>V. DROITS FIXES</t>
        </is>
      </c>
      <c r="B22" s="18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</row>
    <row r="23">
      <c r="A23" s="2" t="inlineStr">
        <is>
          <t>Droits fixes</t>
        </is>
      </c>
      <c r="B23" s="3" t="inlineStr">
        <is>
          <t>USD</t>
        </is>
      </c>
      <c r="C23" s="19" t="n">
        <v>100000</v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0">
        <f>SUM($C23:$M23)</f>
        <v/>
      </c>
      <c r="O23" s="10">
        <f>$C23+NPV(10%,$D23:$M23)</f>
        <v/>
      </c>
    </row>
    <row r="24">
      <c r="A24" s="2" t="n"/>
      <c r="B24" s="3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7" t="n"/>
      <c r="O24" s="17" t="n"/>
    </row>
    <row r="25">
      <c r="A25" s="5" t="inlineStr">
        <is>
          <t>VI. REDEVANCE SUPERFICAIRE</t>
        </is>
      </c>
      <c r="B25" s="6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>
      <c r="A26" s="2" t="inlineStr">
        <is>
          <t>Superficie de la mine</t>
        </is>
      </c>
      <c r="B26" s="3" t="inlineStr">
        <is>
          <t>km²</t>
        </is>
      </c>
      <c r="C26" s="8" t="n">
        <v>100</v>
      </c>
      <c r="D26" s="8" t="n">
        <v>100</v>
      </c>
      <c r="E26" s="8" t="n">
        <v>100</v>
      </c>
      <c r="F26" s="8" t="n">
        <v>100</v>
      </c>
      <c r="G26" s="8" t="n">
        <v>100</v>
      </c>
      <c r="H26" s="8" t="n">
        <v>100</v>
      </c>
      <c r="I26" s="8" t="n">
        <v>100</v>
      </c>
      <c r="J26" s="8" t="n">
        <v>100</v>
      </c>
      <c r="K26" s="8" t="n">
        <v>100</v>
      </c>
      <c r="L26" s="8" t="n">
        <v>100</v>
      </c>
      <c r="M26" s="8" t="n">
        <v>100</v>
      </c>
      <c r="N26" s="12" t="n"/>
      <c r="O26" s="12" t="n"/>
    </row>
    <row r="27">
      <c r="A27" s="2" t="inlineStr">
        <is>
          <t>Montant de la redevance superfiaire</t>
        </is>
      </c>
      <c r="B27" s="3" t="inlineStr">
        <is>
          <t>USD/km²</t>
        </is>
      </c>
      <c r="C27" s="19" t="n">
        <v>100</v>
      </c>
      <c r="D27" s="19" t="n">
        <v>100</v>
      </c>
      <c r="E27" s="19" t="n">
        <v>100</v>
      </c>
      <c r="F27" s="19" t="n">
        <v>100</v>
      </c>
      <c r="G27" s="19" t="n">
        <v>100</v>
      </c>
      <c r="H27" s="19" t="n">
        <v>100</v>
      </c>
      <c r="I27" s="19" t="n">
        <v>100</v>
      </c>
      <c r="J27" s="19" t="n">
        <v>100</v>
      </c>
      <c r="K27" s="19" t="n">
        <v>100</v>
      </c>
      <c r="L27" s="19" t="n">
        <v>100</v>
      </c>
      <c r="M27" s="19" t="n">
        <v>100</v>
      </c>
      <c r="N27" s="12" t="n"/>
      <c r="O27" s="12" t="n"/>
    </row>
    <row r="28">
      <c r="A28" s="2" t="inlineStr">
        <is>
          <t>Redevance superficiaire</t>
        </is>
      </c>
      <c r="B28" s="3" t="inlineStr">
        <is>
          <t>USD</t>
        </is>
      </c>
      <c r="C28" s="10">
        <f>C$26*C$27</f>
        <v/>
      </c>
      <c r="D28" s="10">
        <f>D$26*D$27</f>
        <v/>
      </c>
      <c r="E28" s="10">
        <f>E$26*E$27</f>
        <v/>
      </c>
      <c r="F28" s="10">
        <f>F$26*F$27</f>
        <v/>
      </c>
      <c r="G28" s="10">
        <f>G$26*G$27</f>
        <v/>
      </c>
      <c r="H28" s="10">
        <f>H$26*H$27</f>
        <v/>
      </c>
      <c r="I28" s="10">
        <f>I$26*I$27</f>
        <v/>
      </c>
      <c r="J28" s="10">
        <f>J$26*J$27</f>
        <v/>
      </c>
      <c r="K28" s="10">
        <f>K$26*K$27</f>
        <v/>
      </c>
      <c r="L28" s="10">
        <f>L$26*L$27</f>
        <v/>
      </c>
      <c r="M28" s="10">
        <f>M$26*M$27</f>
        <v/>
      </c>
      <c r="N28" s="10">
        <f>SUM($C28:$M28)</f>
        <v/>
      </c>
      <c r="O28" s="10">
        <f>$C28+NPV(10%,$D28:$M28)</f>
        <v/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5" t="inlineStr">
        <is>
          <t>VII. REDEVANCE MINIERE</t>
        </is>
      </c>
      <c r="B30" s="6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  <row r="31">
      <c r="A31" s="2" t="inlineStr">
        <is>
          <t>Taux de la redevance minière</t>
        </is>
      </c>
      <c r="B31" s="3" t="inlineStr">
        <is>
          <t>%</t>
        </is>
      </c>
      <c r="C31" s="21">
        <f>IF(ISNUMBER(C5),IF(C$5&lt;1300,3%,IF(C$5&lt;1500,4%,5%)),"")</f>
        <v/>
      </c>
      <c r="D31" s="21">
        <f>IF(ISNUMBER(D5),IF(D$5&lt;1300,3%,IF(D$5&lt;1500,4%,5%)),"")</f>
        <v/>
      </c>
      <c r="E31" s="21">
        <f>IF(ISNUMBER(E5),IF(E$5&lt;1300,3%,IF(E$5&lt;1500,4%,5%)),"")</f>
        <v/>
      </c>
      <c r="F31" s="21">
        <f>IF(ISNUMBER(F5),IF(F$5&lt;1300,3%,IF(F$5&lt;1500,4%,5%)),"")</f>
        <v/>
      </c>
      <c r="G31" s="21">
        <f>IF(ISNUMBER(G5),IF(G$5&lt;1300,3%,IF(G$5&lt;1500,4%,5%)),"")</f>
        <v/>
      </c>
      <c r="H31" s="21">
        <f>IF(ISNUMBER(H5),IF(H$5&lt;1300,3%,IF(H$5&lt;1500,4%,5%)),"")</f>
        <v/>
      </c>
      <c r="I31" s="21">
        <f>IF(ISNUMBER(I5),IF(I$5&lt;1300,3%,IF(I$5&lt;1500,4%,5%)),"")</f>
        <v/>
      </c>
      <c r="J31" s="21">
        <f>IF(ISNUMBER(J5),IF(J$5&lt;1300,3%,IF(J$5&lt;1500,4%,5%)),"")</f>
        <v/>
      </c>
      <c r="K31" s="21">
        <f>IF(ISNUMBER(K5),IF(K$5&lt;1300,3%,IF(K$5&lt;1500,4%,5%)),"")</f>
        <v/>
      </c>
      <c r="L31" s="21">
        <f>IF(ISNUMBER(L5),IF(L$5&lt;1300,3%,IF(L$5&lt;1500,4%,5%)),"")</f>
        <v/>
      </c>
      <c r="M31" s="21">
        <f>IF(ISNUMBER(M5),IF(M$5&lt;1300,3%,IF(M$5&lt;1500,4%,5%)),"")</f>
        <v/>
      </c>
      <c r="N31" s="12" t="n"/>
      <c r="O31" s="12" t="n"/>
    </row>
    <row r="32">
      <c r="A32" s="2" t="inlineStr">
        <is>
          <t>Redevance minière</t>
        </is>
      </c>
      <c r="B32" s="3" t="inlineStr">
        <is>
          <t>USD</t>
        </is>
      </c>
      <c r="C32" s="10">
        <f>IF(ISNUMBER(C31),C$6*C$31,0)</f>
        <v/>
      </c>
      <c r="D32" s="10">
        <f>IF(ISNUMBER(D31),D$6*D$31,0)</f>
        <v/>
      </c>
      <c r="E32" s="10">
        <f>IF(ISNUMBER(E31),E$6*E$31,0)</f>
        <v/>
      </c>
      <c r="F32" s="10">
        <f>IF(ISNUMBER(F31),F$6*F$31,0)</f>
        <v/>
      </c>
      <c r="G32" s="10">
        <f>IF(ISNUMBER(G31),G$6*G$31,0)</f>
        <v/>
      </c>
      <c r="H32" s="10">
        <f>IF(ISNUMBER(H31),H$6*H$31,0)</f>
        <v/>
      </c>
      <c r="I32" s="10">
        <f>IF(ISNUMBER(I31),I$6*I$31,0)</f>
        <v/>
      </c>
      <c r="J32" s="10">
        <f>IF(ISNUMBER(J31),J$6*J$31,0)</f>
        <v/>
      </c>
      <c r="K32" s="10">
        <f>IF(ISNUMBER(K31),K$6*K$31,0)</f>
        <v/>
      </c>
      <c r="L32" s="10">
        <f>IF(ISNUMBER(L31),L$6*L$31,0)</f>
        <v/>
      </c>
      <c r="M32" s="10">
        <f>IF(ISNUMBER(M31),M$6*M$31,0)</f>
        <v/>
      </c>
      <c r="N32" s="10">
        <f>SUM($C32:$M32)</f>
        <v/>
      </c>
      <c r="O32" s="10">
        <f>$C32+NPV(10%,$D32:$M32)</f>
        <v/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5" t="inlineStr">
        <is>
          <t>VIII. IMPÔT SUR LES SOCIETES (IS)</t>
        </is>
      </c>
      <c r="B34" s="6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</row>
    <row r="35">
      <c r="A35" s="2" t="inlineStr">
        <is>
          <t>Bénéfice avant report des pertes</t>
        </is>
      </c>
      <c r="B35" s="3" t="inlineStr">
        <is>
          <t>USD</t>
        </is>
      </c>
      <c r="C35" s="9">
        <f>C$6-C$16-C$23-C$28-C$32-'Amortissements et Emprunt'!C$25-'Amortissements et Emprunt'!C$119-'Amortissements et Emprunt'!C133-'Amortissements et Emprunt'!C$157</f>
        <v/>
      </c>
      <c r="D35" s="9">
        <f>D$6-D$16-D$23-D$28-D$32-'Amortissements et Emprunt'!D$25-'Amortissements et Emprunt'!D$119-'Amortissements et Emprunt'!D133-'Amortissements et Emprunt'!D$157</f>
        <v/>
      </c>
      <c r="E35" s="9">
        <f>E$6-E$16-E$23-E$28-E$32-'Amortissements et Emprunt'!E$25-'Amortissements et Emprunt'!E$119-'Amortissements et Emprunt'!E133-'Amortissements et Emprunt'!E$157</f>
        <v/>
      </c>
      <c r="F35" s="9">
        <f>F$6-F$16-F$23-F$28-F$32-'Amortissements et Emprunt'!F$25-'Amortissements et Emprunt'!F$119-'Amortissements et Emprunt'!F133-'Amortissements et Emprunt'!F$157</f>
        <v/>
      </c>
      <c r="G35" s="9">
        <f>G$6-G$16-G$23-G$28-G$32-'Amortissements et Emprunt'!G$25-'Amortissements et Emprunt'!G$119-'Amortissements et Emprunt'!G133-'Amortissements et Emprunt'!G$157</f>
        <v/>
      </c>
      <c r="H35" s="9">
        <f>H$6-H$16-H$23-H$28-H$32-'Amortissements et Emprunt'!H$25-'Amortissements et Emprunt'!H$119-'Amortissements et Emprunt'!H133-'Amortissements et Emprunt'!H$157</f>
        <v/>
      </c>
      <c r="I35" s="9">
        <f>I$6-I$16-I$23-I$28-I$32-'Amortissements et Emprunt'!I$25-'Amortissements et Emprunt'!I$119-'Amortissements et Emprunt'!I133-'Amortissements et Emprunt'!I$157</f>
        <v/>
      </c>
      <c r="J35" s="9">
        <f>J$6-J$16-J$23-J$28-J$32-'Amortissements et Emprunt'!J$25-'Amortissements et Emprunt'!J$119-'Amortissements et Emprunt'!J133-'Amortissements et Emprunt'!J$157</f>
        <v/>
      </c>
      <c r="K35" s="9">
        <f>K$6-K$16-K$23-K$28-K$32-'Amortissements et Emprunt'!K$25-'Amortissements et Emprunt'!K$119-'Amortissements et Emprunt'!K133-'Amortissements et Emprunt'!K$157</f>
        <v/>
      </c>
      <c r="L35" s="9">
        <f>L$6-L$16-L$23-L$28-L$32-'Amortissements et Emprunt'!L$25-'Amortissements et Emprunt'!L$119-'Amortissements et Emprunt'!L133-'Amortissements et Emprunt'!L$157</f>
        <v/>
      </c>
      <c r="M35" s="9">
        <f>M$6-M$16-M$23-M$28-M$32-'Amortissements et Emprunt'!M$25-'Amortissements et Emprunt'!M$119-'Amortissements et Emprunt'!M133-'Amortissements et Emprunt'!M$157</f>
        <v/>
      </c>
      <c r="N35" s="9">
        <f>SUM($C35:$M35)</f>
        <v/>
      </c>
      <c r="O35" s="9">
        <f>$C35+NPV(10%,$D35:$M35)</f>
        <v/>
      </c>
    </row>
    <row r="36">
      <c r="A36" s="2" t="inlineStr">
        <is>
          <t>Report des pertes</t>
        </is>
      </c>
      <c r="B36" s="3" t="inlineStr">
        <is>
          <t>USD</t>
        </is>
      </c>
      <c r="C36" s="9" t="n"/>
      <c r="D36" s="9">
        <f>IF(C37&lt;0,C37,0)</f>
        <v/>
      </c>
      <c r="E36" s="9">
        <f>IF(D37&lt;0,D37,0)</f>
        <v/>
      </c>
      <c r="F36" s="9">
        <f>IF(E37&lt;0,E37,0)</f>
        <v/>
      </c>
      <c r="G36" s="9">
        <f>IF(F37&lt;0,F37,0)</f>
        <v/>
      </c>
      <c r="H36" s="9">
        <f>IF(G37&lt;0,G37,0)</f>
        <v/>
      </c>
      <c r="I36" s="9">
        <f>IF(H37&lt;0,H37,0)</f>
        <v/>
      </c>
      <c r="J36" s="9">
        <f>IF(I37&lt;0,I37,0)</f>
        <v/>
      </c>
      <c r="K36" s="9">
        <f>IF(J37&lt;0,J37,0)</f>
        <v/>
      </c>
      <c r="L36" s="9">
        <f>IF(K37&lt;0,K37,0)</f>
        <v/>
      </c>
      <c r="M36" s="9">
        <f>IF(L37&lt;0,L37,0)</f>
        <v/>
      </c>
      <c r="N36" s="12" t="n"/>
      <c r="O36" s="12" t="n"/>
    </row>
    <row r="37">
      <c r="A37" s="2" t="inlineStr">
        <is>
          <t>Bénéfice fiscal</t>
        </is>
      </c>
      <c r="B37" s="3" t="inlineStr">
        <is>
          <t>USD</t>
        </is>
      </c>
      <c r="C37" s="9">
        <f>C$35+C$36</f>
        <v/>
      </c>
      <c r="D37" s="9">
        <f>D$35+D$36</f>
        <v/>
      </c>
      <c r="E37" s="9">
        <f>E$35+E$36</f>
        <v/>
      </c>
      <c r="F37" s="9">
        <f>F$35+F$36</f>
        <v/>
      </c>
      <c r="G37" s="9">
        <f>G$35+G$36</f>
        <v/>
      </c>
      <c r="H37" s="9">
        <f>H$35+H$36</f>
        <v/>
      </c>
      <c r="I37" s="9">
        <f>I$35+I$36</f>
        <v/>
      </c>
      <c r="J37" s="9">
        <f>J$35+J$36</f>
        <v/>
      </c>
      <c r="K37" s="9">
        <f>K$35+K$36</f>
        <v/>
      </c>
      <c r="L37" s="9">
        <f>L$35+L$36</f>
        <v/>
      </c>
      <c r="M37" s="9">
        <f>M$35+M$36</f>
        <v/>
      </c>
      <c r="N37" s="9">
        <f>SUM($C37:$M37)</f>
        <v/>
      </c>
      <c r="O37" s="9">
        <f>$C37+NPV(10%,$D37:$M37)</f>
        <v/>
      </c>
    </row>
    <row r="38">
      <c r="A38" s="2" t="inlineStr">
        <is>
          <t>Taux de l'impôt sur les sociétés</t>
        </is>
      </c>
      <c r="B38" s="3" t="inlineStr">
        <is>
          <t>%</t>
        </is>
      </c>
      <c r="C38" s="21" t="n">
        <v>0.3</v>
      </c>
      <c r="D38" s="21" t="n">
        <v>0.3</v>
      </c>
      <c r="E38" s="21" t="n">
        <v>0.3</v>
      </c>
      <c r="F38" s="21" t="n">
        <v>0.3</v>
      </c>
      <c r="G38" s="21" t="n">
        <v>0.3</v>
      </c>
      <c r="H38" s="21" t="n">
        <v>0.3</v>
      </c>
      <c r="I38" s="21" t="n">
        <v>0.3</v>
      </c>
      <c r="J38" s="21" t="n">
        <v>0.3</v>
      </c>
      <c r="K38" s="21" t="n">
        <v>0.3</v>
      </c>
      <c r="L38" s="21" t="n">
        <v>0.3</v>
      </c>
      <c r="M38" s="21" t="n">
        <v>0.3</v>
      </c>
      <c r="N38" s="12" t="n"/>
      <c r="O38" s="12" t="n"/>
    </row>
    <row r="39">
      <c r="A39" s="2" t="inlineStr">
        <is>
          <t>Impôt sur les sociétés</t>
        </is>
      </c>
      <c r="B39" s="3" t="inlineStr">
        <is>
          <t>USD</t>
        </is>
      </c>
      <c r="C39" s="10">
        <f>IF(C$37&gt;0,C$37*C$38,0)</f>
        <v/>
      </c>
      <c r="D39" s="10">
        <f>IF(D$37&gt;0,D$37*D$38,0)</f>
        <v/>
      </c>
      <c r="E39" s="10">
        <f>IF(E$37&gt;0,E$37*E$38,0)</f>
        <v/>
      </c>
      <c r="F39" s="10">
        <f>IF(F$37&gt;0,F$37*F$38,0)</f>
        <v/>
      </c>
      <c r="G39" s="10">
        <f>IF(G$37&gt;0,G$37*G$38,0)</f>
        <v/>
      </c>
      <c r="H39" s="10">
        <f>IF(H$37&gt;0,H$37*H$38,0)</f>
        <v/>
      </c>
      <c r="I39" s="10">
        <f>IF(I$37&gt;0,I$37*I$38,0)</f>
        <v/>
      </c>
      <c r="J39" s="10">
        <f>IF(J$37&gt;0,J$37*J$38,0)</f>
        <v/>
      </c>
      <c r="K39" s="10">
        <f>IF(K$37&gt;0,K$37*K$38,0)</f>
        <v/>
      </c>
      <c r="L39" s="10">
        <f>IF(L$37&gt;0,L$37*L$38,0)</f>
        <v/>
      </c>
      <c r="M39" s="10">
        <f>IF(M$37&gt;0,M$37*M$38,0)</f>
        <v/>
      </c>
      <c r="N39" s="10">
        <f>SUM($C39:$M39)</f>
        <v/>
      </c>
      <c r="O39" s="10">
        <f>$C39+NPV(10%,$D39:$M39)</f>
        <v/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5" t="inlineStr">
        <is>
          <t>IX. IMPÔT MINIMUM FORFAITAIRE (IMF)</t>
        </is>
      </c>
      <c r="B41" s="6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</row>
    <row r="42">
      <c r="A42" s="2" t="inlineStr">
        <is>
          <t>Montant minimum</t>
        </is>
      </c>
      <c r="B42" s="3" t="inlineStr">
        <is>
          <t>USD</t>
        </is>
      </c>
      <c r="C42" s="19" t="n">
        <v>2000</v>
      </c>
      <c r="D42" s="19" t="n">
        <v>2000</v>
      </c>
      <c r="E42" s="19" t="n">
        <v>2000</v>
      </c>
      <c r="F42" s="19" t="n">
        <v>2000</v>
      </c>
      <c r="G42" s="19" t="n">
        <v>2000</v>
      </c>
      <c r="H42" s="19" t="n">
        <v>2000</v>
      </c>
      <c r="I42" s="19" t="n">
        <v>2000</v>
      </c>
      <c r="J42" s="19" t="n">
        <v>2000</v>
      </c>
      <c r="K42" s="19" t="n">
        <v>2000</v>
      </c>
      <c r="L42" s="19" t="n">
        <v>2000</v>
      </c>
      <c r="M42" s="19" t="n">
        <v>2000</v>
      </c>
      <c r="N42" s="12" t="n"/>
      <c r="O42" s="12" t="n"/>
    </row>
    <row r="43">
      <c r="A43" s="2" t="inlineStr">
        <is>
          <t>Taux de l'impôt minimum forfaitaire</t>
        </is>
      </c>
      <c r="B43" s="3" t="inlineStr">
        <is>
          <t>%</t>
        </is>
      </c>
      <c r="C43" s="21" t="n">
        <v>0.01</v>
      </c>
      <c r="D43" s="21" t="n">
        <v>0.01</v>
      </c>
      <c r="E43" s="21" t="n">
        <v>0.01</v>
      </c>
      <c r="F43" s="21" t="n">
        <v>0.01</v>
      </c>
      <c r="G43" s="21" t="n">
        <v>0.01</v>
      </c>
      <c r="H43" s="21" t="n">
        <v>0.01</v>
      </c>
      <c r="I43" s="21" t="n">
        <v>0.01</v>
      </c>
      <c r="J43" s="21" t="n">
        <v>0.01</v>
      </c>
      <c r="K43" s="21" t="n">
        <v>0.01</v>
      </c>
      <c r="L43" s="21" t="n">
        <v>0.01</v>
      </c>
      <c r="M43" s="21" t="n">
        <v>0.01</v>
      </c>
      <c r="N43" s="12" t="n"/>
      <c r="O43" s="12" t="n"/>
    </row>
    <row r="44">
      <c r="A44" s="2" t="inlineStr">
        <is>
          <t>Impôt minimum forfaitaire</t>
        </is>
      </c>
      <c r="B44" s="3" t="inlineStr">
        <is>
          <t>USD</t>
        </is>
      </c>
      <c r="C44" s="10">
        <f>IF(C$6*C$43&gt;C$42,C$6*C$43,C$42)</f>
        <v/>
      </c>
      <c r="D44" s="10">
        <f>IF(D$6*D$43&gt;D$42,D$6*D$43,D$42)</f>
        <v/>
      </c>
      <c r="E44" s="10">
        <f>IF(E$6*E$43&gt;E$42,E$6*E$43,E$42)</f>
        <v/>
      </c>
      <c r="F44" s="10">
        <f>IF(F$6*F$43&gt;F$42,F$6*F$43,F$42)</f>
        <v/>
      </c>
      <c r="G44" s="10">
        <f>IF(G$6*G$43&gt;G$42,G$6*G$43,G$42)</f>
        <v/>
      </c>
      <c r="H44" s="10">
        <f>IF(H$6*H$43&gt;H$42,H$6*H$43,H$42)</f>
        <v/>
      </c>
      <c r="I44" s="10">
        <f>IF(I$6*I$43&gt;I$42,I$6*I$43,I$42)</f>
        <v/>
      </c>
      <c r="J44" s="10">
        <f>IF(J$6*J$43&gt;J$42,J$6*J$43,J$42)</f>
        <v/>
      </c>
      <c r="K44" s="10">
        <f>IF(K$6*K$43&gt;K$42,K$6*K$43,K$42)</f>
        <v/>
      </c>
      <c r="L44" s="10">
        <f>IF(L$6*L$43&gt;L$42,L$6*L$43,L$42)</f>
        <v/>
      </c>
      <c r="M44" s="10">
        <f>IF(M$6*M$43&gt;M$42,M$6*M$43,M$42)</f>
        <v/>
      </c>
      <c r="N44" s="10">
        <f>SUM($C44:$M44)</f>
        <v/>
      </c>
      <c r="O44" s="10">
        <f>$C44+NPV(10%,$D44:$M44)</f>
        <v/>
      </c>
    </row>
    <row r="45">
      <c r="A45" s="2" t="n"/>
      <c r="B45" s="3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5" t="inlineStr">
        <is>
          <t>X. IMPÔT SUR LES SOCIETES (IS) / IMPÔT MINIMUM FORFAITAIRE (IMF)</t>
        </is>
      </c>
      <c r="B46" s="6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</row>
    <row r="47">
      <c r="A47" s="2" t="inlineStr">
        <is>
          <t>Impôt sur les sociétés / Impôt minimum forfaitaire</t>
        </is>
      </c>
      <c r="B47" s="3" t="inlineStr">
        <is>
          <t>USD</t>
        </is>
      </c>
      <c r="C47" s="10">
        <f>IF(C$44&gt;C$39,C$44,C$39)</f>
        <v/>
      </c>
      <c r="D47" s="10">
        <f>IF(D$44&gt;D$39,D$44,D$39)</f>
        <v/>
      </c>
      <c r="E47" s="10">
        <f>IF(E$44&gt;E$39,E$44,E$39)</f>
        <v/>
      </c>
      <c r="F47" s="10">
        <f>IF(F$44&gt;F$39,F$44,F$39)</f>
        <v/>
      </c>
      <c r="G47" s="10">
        <f>IF(G$44&gt;G$39,G$44,G$39)</f>
        <v/>
      </c>
      <c r="H47" s="10">
        <f>IF(H$44&gt;H$39,H$44,H$39)</f>
        <v/>
      </c>
      <c r="I47" s="10">
        <f>IF(I$44&gt;I$39,I$44,I$39)</f>
        <v/>
      </c>
      <c r="J47" s="10">
        <f>IF(J$44&gt;J$39,J$44,J$39)</f>
        <v/>
      </c>
      <c r="K47" s="10">
        <f>IF(K$44&gt;K$39,K$44,K$39)</f>
        <v/>
      </c>
      <c r="L47" s="10">
        <f>IF(L$44&gt;L$39,L$44,L$39)</f>
        <v/>
      </c>
      <c r="M47" s="10">
        <f>IF(M$44&gt;M$39,M$44,M$39)</f>
        <v/>
      </c>
      <c r="N47" s="10">
        <f>SUM($C47:$M47)</f>
        <v/>
      </c>
      <c r="O47" s="10">
        <f>$C47+NPV(10%,$D47:$M47)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7"/>
  <sheetViews>
    <sheetView workbookViewId="0">
      <selection activeCell="A1" sqref="A1"/>
    </sheetView>
  </sheetViews>
  <sheetFormatPr baseColWidth="8" defaultRowHeight="15"/>
  <cols>
    <col width="40.83203125" customWidth="1" min="1" max="1"/>
    <col width="10.83203125" customWidth="1" min="2" max="2"/>
    <col width="15.83203125" customWidth="1" min="3" max="3"/>
    <col width="10.83203125" customWidth="1" min="14" max="14"/>
  </cols>
  <sheetData>
    <row r="1">
      <c r="A1" s="1" t="inlineStr">
        <is>
          <t>Nom</t>
        </is>
      </c>
      <c r="B1" s="1" t="inlineStr">
        <is>
          <t>Unité</t>
        </is>
      </c>
      <c r="C1" s="1" t="inlineStr">
        <is>
          <t>Année 1</t>
        </is>
      </c>
      <c r="D1" s="1" t="inlineStr">
        <is>
          <t>Année 2</t>
        </is>
      </c>
      <c r="E1" s="1" t="inlineStr">
        <is>
          <t>Année 3</t>
        </is>
      </c>
      <c r="F1" s="1" t="inlineStr">
        <is>
          <t>Année 4</t>
        </is>
      </c>
      <c r="G1" s="1" t="inlineStr">
        <is>
          <t>Année 5</t>
        </is>
      </c>
      <c r="H1" s="1" t="inlineStr">
        <is>
          <t>Année 6</t>
        </is>
      </c>
      <c r="I1" s="1" t="inlineStr">
        <is>
          <t>Année 7</t>
        </is>
      </c>
      <c r="J1" s="1" t="inlineStr">
        <is>
          <t>Année 8</t>
        </is>
      </c>
      <c r="K1" s="1" t="inlineStr">
        <is>
          <t>Année 9</t>
        </is>
      </c>
      <c r="L1" s="1" t="inlineStr">
        <is>
          <t>Année 10</t>
        </is>
      </c>
      <c r="M1" s="1" t="inlineStr">
        <is>
          <t>Année 11</t>
        </is>
      </c>
    </row>
    <row r="2"/>
    <row r="3">
      <c r="A3" s="2" t="inlineStr">
        <is>
          <t>Durée restante maximum</t>
        </is>
      </c>
      <c r="B3" s="22" t="inlineStr">
        <is>
          <t>Années</t>
        </is>
      </c>
      <c r="C3" s="23" t="n">
        <v>11</v>
      </c>
      <c r="D3" s="23" t="n">
        <v>10</v>
      </c>
      <c r="E3" s="23" t="n">
        <v>9</v>
      </c>
      <c r="F3" s="23" t="n">
        <v>8</v>
      </c>
      <c r="G3" s="23" t="n">
        <v>7</v>
      </c>
      <c r="H3" s="23" t="n">
        <v>6</v>
      </c>
      <c r="I3" s="23" t="n">
        <v>5</v>
      </c>
      <c r="J3" s="23" t="n">
        <v>4</v>
      </c>
      <c r="K3" s="23" t="n">
        <v>3</v>
      </c>
      <c r="L3" s="23" t="n">
        <v>2</v>
      </c>
      <c r="M3" s="23" t="n">
        <v>1</v>
      </c>
    </row>
    <row r="4">
      <c r="A4" s="22" t="n"/>
      <c r="B4" s="22" t="n"/>
    </row>
    <row r="5">
      <c r="A5" s="5" t="inlineStr">
        <is>
          <t>I. AMORTISSEMENTS DES CONSTRUCTIONS INDUSTRIELLES</t>
        </is>
      </c>
      <c r="B5" s="24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</row>
    <row r="6">
      <c r="A6" s="2" t="inlineStr">
        <is>
          <t>Durée d'amortissement linéaire</t>
        </is>
      </c>
      <c r="B6" s="22" t="inlineStr">
        <is>
          <t>Années</t>
        </is>
      </c>
      <c r="C6" s="19" t="n">
        <v>10</v>
      </c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</row>
    <row r="7">
      <c r="A7" s="2" t="inlineStr">
        <is>
          <t>Coefficient d'amortissement dégressif</t>
        </is>
      </c>
      <c r="B7" s="22" t="inlineStr">
        <is>
          <t>Coefficient</t>
        </is>
      </c>
      <c r="C7" s="19" t="n">
        <v>1</v>
      </c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</row>
    <row r="8">
      <c r="A8" s="22" t="n"/>
      <c r="B8" s="22" t="n"/>
    </row>
    <row r="9">
      <c r="A9" s="2" t="inlineStr">
        <is>
          <t>Immobilisations de l'année A1</t>
        </is>
      </c>
      <c r="B9" s="22" t="n"/>
    </row>
    <row r="10">
      <c r="A10" s="22" t="inlineStr">
        <is>
          <t>Durée restante</t>
        </is>
      </c>
      <c r="B10" s="22" t="inlineStr">
        <is>
          <t>Années</t>
        </is>
      </c>
      <c r="C10" s="23">
        <f>IF($C$6&lt;C$3,$C$6,C$3)</f>
        <v/>
      </c>
      <c r="D10" s="8">
        <f>IF(C10=0,0,IF(C10-1&lt;D$3,C10-1,D$3))</f>
        <v/>
      </c>
      <c r="E10" s="8">
        <f>IF(D10=0,0,IF(D10-1&lt;E$3,D10-1,E$3))</f>
        <v/>
      </c>
      <c r="F10" s="8">
        <f>IF(E10=0,0,IF(E10-1&lt;F$3,E10-1,F$3))</f>
        <v/>
      </c>
      <c r="G10" s="8">
        <f>IF(F10=0,0,IF(F10-1&lt;G$3,F10-1,G$3))</f>
        <v/>
      </c>
      <c r="H10" s="8">
        <f>IF(G10=0,0,IF(G10-1&lt;H$3,G10-1,H$3))</f>
        <v/>
      </c>
      <c r="I10" s="8">
        <f>IF(H10=0,0,IF(H10-1&lt;I$3,H10-1,I$3))</f>
        <v/>
      </c>
      <c r="J10" s="8">
        <f>IF(I10=0,0,IF(I10-1&lt;J$3,I10-1,J$3))</f>
        <v/>
      </c>
      <c r="K10" s="8">
        <f>IF(J10=0,0,IF(J10-1&lt;K$3,J10-1,K$3))</f>
        <v/>
      </c>
      <c r="L10" s="8">
        <f>IF(K10=0,0,IF(K10-1&lt;L$3,K10-1,L$3))</f>
        <v/>
      </c>
      <c r="M10" s="8">
        <f>IF(L10=0,0,IF(L10-1&lt;M$3,L10-1,M$3))</f>
        <v/>
      </c>
    </row>
    <row r="11">
      <c r="A11" s="22" t="inlineStr">
        <is>
          <t>Base amortissable</t>
        </is>
      </c>
      <c r="B11" s="22" t="inlineStr">
        <is>
          <t>USD</t>
        </is>
      </c>
      <c r="C11" s="23">
        <f>Modèle!C$9</f>
        <v/>
      </c>
      <c r="D11" s="8">
        <f>C15</f>
        <v/>
      </c>
      <c r="E11" s="8">
        <f>D15</f>
        <v/>
      </c>
      <c r="F11" s="8">
        <f>E15</f>
        <v/>
      </c>
      <c r="G11" s="8">
        <f>F15</f>
        <v/>
      </c>
      <c r="H11" s="8">
        <f>G15</f>
        <v/>
      </c>
      <c r="I11" s="8">
        <f>H15</f>
        <v/>
      </c>
      <c r="J11" s="8">
        <f>I15</f>
        <v/>
      </c>
      <c r="K11" s="8">
        <f>J15</f>
        <v/>
      </c>
      <c r="L11" s="8">
        <f>K15</f>
        <v/>
      </c>
      <c r="M11" s="8">
        <f>L15</f>
        <v/>
      </c>
    </row>
    <row r="12">
      <c r="A12" s="22" t="inlineStr">
        <is>
          <t>Inverse de la durée restante</t>
        </is>
      </c>
      <c r="B12" s="22" t="inlineStr">
        <is>
          <t>%</t>
        </is>
      </c>
      <c r="C12" s="27">
        <f>IF(C10=0,0,1/C10)</f>
        <v/>
      </c>
      <c r="D12" s="27">
        <f>IF(D10=0,0,1/D10)</f>
        <v/>
      </c>
      <c r="E12" s="27">
        <f>IF(E10=0,0,1/E10)</f>
        <v/>
      </c>
      <c r="F12" s="27">
        <f>IF(F10=0,0,1/F10)</f>
        <v/>
      </c>
      <c r="G12" s="27">
        <f>IF(G10=0,0,1/G10)</f>
        <v/>
      </c>
      <c r="H12" s="27">
        <f>IF(H10=0,0,1/H10)</f>
        <v/>
      </c>
      <c r="I12" s="27">
        <f>IF(I10=0,0,1/I10)</f>
        <v/>
      </c>
      <c r="J12" s="27">
        <f>IF(J10=0,0,1/J10)</f>
        <v/>
      </c>
      <c r="K12" s="27">
        <f>IF(K10=0,0,1/K10)</f>
        <v/>
      </c>
      <c r="L12" s="27">
        <f>IF(L10=0,0,1/L10)</f>
        <v/>
      </c>
      <c r="M12" s="27">
        <f>IF(M10=0,0,1/M10)</f>
        <v/>
      </c>
    </row>
    <row r="13">
      <c r="A13" s="22" t="inlineStr">
        <is>
          <t>Taux dégressif</t>
        </is>
      </c>
      <c r="B13" s="22" t="inlineStr">
        <is>
          <t>%</t>
        </is>
      </c>
      <c r="C13" s="27">
        <f>IF(C10=0,0,IF($C$7*1/$C$6&gt;C12,$C$7*1/$C$6,C12))</f>
        <v/>
      </c>
      <c r="D13" s="27">
        <f>IF(D10=0,0,IF($C$7*1/$C$6&gt;D12,$C$7*1/$C$6,D12))</f>
        <v/>
      </c>
      <c r="E13" s="27">
        <f>IF(E10=0,0,IF($C$7*1/$C$6&gt;E12,$C$7*1/$C$6,E12))</f>
        <v/>
      </c>
      <c r="F13" s="27">
        <f>IF(F10=0,0,IF($C$7*1/$C$6&gt;F12,$C$7*1/$C$6,F12))</f>
        <v/>
      </c>
      <c r="G13" s="27">
        <f>IF(G10=0,0,IF($C$7*1/$C$6&gt;G12,$C$7*1/$C$6,G12))</f>
        <v/>
      </c>
      <c r="H13" s="27">
        <f>IF(H10=0,0,IF($C$7*1/$C$6&gt;H12,$C$7*1/$C$6,H12))</f>
        <v/>
      </c>
      <c r="I13" s="27">
        <f>IF(I10=0,0,IF($C$7*1/$C$6&gt;I12,$C$7*1/$C$6,I12))</f>
        <v/>
      </c>
      <c r="J13" s="27">
        <f>IF(J10=0,0,IF($C$7*1/$C$6&gt;J12,$C$7*1/$C$6,J12))</f>
        <v/>
      </c>
      <c r="K13" s="27">
        <f>IF(K10=0,0,IF($C$7*1/$C$6&gt;K12,$C$7*1/$C$6,K12))</f>
        <v/>
      </c>
      <c r="L13" s="27">
        <f>IF(L10=0,0,IF($C$7*1/$C$6&gt;L12,$C$7*1/$C$6,L12))</f>
        <v/>
      </c>
      <c r="M13" s="27">
        <f>IF(M10=0,0,IF($C$7*1/$C$6&gt;M12,$C$7*1/$C$6,M12))</f>
        <v/>
      </c>
    </row>
    <row r="14">
      <c r="A14" s="22" t="inlineStr">
        <is>
          <t>Charge d'amortissement</t>
        </is>
      </c>
      <c r="B14" s="22" t="inlineStr">
        <is>
          <t>USD</t>
        </is>
      </c>
      <c r="C14" s="8">
        <f>C11*C13</f>
        <v/>
      </c>
      <c r="D14" s="8">
        <f>D11*D13</f>
        <v/>
      </c>
      <c r="E14" s="8">
        <f>E11*E13</f>
        <v/>
      </c>
      <c r="F14" s="8">
        <f>F11*F13</f>
        <v/>
      </c>
      <c r="G14" s="8">
        <f>G11*G13</f>
        <v/>
      </c>
      <c r="H14" s="8">
        <f>H11*H13</f>
        <v/>
      </c>
      <c r="I14" s="8">
        <f>I11*I13</f>
        <v/>
      </c>
      <c r="J14" s="8">
        <f>J11*J13</f>
        <v/>
      </c>
      <c r="K14" s="8">
        <f>K11*K13</f>
        <v/>
      </c>
      <c r="L14" s="8">
        <f>L11*L13</f>
        <v/>
      </c>
      <c r="M14" s="8">
        <f>M11*M13</f>
        <v/>
      </c>
    </row>
    <row r="15">
      <c r="A15" s="22" t="inlineStr">
        <is>
          <t>Amortissement restant</t>
        </is>
      </c>
      <c r="B15" s="22" t="inlineStr">
        <is>
          <t>USD</t>
        </is>
      </c>
      <c r="C15" s="8">
        <f>C11-C14</f>
        <v/>
      </c>
      <c r="D15" s="8">
        <f>D11-D14</f>
        <v/>
      </c>
      <c r="E15" s="8">
        <f>E11-E14</f>
        <v/>
      </c>
      <c r="F15" s="8">
        <f>F11-F14</f>
        <v/>
      </c>
      <c r="G15" s="8">
        <f>G11-G14</f>
        <v/>
      </c>
      <c r="H15" s="8">
        <f>H11-H14</f>
        <v/>
      </c>
      <c r="I15" s="8">
        <f>I11-I14</f>
        <v/>
      </c>
      <c r="J15" s="8">
        <f>J11-J14</f>
        <v/>
      </c>
      <c r="K15" s="8">
        <f>K11-K14</f>
        <v/>
      </c>
      <c r="L15" s="8">
        <f>L11-L14</f>
        <v/>
      </c>
      <c r="M15" s="8">
        <f>M11-M14</f>
        <v/>
      </c>
    </row>
    <row r="16">
      <c r="A16" s="22" t="n"/>
      <c r="B16" s="22" t="n"/>
    </row>
    <row r="17">
      <c r="A17" s="2" t="inlineStr">
        <is>
          <t>Immobilisations de l'année A2</t>
        </is>
      </c>
      <c r="B17" s="22" t="n"/>
    </row>
    <row r="18">
      <c r="A18" s="22" t="inlineStr">
        <is>
          <t>Durée restante</t>
        </is>
      </c>
      <c r="B18" s="22" t="inlineStr">
        <is>
          <t>Années</t>
        </is>
      </c>
      <c r="D18" s="23">
        <f>IF($C$6&lt;D$3,$C$6,D$3)</f>
        <v/>
      </c>
      <c r="E18" s="8">
        <f>IF(D18=0,0,IF(D18-1&lt;E$3,D18-1,E$3))</f>
        <v/>
      </c>
      <c r="F18" s="8">
        <f>IF(E18=0,0,IF(E18-1&lt;F$3,E18-1,F$3))</f>
        <v/>
      </c>
      <c r="G18" s="8">
        <f>IF(F18=0,0,IF(F18-1&lt;G$3,F18-1,G$3))</f>
        <v/>
      </c>
      <c r="H18" s="8">
        <f>IF(G18=0,0,IF(G18-1&lt;H$3,G18-1,H$3))</f>
        <v/>
      </c>
      <c r="I18" s="8">
        <f>IF(H18=0,0,IF(H18-1&lt;I$3,H18-1,I$3))</f>
        <v/>
      </c>
      <c r="J18" s="8">
        <f>IF(I18=0,0,IF(I18-1&lt;J$3,I18-1,J$3))</f>
        <v/>
      </c>
      <c r="K18" s="8">
        <f>IF(J18=0,0,IF(J18-1&lt;K$3,J18-1,K$3))</f>
        <v/>
      </c>
      <c r="L18" s="8">
        <f>IF(K18=0,0,IF(K18-1&lt;L$3,K18-1,L$3))</f>
        <v/>
      </c>
      <c r="M18" s="8">
        <f>IF(L18=0,0,IF(L18-1&lt;M$3,L18-1,M$3))</f>
        <v/>
      </c>
    </row>
    <row r="19">
      <c r="A19" s="22" t="inlineStr">
        <is>
          <t>Base amortissable</t>
        </is>
      </c>
      <c r="B19" s="22" t="inlineStr">
        <is>
          <t>USD</t>
        </is>
      </c>
      <c r="D19" s="23">
        <f>Modèle!D$9</f>
        <v/>
      </c>
      <c r="E19" s="8">
        <f>D23</f>
        <v/>
      </c>
      <c r="F19" s="8">
        <f>E23</f>
        <v/>
      </c>
      <c r="G19" s="8">
        <f>F23</f>
        <v/>
      </c>
      <c r="H19" s="8">
        <f>G23</f>
        <v/>
      </c>
      <c r="I19" s="8">
        <f>H23</f>
        <v/>
      </c>
      <c r="J19" s="8">
        <f>I23</f>
        <v/>
      </c>
      <c r="K19" s="8">
        <f>J23</f>
        <v/>
      </c>
      <c r="L19" s="8">
        <f>K23</f>
        <v/>
      </c>
      <c r="M19" s="8">
        <f>L23</f>
        <v/>
      </c>
    </row>
    <row r="20">
      <c r="A20" s="22" t="inlineStr">
        <is>
          <t>Inverse de la durée restante</t>
        </is>
      </c>
      <c r="B20" s="22" t="inlineStr">
        <is>
          <t>%</t>
        </is>
      </c>
      <c r="D20" s="27">
        <f>IF(D18=0,0,1/D18)</f>
        <v/>
      </c>
      <c r="E20" s="27">
        <f>IF(E18=0,0,1/E18)</f>
        <v/>
      </c>
      <c r="F20" s="27">
        <f>IF(F18=0,0,1/F18)</f>
        <v/>
      </c>
      <c r="G20" s="27">
        <f>IF(G18=0,0,1/G18)</f>
        <v/>
      </c>
      <c r="H20" s="27">
        <f>IF(H18=0,0,1/H18)</f>
        <v/>
      </c>
      <c r="I20" s="27">
        <f>IF(I18=0,0,1/I18)</f>
        <v/>
      </c>
      <c r="J20" s="27">
        <f>IF(J18=0,0,1/J18)</f>
        <v/>
      </c>
      <c r="K20" s="27">
        <f>IF(K18=0,0,1/K18)</f>
        <v/>
      </c>
      <c r="L20" s="27">
        <f>IF(L18=0,0,1/L18)</f>
        <v/>
      </c>
      <c r="M20" s="27">
        <f>IF(M18=0,0,1/M18)</f>
        <v/>
      </c>
    </row>
    <row r="21">
      <c r="A21" s="22" t="inlineStr">
        <is>
          <t>Taux dégressif</t>
        </is>
      </c>
      <c r="B21" s="22" t="inlineStr">
        <is>
          <t>%</t>
        </is>
      </c>
      <c r="D21" s="27">
        <f>IF(D18=0,0,IF($C$7*1/$C$6&gt;D20,$C$7*1/$C$6,D20))</f>
        <v/>
      </c>
      <c r="E21" s="27">
        <f>IF(E18=0,0,IF($C$7*1/$C$6&gt;E20,$C$7*1/$C$6,E20))</f>
        <v/>
      </c>
      <c r="F21" s="27">
        <f>IF(F18=0,0,IF($C$7*1/$C$6&gt;F20,$C$7*1/$C$6,F20))</f>
        <v/>
      </c>
      <c r="G21" s="27">
        <f>IF(G18=0,0,IF($C$7*1/$C$6&gt;G20,$C$7*1/$C$6,G20))</f>
        <v/>
      </c>
      <c r="H21" s="27">
        <f>IF(H18=0,0,IF($C$7*1/$C$6&gt;H20,$C$7*1/$C$6,H20))</f>
        <v/>
      </c>
      <c r="I21" s="27">
        <f>IF(I18=0,0,IF($C$7*1/$C$6&gt;I20,$C$7*1/$C$6,I20))</f>
        <v/>
      </c>
      <c r="J21" s="27">
        <f>IF(J18=0,0,IF($C$7*1/$C$6&gt;J20,$C$7*1/$C$6,J20))</f>
        <v/>
      </c>
      <c r="K21" s="27">
        <f>IF(K18=0,0,IF($C$7*1/$C$6&gt;K20,$C$7*1/$C$6,K20))</f>
        <v/>
      </c>
      <c r="L21" s="27">
        <f>IF(L18=0,0,IF($C$7*1/$C$6&gt;L20,$C$7*1/$C$6,L20))</f>
        <v/>
      </c>
      <c r="M21" s="27">
        <f>IF(M18=0,0,IF($C$7*1/$C$6&gt;M20,$C$7*1/$C$6,M20))</f>
        <v/>
      </c>
    </row>
    <row r="22">
      <c r="A22" s="22" t="inlineStr">
        <is>
          <t>Charge d'amortissement</t>
        </is>
      </c>
      <c r="B22" s="22" t="inlineStr">
        <is>
          <t>USD</t>
        </is>
      </c>
      <c r="D22" s="8">
        <f>D19*D21</f>
        <v/>
      </c>
      <c r="E22" s="8">
        <f>E19*E21</f>
        <v/>
      </c>
      <c r="F22" s="8">
        <f>F19*F21</f>
        <v/>
      </c>
      <c r="G22" s="8">
        <f>G19*G21</f>
        <v/>
      </c>
      <c r="H22" s="8">
        <f>H19*H21</f>
        <v/>
      </c>
      <c r="I22" s="8">
        <f>I19*I21</f>
        <v/>
      </c>
      <c r="J22" s="8">
        <f>J19*J21</f>
        <v/>
      </c>
      <c r="K22" s="8">
        <f>K19*K21</f>
        <v/>
      </c>
      <c r="L22" s="8">
        <f>L19*L21</f>
        <v/>
      </c>
      <c r="M22" s="8">
        <f>M19*M21</f>
        <v/>
      </c>
    </row>
    <row r="23">
      <c r="A23" s="22" t="inlineStr">
        <is>
          <t>Amortissement restant</t>
        </is>
      </c>
      <c r="B23" s="22" t="inlineStr">
        <is>
          <t>USD</t>
        </is>
      </c>
      <c r="D23" s="8">
        <f>D19-D22</f>
        <v/>
      </c>
      <c r="E23" s="8">
        <f>E19-E22</f>
        <v/>
      </c>
      <c r="F23" s="8">
        <f>F19-F22</f>
        <v/>
      </c>
      <c r="G23" s="8">
        <f>G19-G22</f>
        <v/>
      </c>
      <c r="H23" s="8">
        <f>H19-H22</f>
        <v/>
      </c>
      <c r="I23" s="8">
        <f>I19-I22</f>
        <v/>
      </c>
      <c r="J23" s="8">
        <f>J19-J22</f>
        <v/>
      </c>
      <c r="K23" s="8">
        <f>K19-K22</f>
        <v/>
      </c>
      <c r="L23" s="8">
        <f>L19-L22</f>
        <v/>
      </c>
      <c r="M23" s="8">
        <f>M19-M22</f>
        <v/>
      </c>
    </row>
    <row r="24">
      <c r="A24" s="22" t="n"/>
      <c r="B24" s="22" t="n"/>
    </row>
    <row r="25">
      <c r="A25" s="2" t="inlineStr">
        <is>
          <t>Amortissements des constructions industrielles</t>
        </is>
      </c>
      <c r="B25" s="22" t="inlineStr">
        <is>
          <t>USD</t>
        </is>
      </c>
      <c r="C25" s="8">
        <f>C$14+C$22</f>
        <v/>
      </c>
      <c r="D25" s="8">
        <f>D$14+D$22</f>
        <v/>
      </c>
      <c r="E25" s="8">
        <f>E$14+E$22</f>
        <v/>
      </c>
      <c r="F25" s="8">
        <f>F$14+F$22</f>
        <v/>
      </c>
      <c r="G25" s="8">
        <f>G$14+G$22</f>
        <v/>
      </c>
      <c r="H25" s="8">
        <f>H$14+H$22</f>
        <v/>
      </c>
      <c r="I25" s="8">
        <f>I$14+I$22</f>
        <v/>
      </c>
      <c r="J25" s="8">
        <f>J$14+J$22</f>
        <v/>
      </c>
      <c r="K25" s="8">
        <f>K$14+K$22</f>
        <v/>
      </c>
      <c r="L25" s="8">
        <f>L$14+L$22</f>
        <v/>
      </c>
      <c r="M25" s="8">
        <f>M$14+M$22</f>
        <v/>
      </c>
    </row>
    <row r="26">
      <c r="A26" s="22" t="n"/>
      <c r="B26" s="22" t="n"/>
    </row>
    <row r="27">
      <c r="A27" s="5" t="inlineStr">
        <is>
          <t>II. AMORTISSEMENTS DES BIENS D'EQUIPEMENT</t>
        </is>
      </c>
      <c r="B27" s="24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</row>
    <row r="28">
      <c r="A28" s="2" t="inlineStr">
        <is>
          <t>Durée d'amortissement linéaire</t>
        </is>
      </c>
      <c r="B28" s="22" t="inlineStr">
        <is>
          <t>Années</t>
        </is>
      </c>
      <c r="C28" s="19" t="n">
        <v>5</v>
      </c>
    </row>
    <row r="29">
      <c r="A29" s="2" t="inlineStr">
        <is>
          <t>Coefficient d'amortissement dégressif</t>
        </is>
      </c>
      <c r="B29" s="22" t="inlineStr">
        <is>
          <t>Coefficient</t>
        </is>
      </c>
      <c r="C29" s="19" t="n">
        <v>2</v>
      </c>
    </row>
    <row r="30">
      <c r="A30" s="22" t="n"/>
      <c r="B30" s="22" t="n"/>
    </row>
    <row r="31">
      <c r="A31" s="2" t="inlineStr">
        <is>
          <t>Immobilisations de l'année A1</t>
        </is>
      </c>
      <c r="B31" s="22" t="n"/>
    </row>
    <row r="32">
      <c r="A32" s="22" t="inlineStr">
        <is>
          <t>Durée restante</t>
        </is>
      </c>
      <c r="B32" s="22" t="inlineStr">
        <is>
          <t>Années</t>
        </is>
      </c>
      <c r="C32" s="23">
        <f>IF($C$28&lt;C$3,$C$28,C$3)</f>
        <v/>
      </c>
      <c r="D32" s="8">
        <f>IF(C32=0,0,IF(C32-1&lt;D$3,C32-1,D$3))</f>
        <v/>
      </c>
      <c r="E32" s="8">
        <f>IF(D32=0,0,IF(D32-1&lt;E$3,D32-1,E$3))</f>
        <v/>
      </c>
      <c r="F32" s="8">
        <f>IF(E32=0,0,IF(E32-1&lt;F$3,E32-1,F$3))</f>
        <v/>
      </c>
      <c r="G32" s="8">
        <f>IF(F32=0,0,IF(F32-1&lt;G$3,F32-1,G$3))</f>
        <v/>
      </c>
      <c r="H32" s="8">
        <f>IF(G32=0,0,IF(G32-1&lt;H$3,G32-1,H$3))</f>
        <v/>
      </c>
      <c r="I32" s="8">
        <f>IF(H32=0,0,IF(H32-1&lt;I$3,H32-1,I$3))</f>
        <v/>
      </c>
      <c r="J32" s="8">
        <f>IF(I32=0,0,IF(I32-1&lt;J$3,I32-1,J$3))</f>
        <v/>
      </c>
      <c r="K32" s="8">
        <f>IF(J32=0,0,IF(J32-1&lt;K$3,J32-1,K$3))</f>
        <v/>
      </c>
      <c r="L32" s="8">
        <f>IF(K32=0,0,IF(K32-1&lt;L$3,K32-1,L$3))</f>
        <v/>
      </c>
      <c r="M32" s="8">
        <f>IF(L32=0,0,IF(L32-1&lt;M$3,L32-1,M$3))</f>
        <v/>
      </c>
    </row>
    <row r="33">
      <c r="A33" s="22" t="inlineStr">
        <is>
          <t>Base amortissable</t>
        </is>
      </c>
      <c r="B33" s="22" t="inlineStr">
        <is>
          <t>USD</t>
        </is>
      </c>
      <c r="C33" s="23">
        <f>Modèle!C$10</f>
        <v/>
      </c>
      <c r="D33" s="8">
        <f>C37</f>
        <v/>
      </c>
      <c r="E33" s="8">
        <f>D37</f>
        <v/>
      </c>
      <c r="F33" s="8">
        <f>E37</f>
        <v/>
      </c>
      <c r="G33" s="8">
        <f>F37</f>
        <v/>
      </c>
      <c r="H33" s="8">
        <f>G37</f>
        <v/>
      </c>
      <c r="I33" s="8">
        <f>H37</f>
        <v/>
      </c>
      <c r="J33" s="8">
        <f>I37</f>
        <v/>
      </c>
      <c r="K33" s="8">
        <f>J37</f>
        <v/>
      </c>
      <c r="L33" s="8">
        <f>K37</f>
        <v/>
      </c>
      <c r="M33" s="8">
        <f>L37</f>
        <v/>
      </c>
    </row>
    <row r="34">
      <c r="A34" s="22" t="inlineStr">
        <is>
          <t>Inverse de la durée restante</t>
        </is>
      </c>
      <c r="B34" s="22" t="inlineStr">
        <is>
          <t>%</t>
        </is>
      </c>
      <c r="C34" s="27">
        <f>IF(C32=0,0,1/C32)</f>
        <v/>
      </c>
      <c r="D34" s="27">
        <f>IF(D32=0,0,1/D32)</f>
        <v/>
      </c>
      <c r="E34" s="27">
        <f>IF(E32=0,0,1/E32)</f>
        <v/>
      </c>
      <c r="F34" s="27">
        <f>IF(F32=0,0,1/F32)</f>
        <v/>
      </c>
      <c r="G34" s="27">
        <f>IF(G32=0,0,1/G32)</f>
        <v/>
      </c>
      <c r="H34" s="27">
        <f>IF(H32=0,0,1/H32)</f>
        <v/>
      </c>
      <c r="I34" s="27">
        <f>IF(I32=0,0,1/I32)</f>
        <v/>
      </c>
      <c r="J34" s="27">
        <f>IF(J32=0,0,1/J32)</f>
        <v/>
      </c>
      <c r="K34" s="27">
        <f>IF(K32=0,0,1/K32)</f>
        <v/>
      </c>
      <c r="L34" s="27">
        <f>IF(L32=0,0,1/L32)</f>
        <v/>
      </c>
      <c r="M34" s="27">
        <f>IF(M32=0,0,1/M32)</f>
        <v/>
      </c>
    </row>
    <row r="35">
      <c r="A35" s="22" t="inlineStr">
        <is>
          <t>Taux dégressif</t>
        </is>
      </c>
      <c r="B35" s="22" t="inlineStr">
        <is>
          <t>%</t>
        </is>
      </c>
      <c r="C35" s="27">
        <f>IF(C32=0,0,IF($C$29*1/$C$28&gt;C34,$C$29*1/$C$28,C34))</f>
        <v/>
      </c>
      <c r="D35" s="27">
        <f>IF(D32=0,0,IF($C$29*1/$C$28&gt;D34,$C$29*1/$C$28,D34))</f>
        <v/>
      </c>
      <c r="E35" s="27">
        <f>IF(E32=0,0,IF($C$29*1/$C$28&gt;E34,$C$29*1/$C$28,E34))</f>
        <v/>
      </c>
      <c r="F35" s="27">
        <f>IF(F32=0,0,IF($C$29*1/$C$28&gt;F34,$C$29*1/$C$28,F34))</f>
        <v/>
      </c>
      <c r="G35" s="27">
        <f>IF(G32=0,0,IF($C$29*1/$C$28&gt;G34,$C$29*1/$C$28,G34))</f>
        <v/>
      </c>
      <c r="H35" s="27">
        <f>IF(H32=0,0,IF($C$29*1/$C$28&gt;H34,$C$29*1/$C$28,H34))</f>
        <v/>
      </c>
      <c r="I35" s="27">
        <f>IF(I32=0,0,IF($C$29*1/$C$28&gt;I34,$C$29*1/$C$28,I34))</f>
        <v/>
      </c>
      <c r="J35" s="27">
        <f>IF(J32=0,0,IF($C$29*1/$C$28&gt;J34,$C$29*1/$C$28,J34))</f>
        <v/>
      </c>
      <c r="K35" s="27">
        <f>IF(K32=0,0,IF($C$29*1/$C$28&gt;K34,$C$29*1/$C$28,K34))</f>
        <v/>
      </c>
      <c r="L35" s="27">
        <f>IF(L32=0,0,IF($C$29*1/$C$28&gt;L34,$C$29*1/$C$28,L34))</f>
        <v/>
      </c>
      <c r="M35" s="27">
        <f>IF(M32=0,0,IF($C$29*1/$C$28&gt;M34,$C$29*1/$C$28,M34))</f>
        <v/>
      </c>
    </row>
    <row r="36">
      <c r="A36" s="22" t="inlineStr">
        <is>
          <t>Charge d'amortissement</t>
        </is>
      </c>
      <c r="B36" s="22" t="inlineStr">
        <is>
          <t>USD</t>
        </is>
      </c>
      <c r="C36" s="8">
        <f>C33*C35</f>
        <v/>
      </c>
      <c r="D36" s="8">
        <f>D33*D35</f>
        <v/>
      </c>
      <c r="E36" s="8">
        <f>E33*E35</f>
        <v/>
      </c>
      <c r="F36" s="8">
        <f>F33*F35</f>
        <v/>
      </c>
      <c r="G36" s="8">
        <f>G33*G35</f>
        <v/>
      </c>
      <c r="H36" s="8">
        <f>H33*H35</f>
        <v/>
      </c>
      <c r="I36" s="8">
        <f>I33*I35</f>
        <v/>
      </c>
      <c r="J36" s="8">
        <f>J33*J35</f>
        <v/>
      </c>
      <c r="K36" s="8">
        <f>K33*K35</f>
        <v/>
      </c>
      <c r="L36" s="8">
        <f>L33*L35</f>
        <v/>
      </c>
      <c r="M36" s="8">
        <f>M33*M35</f>
        <v/>
      </c>
    </row>
    <row r="37">
      <c r="A37" s="22" t="inlineStr">
        <is>
          <t>Amortissement restant</t>
        </is>
      </c>
      <c r="B37" s="22" t="inlineStr">
        <is>
          <t>USD</t>
        </is>
      </c>
      <c r="C37" s="8">
        <f>C33-C36</f>
        <v/>
      </c>
      <c r="D37" s="8">
        <f>D33-D36</f>
        <v/>
      </c>
      <c r="E37" s="8">
        <f>E33-E36</f>
        <v/>
      </c>
      <c r="F37" s="8">
        <f>F33-F36</f>
        <v/>
      </c>
      <c r="G37" s="8">
        <f>G33-G36</f>
        <v/>
      </c>
      <c r="H37" s="8">
        <f>H33-H36</f>
        <v/>
      </c>
      <c r="I37" s="8">
        <f>I33-I36</f>
        <v/>
      </c>
      <c r="J37" s="8">
        <f>J33-J36</f>
        <v/>
      </c>
      <c r="K37" s="8">
        <f>K33-K36</f>
        <v/>
      </c>
      <c r="L37" s="8">
        <f>L33-L36</f>
        <v/>
      </c>
      <c r="M37" s="8">
        <f>M33-M36</f>
        <v/>
      </c>
    </row>
    <row r="38">
      <c r="A38" s="22" t="n"/>
      <c r="B38" s="22" t="n"/>
    </row>
    <row r="39">
      <c r="A39" s="2" t="inlineStr">
        <is>
          <t>Immobilisations de l'année A2</t>
        </is>
      </c>
      <c r="B39" s="22" t="n"/>
    </row>
    <row r="40">
      <c r="A40" s="22" t="inlineStr">
        <is>
          <t>Durée restante</t>
        </is>
      </c>
      <c r="B40" s="22" t="inlineStr">
        <is>
          <t>Années</t>
        </is>
      </c>
      <c r="D40" s="23">
        <f>IF($C$28&lt;D$3,$C$28,D$3)</f>
        <v/>
      </c>
      <c r="E40" s="8">
        <f>IF(D40=0,0,IF(D40-1&lt;E$3,D40-1,E$3))</f>
        <v/>
      </c>
      <c r="F40" s="8">
        <f>IF(E40=0,0,IF(E40-1&lt;F$3,E40-1,F$3))</f>
        <v/>
      </c>
      <c r="G40" s="8">
        <f>IF(F40=0,0,IF(F40-1&lt;G$3,F40-1,G$3))</f>
        <v/>
      </c>
      <c r="H40" s="8">
        <f>IF(G40=0,0,IF(G40-1&lt;H$3,G40-1,H$3))</f>
        <v/>
      </c>
      <c r="I40" s="8">
        <f>IF(H40=0,0,IF(H40-1&lt;I$3,H40-1,I$3))</f>
        <v/>
      </c>
      <c r="J40" s="8">
        <f>IF(I40=0,0,IF(I40-1&lt;J$3,I40-1,J$3))</f>
        <v/>
      </c>
      <c r="K40" s="8">
        <f>IF(J40=0,0,IF(J40-1&lt;K$3,J40-1,K$3))</f>
        <v/>
      </c>
      <c r="L40" s="8">
        <f>IF(K40=0,0,IF(K40-1&lt;L$3,K40-1,L$3))</f>
        <v/>
      </c>
      <c r="M40" s="8">
        <f>IF(L40=0,0,IF(L40-1&lt;M$3,L40-1,M$3))</f>
        <v/>
      </c>
    </row>
    <row r="41">
      <c r="A41" s="22" t="inlineStr">
        <is>
          <t>Base amortissable</t>
        </is>
      </c>
      <c r="B41" s="22" t="inlineStr">
        <is>
          <t>USD</t>
        </is>
      </c>
      <c r="D41" s="23">
        <f>Modèle!D$10</f>
        <v/>
      </c>
      <c r="E41" s="8">
        <f>D45</f>
        <v/>
      </c>
      <c r="F41" s="8">
        <f>E45</f>
        <v/>
      </c>
      <c r="G41" s="8">
        <f>F45</f>
        <v/>
      </c>
      <c r="H41" s="8">
        <f>G45</f>
        <v/>
      </c>
      <c r="I41" s="8">
        <f>H45</f>
        <v/>
      </c>
      <c r="J41" s="8">
        <f>I45</f>
        <v/>
      </c>
      <c r="K41" s="8">
        <f>J45</f>
        <v/>
      </c>
      <c r="L41" s="8">
        <f>K45</f>
        <v/>
      </c>
      <c r="M41" s="8">
        <f>L45</f>
        <v/>
      </c>
    </row>
    <row r="42">
      <c r="A42" s="22" t="inlineStr">
        <is>
          <t>Inverse de la durée restante</t>
        </is>
      </c>
      <c r="B42" s="22" t="inlineStr">
        <is>
          <t>%</t>
        </is>
      </c>
      <c r="D42" s="27">
        <f>IF(D40=0,0,1/D40)</f>
        <v/>
      </c>
      <c r="E42" s="27">
        <f>IF(E40=0,0,1/E40)</f>
        <v/>
      </c>
      <c r="F42" s="27">
        <f>IF(F40=0,0,1/F40)</f>
        <v/>
      </c>
      <c r="G42" s="27">
        <f>IF(G40=0,0,1/G40)</f>
        <v/>
      </c>
      <c r="H42" s="27">
        <f>IF(H40=0,0,1/H40)</f>
        <v/>
      </c>
      <c r="I42" s="27">
        <f>IF(I40=0,0,1/I40)</f>
        <v/>
      </c>
      <c r="J42" s="27">
        <f>IF(J40=0,0,1/J40)</f>
        <v/>
      </c>
      <c r="K42" s="27">
        <f>IF(K40=0,0,1/K40)</f>
        <v/>
      </c>
      <c r="L42" s="27">
        <f>IF(L40=0,0,1/L40)</f>
        <v/>
      </c>
      <c r="M42" s="27">
        <f>IF(M40=0,0,1/M40)</f>
        <v/>
      </c>
    </row>
    <row r="43">
      <c r="A43" s="22" t="inlineStr">
        <is>
          <t>Taux dégressif</t>
        </is>
      </c>
      <c r="B43" s="22" t="inlineStr">
        <is>
          <t>%</t>
        </is>
      </c>
      <c r="D43" s="27">
        <f>IF(D40=0,0,IF($C$29*1/$C$28&gt;D42,$C$29*1/$C$28,D42))</f>
        <v/>
      </c>
      <c r="E43" s="27">
        <f>IF(E40=0,0,IF($C$29*1/$C$28&gt;E42,$C$29*1/$C$28,E42))</f>
        <v/>
      </c>
      <c r="F43" s="27">
        <f>IF(F40=0,0,IF($C$29*1/$C$28&gt;F42,$C$29*1/$C$28,F42))</f>
        <v/>
      </c>
      <c r="G43" s="27">
        <f>IF(G40=0,0,IF($C$29*1/$C$28&gt;G42,$C$29*1/$C$28,G42))</f>
        <v/>
      </c>
      <c r="H43" s="27">
        <f>IF(H40=0,0,IF($C$29*1/$C$28&gt;H42,$C$29*1/$C$28,H42))</f>
        <v/>
      </c>
      <c r="I43" s="27">
        <f>IF(I40=0,0,IF($C$29*1/$C$28&gt;I42,$C$29*1/$C$28,I42))</f>
        <v/>
      </c>
      <c r="J43" s="27">
        <f>IF(J40=0,0,IF($C$29*1/$C$28&gt;J42,$C$29*1/$C$28,J42))</f>
        <v/>
      </c>
      <c r="K43" s="27">
        <f>IF(K40=0,0,IF($C$29*1/$C$28&gt;K42,$C$29*1/$C$28,K42))</f>
        <v/>
      </c>
      <c r="L43" s="27">
        <f>IF(L40=0,0,IF($C$29*1/$C$28&gt;L42,$C$29*1/$C$28,L42))</f>
        <v/>
      </c>
      <c r="M43" s="27">
        <f>IF(M40=0,0,IF($C$29*1/$C$28&gt;M42,$C$29*1/$C$28,M42))</f>
        <v/>
      </c>
    </row>
    <row r="44">
      <c r="A44" s="22" t="inlineStr">
        <is>
          <t>Charge d'amortissement</t>
        </is>
      </c>
      <c r="B44" s="22" t="inlineStr">
        <is>
          <t>USD</t>
        </is>
      </c>
      <c r="D44" s="8">
        <f>D41*D43</f>
        <v/>
      </c>
      <c r="E44" s="8">
        <f>E41*E43</f>
        <v/>
      </c>
      <c r="F44" s="8">
        <f>F41*F43</f>
        <v/>
      </c>
      <c r="G44" s="8">
        <f>G41*G43</f>
        <v/>
      </c>
      <c r="H44" s="8">
        <f>H41*H43</f>
        <v/>
      </c>
      <c r="I44" s="8">
        <f>I41*I43</f>
        <v/>
      </c>
      <c r="J44" s="8">
        <f>J41*J43</f>
        <v/>
      </c>
      <c r="K44" s="8">
        <f>K41*K43</f>
        <v/>
      </c>
      <c r="L44" s="8">
        <f>L41*L43</f>
        <v/>
      </c>
      <c r="M44" s="8">
        <f>M41*M43</f>
        <v/>
      </c>
    </row>
    <row r="45">
      <c r="A45" s="22" t="inlineStr">
        <is>
          <t>Amortissement restant</t>
        </is>
      </c>
      <c r="B45" s="22" t="inlineStr">
        <is>
          <t>USD</t>
        </is>
      </c>
      <c r="D45" s="8">
        <f>D41-D44</f>
        <v/>
      </c>
      <c r="E45" s="8">
        <f>E41-E44</f>
        <v/>
      </c>
      <c r="F45" s="8">
        <f>F41-F44</f>
        <v/>
      </c>
      <c r="G45" s="8">
        <f>G41-G44</f>
        <v/>
      </c>
      <c r="H45" s="8">
        <f>H41-H44</f>
        <v/>
      </c>
      <c r="I45" s="8">
        <f>I41-I44</f>
        <v/>
      </c>
      <c r="J45" s="8">
        <f>J41-J44</f>
        <v/>
      </c>
      <c r="K45" s="8">
        <f>K41-K44</f>
        <v/>
      </c>
      <c r="L45" s="8">
        <f>L41-L44</f>
        <v/>
      </c>
      <c r="M45" s="8">
        <f>M41-M44</f>
        <v/>
      </c>
    </row>
    <row r="46">
      <c r="A46" s="22" t="n"/>
      <c r="B46" s="22" t="n"/>
    </row>
    <row r="47">
      <c r="A47" s="2" t="inlineStr">
        <is>
          <t>Immobilisations de l'année A3</t>
        </is>
      </c>
      <c r="B47" s="22" t="n"/>
    </row>
    <row r="48">
      <c r="A48" s="22" t="inlineStr">
        <is>
          <t>Durée restante</t>
        </is>
      </c>
      <c r="B48" s="22" t="inlineStr">
        <is>
          <t>Années</t>
        </is>
      </c>
      <c r="E48" s="23">
        <f>IF($C$28&lt;E$3,$C$28,E$3)</f>
        <v/>
      </c>
      <c r="F48" s="8">
        <f>IF(E48=0,0,IF(E48-1&lt;F$3,E48-1,F$3))</f>
        <v/>
      </c>
      <c r="G48" s="8">
        <f>IF(F48=0,0,IF(F48-1&lt;G$3,F48-1,G$3))</f>
        <v/>
      </c>
      <c r="H48" s="8">
        <f>IF(G48=0,0,IF(G48-1&lt;H$3,G48-1,H$3))</f>
        <v/>
      </c>
      <c r="I48" s="8">
        <f>IF(H48=0,0,IF(H48-1&lt;I$3,H48-1,I$3))</f>
        <v/>
      </c>
      <c r="J48" s="8">
        <f>IF(I48=0,0,IF(I48-1&lt;J$3,I48-1,J$3))</f>
        <v/>
      </c>
      <c r="K48" s="8">
        <f>IF(J48=0,0,IF(J48-1&lt;K$3,J48-1,K$3))</f>
        <v/>
      </c>
      <c r="L48" s="8">
        <f>IF(K48=0,0,IF(K48-1&lt;L$3,K48-1,L$3))</f>
        <v/>
      </c>
      <c r="M48" s="8">
        <f>IF(L48=0,0,IF(L48-1&lt;M$3,L48-1,M$3))</f>
        <v/>
      </c>
    </row>
    <row r="49">
      <c r="A49" s="22" t="inlineStr">
        <is>
          <t>Base amortissable</t>
        </is>
      </c>
      <c r="B49" s="22" t="inlineStr">
        <is>
          <t>USD</t>
        </is>
      </c>
      <c r="E49" s="23">
        <f>Modèle!E$10</f>
        <v/>
      </c>
      <c r="F49" s="8">
        <f>E53</f>
        <v/>
      </c>
      <c r="G49" s="8">
        <f>F53</f>
        <v/>
      </c>
      <c r="H49" s="8">
        <f>G53</f>
        <v/>
      </c>
      <c r="I49" s="8">
        <f>H53</f>
        <v/>
      </c>
      <c r="J49" s="8">
        <f>I53</f>
        <v/>
      </c>
      <c r="K49" s="8">
        <f>J53</f>
        <v/>
      </c>
      <c r="L49" s="8">
        <f>K53</f>
        <v/>
      </c>
      <c r="M49" s="8">
        <f>L53</f>
        <v/>
      </c>
    </row>
    <row r="50">
      <c r="A50" s="22" t="inlineStr">
        <is>
          <t>Inverse de la durée restante</t>
        </is>
      </c>
      <c r="B50" s="22" t="inlineStr">
        <is>
          <t>%</t>
        </is>
      </c>
      <c r="E50" s="27">
        <f>IF(E48=0,0,1/E48)</f>
        <v/>
      </c>
      <c r="F50" s="27">
        <f>IF(F48=0,0,1/F48)</f>
        <v/>
      </c>
      <c r="G50" s="27">
        <f>IF(G48=0,0,1/G48)</f>
        <v/>
      </c>
      <c r="H50" s="27">
        <f>IF(H48=0,0,1/H48)</f>
        <v/>
      </c>
      <c r="I50" s="27">
        <f>IF(I48=0,0,1/I48)</f>
        <v/>
      </c>
      <c r="J50" s="27">
        <f>IF(J48=0,0,1/J48)</f>
        <v/>
      </c>
      <c r="K50" s="27">
        <f>IF(K48=0,0,1/K48)</f>
        <v/>
      </c>
      <c r="L50" s="27">
        <f>IF(L48=0,0,1/L48)</f>
        <v/>
      </c>
      <c r="M50" s="27">
        <f>IF(M48=0,0,1/M48)</f>
        <v/>
      </c>
    </row>
    <row r="51">
      <c r="A51" s="22" t="inlineStr">
        <is>
          <t>Taux dégressif</t>
        </is>
      </c>
      <c r="B51" s="22" t="inlineStr">
        <is>
          <t>%</t>
        </is>
      </c>
      <c r="E51" s="27">
        <f>IF(E48=0,0,IF($C$29*1/$C$28&gt;E50,$C$29*1/$C$28,E50))</f>
        <v/>
      </c>
      <c r="F51" s="27">
        <f>IF(F48=0,0,IF($C$29*1/$C$28&gt;F50,$C$29*1/$C$28,F50))</f>
        <v/>
      </c>
      <c r="G51" s="27">
        <f>IF(G48=0,0,IF($C$29*1/$C$28&gt;G50,$C$29*1/$C$28,G50))</f>
        <v/>
      </c>
      <c r="H51" s="27">
        <f>IF(H48=0,0,IF($C$29*1/$C$28&gt;H50,$C$29*1/$C$28,H50))</f>
        <v/>
      </c>
      <c r="I51" s="27">
        <f>IF(I48=0,0,IF($C$29*1/$C$28&gt;I50,$C$29*1/$C$28,I50))</f>
        <v/>
      </c>
      <c r="J51" s="27">
        <f>IF(J48=0,0,IF($C$29*1/$C$28&gt;J50,$C$29*1/$C$28,J50))</f>
        <v/>
      </c>
      <c r="K51" s="27">
        <f>IF(K48=0,0,IF($C$29*1/$C$28&gt;K50,$C$29*1/$C$28,K50))</f>
        <v/>
      </c>
      <c r="L51" s="27">
        <f>IF(L48=0,0,IF($C$29*1/$C$28&gt;L50,$C$29*1/$C$28,L50))</f>
        <v/>
      </c>
      <c r="M51" s="27">
        <f>IF(M48=0,0,IF($C$29*1/$C$28&gt;M50,$C$29*1/$C$28,M50))</f>
        <v/>
      </c>
    </row>
    <row r="52">
      <c r="A52" s="22" t="inlineStr">
        <is>
          <t>Charge d'amortissement</t>
        </is>
      </c>
      <c r="B52" s="22" t="inlineStr">
        <is>
          <t>USD</t>
        </is>
      </c>
      <c r="E52" s="8">
        <f>E49*E51</f>
        <v/>
      </c>
      <c r="F52" s="8">
        <f>F49*F51</f>
        <v/>
      </c>
      <c r="G52" s="8">
        <f>G49*G51</f>
        <v/>
      </c>
      <c r="H52" s="8">
        <f>H49*H51</f>
        <v/>
      </c>
      <c r="I52" s="8">
        <f>I49*I51</f>
        <v/>
      </c>
      <c r="J52" s="8">
        <f>J49*J51</f>
        <v/>
      </c>
      <c r="K52" s="8">
        <f>K49*K51</f>
        <v/>
      </c>
      <c r="L52" s="8">
        <f>L49*L51</f>
        <v/>
      </c>
      <c r="M52" s="8">
        <f>M49*M51</f>
        <v/>
      </c>
    </row>
    <row r="53">
      <c r="A53" s="22" t="inlineStr">
        <is>
          <t>Amortissement restant</t>
        </is>
      </c>
      <c r="B53" s="22" t="inlineStr">
        <is>
          <t>USD</t>
        </is>
      </c>
      <c r="E53" s="8">
        <f>E49-E52</f>
        <v/>
      </c>
      <c r="F53" s="8">
        <f>F49-F52</f>
        <v/>
      </c>
      <c r="G53" s="8">
        <f>G49-G52</f>
        <v/>
      </c>
      <c r="H53" s="8">
        <f>H49-H52</f>
        <v/>
      </c>
      <c r="I53" s="8">
        <f>I49-I52</f>
        <v/>
      </c>
      <c r="J53" s="8">
        <f>J49-J52</f>
        <v/>
      </c>
      <c r="K53" s="8">
        <f>K49-K52</f>
        <v/>
      </c>
      <c r="L53" s="8">
        <f>L49-L52</f>
        <v/>
      </c>
      <c r="M53" s="8">
        <f>M49-M52</f>
        <v/>
      </c>
    </row>
    <row r="54">
      <c r="A54" s="22" t="n"/>
      <c r="B54" s="22" t="n"/>
    </row>
    <row r="55">
      <c r="A55" s="2" t="inlineStr">
        <is>
          <t>Immobilisations de l'année A4</t>
        </is>
      </c>
      <c r="B55" s="22" t="n"/>
    </row>
    <row r="56">
      <c r="A56" s="22" t="inlineStr">
        <is>
          <t>Durée restante</t>
        </is>
      </c>
      <c r="B56" s="22" t="inlineStr">
        <is>
          <t>Années</t>
        </is>
      </c>
      <c r="F56" s="23">
        <f>IF($C$28&lt;F$3,$C$28,F$3)</f>
        <v/>
      </c>
      <c r="G56" s="8">
        <f>IF(F56=0,0,IF(F56-1&lt;G$3,F56-1,G$3))</f>
        <v/>
      </c>
      <c r="H56" s="8">
        <f>IF(G56=0,0,IF(G56-1&lt;H$3,G56-1,H$3))</f>
        <v/>
      </c>
      <c r="I56" s="8">
        <f>IF(H56=0,0,IF(H56-1&lt;I$3,H56-1,I$3))</f>
        <v/>
      </c>
      <c r="J56" s="8">
        <f>IF(I56=0,0,IF(I56-1&lt;J$3,I56-1,J$3))</f>
        <v/>
      </c>
      <c r="K56" s="8">
        <f>IF(J56=0,0,IF(J56-1&lt;K$3,J56-1,K$3))</f>
        <v/>
      </c>
      <c r="L56" s="8">
        <f>IF(K56=0,0,IF(K56-1&lt;L$3,K56-1,L$3))</f>
        <v/>
      </c>
      <c r="M56" s="8">
        <f>IF(L56=0,0,IF(L56-1&lt;M$3,L56-1,M$3))</f>
        <v/>
      </c>
    </row>
    <row r="57">
      <c r="A57" s="22" t="inlineStr">
        <is>
          <t>Base amortissable</t>
        </is>
      </c>
      <c r="B57" s="22" t="inlineStr">
        <is>
          <t>USD</t>
        </is>
      </c>
      <c r="F57" s="23">
        <f>Modèle!F$10</f>
        <v/>
      </c>
      <c r="G57" s="8">
        <f>F61</f>
        <v/>
      </c>
      <c r="H57" s="8">
        <f>G61</f>
        <v/>
      </c>
      <c r="I57" s="8">
        <f>H61</f>
        <v/>
      </c>
      <c r="J57" s="8">
        <f>I61</f>
        <v/>
      </c>
      <c r="K57" s="8">
        <f>J61</f>
        <v/>
      </c>
      <c r="L57" s="8">
        <f>K61</f>
        <v/>
      </c>
      <c r="M57" s="8">
        <f>L61</f>
        <v/>
      </c>
    </row>
    <row r="58">
      <c r="A58" s="22" t="inlineStr">
        <is>
          <t>Inverse de la durée restante</t>
        </is>
      </c>
      <c r="B58" s="22" t="inlineStr">
        <is>
          <t>%</t>
        </is>
      </c>
      <c r="F58" s="27">
        <f>IF(F56=0,0,1/F56)</f>
        <v/>
      </c>
      <c r="G58" s="27">
        <f>IF(G56=0,0,1/G56)</f>
        <v/>
      </c>
      <c r="H58" s="27">
        <f>IF(H56=0,0,1/H56)</f>
        <v/>
      </c>
      <c r="I58" s="27">
        <f>IF(I56=0,0,1/I56)</f>
        <v/>
      </c>
      <c r="J58" s="27">
        <f>IF(J56=0,0,1/J56)</f>
        <v/>
      </c>
      <c r="K58" s="27">
        <f>IF(K56=0,0,1/K56)</f>
        <v/>
      </c>
      <c r="L58" s="27">
        <f>IF(L56=0,0,1/L56)</f>
        <v/>
      </c>
      <c r="M58" s="27">
        <f>IF(M56=0,0,1/M56)</f>
        <v/>
      </c>
    </row>
    <row r="59">
      <c r="A59" s="22" t="inlineStr">
        <is>
          <t>Taux dégressif</t>
        </is>
      </c>
      <c r="B59" s="22" t="inlineStr">
        <is>
          <t>%</t>
        </is>
      </c>
      <c r="F59" s="27">
        <f>IF(F56=0,0,IF($C$29*1/$C$28&gt;F58,$C$29*1/$C$28,F58))</f>
        <v/>
      </c>
      <c r="G59" s="27">
        <f>IF(G56=0,0,IF($C$29*1/$C$28&gt;G58,$C$29*1/$C$28,G58))</f>
        <v/>
      </c>
      <c r="H59" s="27">
        <f>IF(H56=0,0,IF($C$29*1/$C$28&gt;H58,$C$29*1/$C$28,H58))</f>
        <v/>
      </c>
      <c r="I59" s="27">
        <f>IF(I56=0,0,IF($C$29*1/$C$28&gt;I58,$C$29*1/$C$28,I58))</f>
        <v/>
      </c>
      <c r="J59" s="27">
        <f>IF(J56=0,0,IF($C$29*1/$C$28&gt;J58,$C$29*1/$C$28,J58))</f>
        <v/>
      </c>
      <c r="K59" s="27">
        <f>IF(K56=0,0,IF($C$29*1/$C$28&gt;K58,$C$29*1/$C$28,K58))</f>
        <v/>
      </c>
      <c r="L59" s="27">
        <f>IF(L56=0,0,IF($C$29*1/$C$28&gt;L58,$C$29*1/$C$28,L58))</f>
        <v/>
      </c>
      <c r="M59" s="27">
        <f>IF(M56=0,0,IF($C$29*1/$C$28&gt;M58,$C$29*1/$C$28,M58))</f>
        <v/>
      </c>
    </row>
    <row r="60">
      <c r="A60" s="22" t="inlineStr">
        <is>
          <t>Charge d'amortissement</t>
        </is>
      </c>
      <c r="B60" s="22" t="inlineStr">
        <is>
          <t>USD</t>
        </is>
      </c>
      <c r="F60" s="8">
        <f>F57*F59</f>
        <v/>
      </c>
      <c r="G60" s="8">
        <f>G57*G59</f>
        <v/>
      </c>
      <c r="H60" s="8">
        <f>H57*H59</f>
        <v/>
      </c>
      <c r="I60" s="8">
        <f>I57*I59</f>
        <v/>
      </c>
      <c r="J60" s="8">
        <f>J57*J59</f>
        <v/>
      </c>
      <c r="K60" s="8">
        <f>K57*K59</f>
        <v/>
      </c>
      <c r="L60" s="8">
        <f>L57*L59</f>
        <v/>
      </c>
      <c r="M60" s="8">
        <f>M57*M59</f>
        <v/>
      </c>
    </row>
    <row r="61">
      <c r="A61" s="22" t="inlineStr">
        <is>
          <t>Amortissement restant</t>
        </is>
      </c>
      <c r="B61" s="22" t="inlineStr">
        <is>
          <t>USD</t>
        </is>
      </c>
      <c r="F61" s="8">
        <f>F57-F60</f>
        <v/>
      </c>
      <c r="G61" s="8">
        <f>G57-G60</f>
        <v/>
      </c>
      <c r="H61" s="8">
        <f>H57-H60</f>
        <v/>
      </c>
      <c r="I61" s="8">
        <f>I57-I60</f>
        <v/>
      </c>
      <c r="J61" s="8">
        <f>J57-J60</f>
        <v/>
      </c>
      <c r="K61" s="8">
        <f>K57-K60</f>
        <v/>
      </c>
      <c r="L61" s="8">
        <f>L57-L60</f>
        <v/>
      </c>
      <c r="M61" s="8">
        <f>M57-M60</f>
        <v/>
      </c>
    </row>
    <row r="62">
      <c r="A62" s="22" t="n"/>
      <c r="B62" s="22" t="n"/>
    </row>
    <row r="63">
      <c r="A63" s="2" t="inlineStr">
        <is>
          <t>Immobilisations de l'année A5</t>
        </is>
      </c>
      <c r="B63" s="22" t="n"/>
    </row>
    <row r="64">
      <c r="A64" s="22" t="inlineStr">
        <is>
          <t>Durée restante</t>
        </is>
      </c>
      <c r="B64" s="22" t="inlineStr">
        <is>
          <t>Années</t>
        </is>
      </c>
      <c r="G64" s="23">
        <f>IF($C$28&lt;G$3,$C$28,G$3)</f>
        <v/>
      </c>
      <c r="H64" s="8">
        <f>IF(G64=0,0,IF(G64-1&lt;H$3,G64-1,H$3))</f>
        <v/>
      </c>
      <c r="I64" s="8">
        <f>IF(H64=0,0,IF(H64-1&lt;I$3,H64-1,I$3))</f>
        <v/>
      </c>
      <c r="J64" s="8">
        <f>IF(I64=0,0,IF(I64-1&lt;J$3,I64-1,J$3))</f>
        <v/>
      </c>
      <c r="K64" s="8">
        <f>IF(J64=0,0,IF(J64-1&lt;K$3,J64-1,K$3))</f>
        <v/>
      </c>
      <c r="L64" s="8">
        <f>IF(K64=0,0,IF(K64-1&lt;L$3,K64-1,L$3))</f>
        <v/>
      </c>
      <c r="M64" s="8">
        <f>IF(L64=0,0,IF(L64-1&lt;M$3,L64-1,M$3))</f>
        <v/>
      </c>
    </row>
    <row r="65">
      <c r="A65" s="22" t="inlineStr">
        <is>
          <t>Base amortissable</t>
        </is>
      </c>
      <c r="B65" s="22" t="inlineStr">
        <is>
          <t>USD</t>
        </is>
      </c>
      <c r="G65" s="23">
        <f>Modèle!G$10</f>
        <v/>
      </c>
      <c r="H65" s="8">
        <f>G69</f>
        <v/>
      </c>
      <c r="I65" s="8">
        <f>H69</f>
        <v/>
      </c>
      <c r="J65" s="8">
        <f>I69</f>
        <v/>
      </c>
      <c r="K65" s="8">
        <f>J69</f>
        <v/>
      </c>
      <c r="L65" s="8">
        <f>K69</f>
        <v/>
      </c>
      <c r="M65" s="8">
        <f>L69</f>
        <v/>
      </c>
    </row>
    <row r="66">
      <c r="A66" s="22" t="inlineStr">
        <is>
          <t>Inverse de la durée restante</t>
        </is>
      </c>
      <c r="B66" s="22" t="inlineStr">
        <is>
          <t>%</t>
        </is>
      </c>
      <c r="G66" s="27">
        <f>IF(G64=0,0,1/G64)</f>
        <v/>
      </c>
      <c r="H66" s="27">
        <f>IF(H64=0,0,1/H64)</f>
        <v/>
      </c>
      <c r="I66" s="27">
        <f>IF(I64=0,0,1/I64)</f>
        <v/>
      </c>
      <c r="J66" s="27">
        <f>IF(J64=0,0,1/J64)</f>
        <v/>
      </c>
      <c r="K66" s="27">
        <f>IF(K64=0,0,1/K64)</f>
        <v/>
      </c>
      <c r="L66" s="27">
        <f>IF(L64=0,0,1/L64)</f>
        <v/>
      </c>
      <c r="M66" s="27">
        <f>IF(M64=0,0,1/M64)</f>
        <v/>
      </c>
    </row>
    <row r="67">
      <c r="A67" s="22" t="inlineStr">
        <is>
          <t>Taux dégressif</t>
        </is>
      </c>
      <c r="B67" s="22" t="inlineStr">
        <is>
          <t>%</t>
        </is>
      </c>
      <c r="G67" s="27">
        <f>IF(G64=0,0,IF($C$29*1/$C$28&gt;G66,$C$29*1/$C$28,G66))</f>
        <v/>
      </c>
      <c r="H67" s="27">
        <f>IF(H64=0,0,IF($C$29*1/$C$28&gt;H66,$C$29*1/$C$28,H66))</f>
        <v/>
      </c>
      <c r="I67" s="27">
        <f>IF(I64=0,0,IF($C$29*1/$C$28&gt;I66,$C$29*1/$C$28,I66))</f>
        <v/>
      </c>
      <c r="J67" s="27">
        <f>IF(J64=0,0,IF($C$29*1/$C$28&gt;J66,$C$29*1/$C$28,J66))</f>
        <v/>
      </c>
      <c r="K67" s="27">
        <f>IF(K64=0,0,IF($C$29*1/$C$28&gt;K66,$C$29*1/$C$28,K66))</f>
        <v/>
      </c>
      <c r="L67" s="27">
        <f>IF(L64=0,0,IF($C$29*1/$C$28&gt;L66,$C$29*1/$C$28,L66))</f>
        <v/>
      </c>
      <c r="M67" s="27">
        <f>IF(M64=0,0,IF($C$29*1/$C$28&gt;M66,$C$29*1/$C$28,M66))</f>
        <v/>
      </c>
    </row>
    <row r="68">
      <c r="A68" s="22" t="inlineStr">
        <is>
          <t>Charge d'amortissement</t>
        </is>
      </c>
      <c r="B68" s="22" t="inlineStr">
        <is>
          <t>USD</t>
        </is>
      </c>
      <c r="G68" s="8">
        <f>G65*G67</f>
        <v/>
      </c>
      <c r="H68" s="8">
        <f>H65*H67</f>
        <v/>
      </c>
      <c r="I68" s="8">
        <f>I65*I67</f>
        <v/>
      </c>
      <c r="J68" s="8">
        <f>J65*J67</f>
        <v/>
      </c>
      <c r="K68" s="8">
        <f>K65*K67</f>
        <v/>
      </c>
      <c r="L68" s="8">
        <f>L65*L67</f>
        <v/>
      </c>
      <c r="M68" s="8">
        <f>M65*M67</f>
        <v/>
      </c>
    </row>
    <row r="69">
      <c r="A69" s="22" t="inlineStr">
        <is>
          <t>Amortissement restant</t>
        </is>
      </c>
      <c r="B69" s="22" t="inlineStr">
        <is>
          <t>USD</t>
        </is>
      </c>
      <c r="G69" s="8">
        <f>G65-G68</f>
        <v/>
      </c>
      <c r="H69" s="8">
        <f>H65-H68</f>
        <v/>
      </c>
      <c r="I69" s="8">
        <f>I65-I68</f>
        <v/>
      </c>
      <c r="J69" s="8">
        <f>J65-J68</f>
        <v/>
      </c>
      <c r="K69" s="8">
        <f>K65-K68</f>
        <v/>
      </c>
      <c r="L69" s="8">
        <f>L65-L68</f>
        <v/>
      </c>
      <c r="M69" s="8">
        <f>M65-M68</f>
        <v/>
      </c>
    </row>
    <row r="70">
      <c r="A70" s="22" t="n"/>
      <c r="B70" s="22" t="n"/>
    </row>
    <row r="71">
      <c r="A71" s="2" t="inlineStr">
        <is>
          <t>Immobilisations de l'année A6</t>
        </is>
      </c>
      <c r="B71" s="22" t="n"/>
    </row>
    <row r="72">
      <c r="A72" s="22" t="inlineStr">
        <is>
          <t>Durée restante</t>
        </is>
      </c>
      <c r="B72" s="22" t="inlineStr">
        <is>
          <t>Années</t>
        </is>
      </c>
      <c r="H72" s="23">
        <f>IF($C$28&lt;H$3,$C$28,H$3)</f>
        <v/>
      </c>
      <c r="I72" s="8">
        <f>IF(H72=0,0,IF(H72-1&lt;I$3,H72-1,I$3))</f>
        <v/>
      </c>
      <c r="J72" s="8">
        <f>IF(I72=0,0,IF(I72-1&lt;J$3,I72-1,J$3))</f>
        <v/>
      </c>
      <c r="K72" s="8">
        <f>IF(J72=0,0,IF(J72-1&lt;K$3,J72-1,K$3))</f>
        <v/>
      </c>
      <c r="L72" s="8">
        <f>IF(K72=0,0,IF(K72-1&lt;L$3,K72-1,L$3))</f>
        <v/>
      </c>
      <c r="M72" s="8">
        <f>IF(L72=0,0,IF(L72-1&lt;M$3,L72-1,M$3))</f>
        <v/>
      </c>
    </row>
    <row r="73">
      <c r="A73" s="22" t="inlineStr">
        <is>
          <t>Base amortissable</t>
        </is>
      </c>
      <c r="B73" s="22" t="inlineStr">
        <is>
          <t>USD</t>
        </is>
      </c>
      <c r="H73" s="23">
        <f>Modèle!H$10</f>
        <v/>
      </c>
      <c r="I73" s="8">
        <f>H77</f>
        <v/>
      </c>
      <c r="J73" s="8">
        <f>I77</f>
        <v/>
      </c>
      <c r="K73" s="8">
        <f>J77</f>
        <v/>
      </c>
      <c r="L73" s="8">
        <f>K77</f>
        <v/>
      </c>
      <c r="M73" s="8">
        <f>L77</f>
        <v/>
      </c>
    </row>
    <row r="74">
      <c r="A74" s="22" t="inlineStr">
        <is>
          <t>Inverse de la durée restante</t>
        </is>
      </c>
      <c r="B74" s="22" t="inlineStr">
        <is>
          <t>%</t>
        </is>
      </c>
      <c r="H74" s="27">
        <f>IF(H72=0,0,1/H72)</f>
        <v/>
      </c>
      <c r="I74" s="27">
        <f>IF(I72=0,0,1/I72)</f>
        <v/>
      </c>
      <c r="J74" s="27">
        <f>IF(J72=0,0,1/J72)</f>
        <v/>
      </c>
      <c r="K74" s="27">
        <f>IF(K72=0,0,1/K72)</f>
        <v/>
      </c>
      <c r="L74" s="27">
        <f>IF(L72=0,0,1/L72)</f>
        <v/>
      </c>
      <c r="M74" s="27">
        <f>IF(M72=0,0,1/M72)</f>
        <v/>
      </c>
    </row>
    <row r="75">
      <c r="A75" s="22" t="inlineStr">
        <is>
          <t>Taux dégressif</t>
        </is>
      </c>
      <c r="B75" s="22" t="inlineStr">
        <is>
          <t>%</t>
        </is>
      </c>
      <c r="H75" s="27">
        <f>IF(H72=0,0,IF($C$29*1/$C$28&gt;H74,$C$29*1/$C$28,H74))</f>
        <v/>
      </c>
      <c r="I75" s="27">
        <f>IF(I72=0,0,IF($C$29*1/$C$28&gt;I74,$C$29*1/$C$28,I74))</f>
        <v/>
      </c>
      <c r="J75" s="27">
        <f>IF(J72=0,0,IF($C$29*1/$C$28&gt;J74,$C$29*1/$C$28,J74))</f>
        <v/>
      </c>
      <c r="K75" s="27">
        <f>IF(K72=0,0,IF($C$29*1/$C$28&gt;K74,$C$29*1/$C$28,K74))</f>
        <v/>
      </c>
      <c r="L75" s="27">
        <f>IF(L72=0,0,IF($C$29*1/$C$28&gt;L74,$C$29*1/$C$28,L74))</f>
        <v/>
      </c>
      <c r="M75" s="27">
        <f>IF(M72=0,0,IF($C$29*1/$C$28&gt;M74,$C$29*1/$C$28,M74))</f>
        <v/>
      </c>
    </row>
    <row r="76">
      <c r="A76" s="22" t="inlineStr">
        <is>
          <t>Charge d'amortissement</t>
        </is>
      </c>
      <c r="B76" s="22" t="inlineStr">
        <is>
          <t>USD</t>
        </is>
      </c>
      <c r="H76" s="8">
        <f>H73*H75</f>
        <v/>
      </c>
      <c r="I76" s="8">
        <f>I73*I75</f>
        <v/>
      </c>
      <c r="J76" s="8">
        <f>J73*J75</f>
        <v/>
      </c>
      <c r="K76" s="8">
        <f>K73*K75</f>
        <v/>
      </c>
      <c r="L76" s="8">
        <f>L73*L75</f>
        <v/>
      </c>
      <c r="M76" s="8">
        <f>M73*M75</f>
        <v/>
      </c>
    </row>
    <row r="77">
      <c r="A77" s="22" t="inlineStr">
        <is>
          <t>Amortissement restant</t>
        </is>
      </c>
      <c r="B77" s="22" t="inlineStr">
        <is>
          <t>USD</t>
        </is>
      </c>
      <c r="H77" s="8">
        <f>H73-H76</f>
        <v/>
      </c>
      <c r="I77" s="8">
        <f>I73-I76</f>
        <v/>
      </c>
      <c r="J77" s="8">
        <f>J73-J76</f>
        <v/>
      </c>
      <c r="K77" s="8">
        <f>K73-K76</f>
        <v/>
      </c>
      <c r="L77" s="8">
        <f>L73-L76</f>
        <v/>
      </c>
      <c r="M77" s="8">
        <f>M73-M76</f>
        <v/>
      </c>
    </row>
    <row r="78">
      <c r="A78" s="22" t="n"/>
      <c r="B78" s="22" t="n"/>
    </row>
    <row r="79">
      <c r="A79" s="2" t="inlineStr">
        <is>
          <t>Immobilisations de l'année A7</t>
        </is>
      </c>
      <c r="B79" s="22" t="n"/>
    </row>
    <row r="80">
      <c r="A80" s="22" t="inlineStr">
        <is>
          <t>Durée restante</t>
        </is>
      </c>
      <c r="B80" s="22" t="inlineStr">
        <is>
          <t>Années</t>
        </is>
      </c>
      <c r="I80" s="23">
        <f>IF($C$28&lt;I$3,$C$28,I$3)</f>
        <v/>
      </c>
      <c r="J80" s="8">
        <f>IF(I80=0,0,IF(I80-1&lt;J$3,I80-1,J$3))</f>
        <v/>
      </c>
      <c r="K80" s="8">
        <f>IF(J80=0,0,IF(J80-1&lt;K$3,J80-1,K$3))</f>
        <v/>
      </c>
      <c r="L80" s="8">
        <f>IF(K80=0,0,IF(K80-1&lt;L$3,K80-1,L$3))</f>
        <v/>
      </c>
      <c r="M80" s="8">
        <f>IF(L80=0,0,IF(L80-1&lt;M$3,L80-1,M$3))</f>
        <v/>
      </c>
    </row>
    <row r="81">
      <c r="A81" s="22" t="inlineStr">
        <is>
          <t>Base amortissable</t>
        </is>
      </c>
      <c r="B81" s="22" t="inlineStr">
        <is>
          <t>USD</t>
        </is>
      </c>
      <c r="I81" s="23">
        <f>Modèle!I$10</f>
        <v/>
      </c>
      <c r="J81" s="8">
        <f>I85</f>
        <v/>
      </c>
      <c r="K81" s="8">
        <f>J85</f>
        <v/>
      </c>
      <c r="L81" s="8">
        <f>K85</f>
        <v/>
      </c>
      <c r="M81" s="8">
        <f>L85</f>
        <v/>
      </c>
    </row>
    <row r="82">
      <c r="A82" s="22" t="inlineStr">
        <is>
          <t>Inverse de la durée restante</t>
        </is>
      </c>
      <c r="B82" s="22" t="inlineStr">
        <is>
          <t>%</t>
        </is>
      </c>
      <c r="I82" s="27">
        <f>IF(I80=0,0,1/I80)</f>
        <v/>
      </c>
      <c r="J82" s="27">
        <f>IF(J80=0,0,1/J80)</f>
        <v/>
      </c>
      <c r="K82" s="27">
        <f>IF(K80=0,0,1/K80)</f>
        <v/>
      </c>
      <c r="L82" s="27">
        <f>IF(L80=0,0,1/L80)</f>
        <v/>
      </c>
      <c r="M82" s="27">
        <f>IF(M80=0,0,1/M80)</f>
        <v/>
      </c>
    </row>
    <row r="83">
      <c r="A83" s="22" t="inlineStr">
        <is>
          <t>Taux dégressif</t>
        </is>
      </c>
      <c r="B83" s="22" t="inlineStr">
        <is>
          <t>%</t>
        </is>
      </c>
      <c r="I83" s="27">
        <f>IF(I80=0,0,IF($C$29*1/$C$28&gt;I82,$C$29*1/$C$28,I82))</f>
        <v/>
      </c>
      <c r="J83" s="27">
        <f>IF(J80=0,0,IF($C$29*1/$C$28&gt;J82,$C$29*1/$C$28,J82))</f>
        <v/>
      </c>
      <c r="K83" s="27">
        <f>IF(K80=0,0,IF($C$29*1/$C$28&gt;K82,$C$29*1/$C$28,K82))</f>
        <v/>
      </c>
      <c r="L83" s="27">
        <f>IF(L80=0,0,IF($C$29*1/$C$28&gt;L82,$C$29*1/$C$28,L82))</f>
        <v/>
      </c>
      <c r="M83" s="27">
        <f>IF(M80=0,0,IF($C$29*1/$C$28&gt;M82,$C$29*1/$C$28,M82))</f>
        <v/>
      </c>
    </row>
    <row r="84">
      <c r="A84" s="22" t="inlineStr">
        <is>
          <t>Charge d'amortissement</t>
        </is>
      </c>
      <c r="B84" s="22" t="inlineStr">
        <is>
          <t>USD</t>
        </is>
      </c>
      <c r="I84" s="8">
        <f>I81*I83</f>
        <v/>
      </c>
      <c r="J84" s="8">
        <f>J81*J83</f>
        <v/>
      </c>
      <c r="K84" s="8">
        <f>K81*K83</f>
        <v/>
      </c>
      <c r="L84" s="8">
        <f>L81*L83</f>
        <v/>
      </c>
      <c r="M84" s="8">
        <f>M81*M83</f>
        <v/>
      </c>
    </row>
    <row r="85">
      <c r="A85" s="22" t="inlineStr">
        <is>
          <t>Amortissement restant</t>
        </is>
      </c>
      <c r="B85" s="22" t="inlineStr">
        <is>
          <t>USD</t>
        </is>
      </c>
      <c r="I85" s="8">
        <f>I81-I84</f>
        <v/>
      </c>
      <c r="J85" s="8">
        <f>J81-J84</f>
        <v/>
      </c>
      <c r="K85" s="8">
        <f>K81-K84</f>
        <v/>
      </c>
      <c r="L85" s="8">
        <f>L81-L84</f>
        <v/>
      </c>
      <c r="M85" s="8">
        <f>M81-M84</f>
        <v/>
      </c>
    </row>
    <row r="86">
      <c r="A86" s="22" t="n"/>
      <c r="B86" s="22" t="n"/>
    </row>
    <row r="87">
      <c r="A87" s="2" t="inlineStr">
        <is>
          <t>Immobilisations de l'année A8</t>
        </is>
      </c>
      <c r="B87" s="22" t="n"/>
    </row>
    <row r="88">
      <c r="A88" s="22" t="inlineStr">
        <is>
          <t>Durée restante</t>
        </is>
      </c>
      <c r="B88" s="22" t="inlineStr">
        <is>
          <t>Années</t>
        </is>
      </c>
      <c r="J88" s="23">
        <f>IF($C$28&lt;J$3,$C$28,J$3)</f>
        <v/>
      </c>
      <c r="K88" s="8">
        <f>IF(J88=0,0,IF(J88-1&lt;K$3,J88-1,K$3))</f>
        <v/>
      </c>
      <c r="L88" s="8">
        <f>IF(K88=0,0,IF(K88-1&lt;L$3,K88-1,L$3))</f>
        <v/>
      </c>
      <c r="M88" s="8">
        <f>IF(L88=0,0,IF(L88-1&lt;M$3,L88-1,M$3))</f>
        <v/>
      </c>
    </row>
    <row r="89">
      <c r="A89" s="22" t="inlineStr">
        <is>
          <t>Base amortissable</t>
        </is>
      </c>
      <c r="B89" s="22" t="inlineStr">
        <is>
          <t>USD</t>
        </is>
      </c>
      <c r="J89" s="23">
        <f>Modèle!J$10</f>
        <v/>
      </c>
      <c r="K89" s="8">
        <f>J93</f>
        <v/>
      </c>
      <c r="L89" s="8">
        <f>K93</f>
        <v/>
      </c>
      <c r="M89" s="8">
        <f>L93</f>
        <v/>
      </c>
    </row>
    <row r="90">
      <c r="A90" s="22" t="inlineStr">
        <is>
          <t>Inverse de la durée restante</t>
        </is>
      </c>
      <c r="B90" s="22" t="inlineStr">
        <is>
          <t>%</t>
        </is>
      </c>
      <c r="J90" s="27">
        <f>IF(J88=0,0,1/J88)</f>
        <v/>
      </c>
      <c r="K90" s="27">
        <f>IF(K88=0,0,1/K88)</f>
        <v/>
      </c>
      <c r="L90" s="27">
        <f>IF(L88=0,0,1/L88)</f>
        <v/>
      </c>
      <c r="M90" s="27">
        <f>IF(M88=0,0,1/M88)</f>
        <v/>
      </c>
    </row>
    <row r="91">
      <c r="A91" s="22" t="inlineStr">
        <is>
          <t>Taux dégressif</t>
        </is>
      </c>
      <c r="B91" s="22" t="inlineStr">
        <is>
          <t>%</t>
        </is>
      </c>
      <c r="J91" s="27">
        <f>IF(J88=0,0,IF($C$29*1/$C$28&gt;J90,$C$29*1/$C$28,J90))</f>
        <v/>
      </c>
      <c r="K91" s="27">
        <f>IF(K88=0,0,IF($C$29*1/$C$28&gt;K90,$C$29*1/$C$28,K90))</f>
        <v/>
      </c>
      <c r="L91" s="27">
        <f>IF(L88=0,0,IF($C$29*1/$C$28&gt;L90,$C$29*1/$C$28,L90))</f>
        <v/>
      </c>
      <c r="M91" s="27">
        <f>IF(M88=0,0,IF($C$29*1/$C$28&gt;M90,$C$29*1/$C$28,M90))</f>
        <v/>
      </c>
    </row>
    <row r="92">
      <c r="A92" s="22" t="inlineStr">
        <is>
          <t>Charge d'amortissement</t>
        </is>
      </c>
      <c r="B92" s="22" t="inlineStr">
        <is>
          <t>USD</t>
        </is>
      </c>
      <c r="J92" s="8">
        <f>J89*J91</f>
        <v/>
      </c>
      <c r="K92" s="8">
        <f>K89*K91</f>
        <v/>
      </c>
      <c r="L92" s="8">
        <f>L89*L91</f>
        <v/>
      </c>
      <c r="M92" s="8">
        <f>M89*M91</f>
        <v/>
      </c>
    </row>
    <row r="93">
      <c r="A93" s="22" t="inlineStr">
        <is>
          <t>Amortissement restant</t>
        </is>
      </c>
      <c r="B93" s="22" t="inlineStr">
        <is>
          <t>USD</t>
        </is>
      </c>
      <c r="J93" s="8">
        <f>J89-J92</f>
        <v/>
      </c>
      <c r="K93" s="8">
        <f>K89-K92</f>
        <v/>
      </c>
      <c r="L93" s="8">
        <f>L89-L92</f>
        <v/>
      </c>
      <c r="M93" s="8">
        <f>M89-M92</f>
        <v/>
      </c>
    </row>
    <row r="94">
      <c r="A94" s="22" t="n"/>
      <c r="B94" s="22" t="n"/>
    </row>
    <row r="95">
      <c r="A95" s="2" t="inlineStr">
        <is>
          <t>Immobilisations de l'année A9</t>
        </is>
      </c>
      <c r="B95" s="22" t="n"/>
    </row>
    <row r="96">
      <c r="A96" s="22" t="inlineStr">
        <is>
          <t>Durée restante</t>
        </is>
      </c>
      <c r="B96" s="22" t="inlineStr">
        <is>
          <t>Années</t>
        </is>
      </c>
      <c r="K96" s="23">
        <f>IF($C$28&lt;K$3,$C$28,K$3)</f>
        <v/>
      </c>
      <c r="L96" s="8">
        <f>IF(K96=0,0,IF(K96-1&lt;L$3,K96-1,L$3))</f>
        <v/>
      </c>
      <c r="M96" s="8">
        <f>IF(L96=0,0,IF(L96-1&lt;M$3,L96-1,M$3))</f>
        <v/>
      </c>
    </row>
    <row r="97">
      <c r="A97" s="22" t="inlineStr">
        <is>
          <t>Base amortissable</t>
        </is>
      </c>
      <c r="B97" s="22" t="inlineStr">
        <is>
          <t>USD</t>
        </is>
      </c>
      <c r="K97" s="23">
        <f>Modèle!K$10</f>
        <v/>
      </c>
      <c r="L97" s="8">
        <f>K101</f>
        <v/>
      </c>
      <c r="M97" s="8">
        <f>L101</f>
        <v/>
      </c>
    </row>
    <row r="98">
      <c r="A98" s="22" t="inlineStr">
        <is>
          <t>Inverse de la durée restante</t>
        </is>
      </c>
      <c r="B98" s="22" t="inlineStr">
        <is>
          <t>%</t>
        </is>
      </c>
      <c r="K98" s="27">
        <f>IF(K96=0,0,1/K96)</f>
        <v/>
      </c>
      <c r="L98" s="27">
        <f>IF(L96=0,0,1/L96)</f>
        <v/>
      </c>
      <c r="M98" s="27">
        <f>IF(M96=0,0,1/M96)</f>
        <v/>
      </c>
    </row>
    <row r="99">
      <c r="A99" s="22" t="inlineStr">
        <is>
          <t>Taux dégressif</t>
        </is>
      </c>
      <c r="B99" s="22" t="inlineStr">
        <is>
          <t>%</t>
        </is>
      </c>
      <c r="K99" s="27">
        <f>IF(K96=0,0,IF($C$29*1/$C$28&gt;K98,$C$29*1/$C$28,K98))</f>
        <v/>
      </c>
      <c r="L99" s="27">
        <f>IF(L96=0,0,IF($C$29*1/$C$28&gt;L98,$C$29*1/$C$28,L98))</f>
        <v/>
      </c>
      <c r="M99" s="27">
        <f>IF(M96=0,0,IF($C$29*1/$C$28&gt;M98,$C$29*1/$C$28,M98))</f>
        <v/>
      </c>
    </row>
    <row r="100">
      <c r="A100" s="22" t="inlineStr">
        <is>
          <t>Charge d'amortissement</t>
        </is>
      </c>
      <c r="B100" s="22" t="inlineStr">
        <is>
          <t>USD</t>
        </is>
      </c>
      <c r="K100" s="8">
        <f>K97*K99</f>
        <v/>
      </c>
      <c r="L100" s="8">
        <f>L97*L99</f>
        <v/>
      </c>
      <c r="M100" s="8">
        <f>M97*M99</f>
        <v/>
      </c>
    </row>
    <row r="101">
      <c r="A101" s="22" t="inlineStr">
        <is>
          <t>Amortissement restant</t>
        </is>
      </c>
      <c r="B101" s="22" t="inlineStr">
        <is>
          <t>USD</t>
        </is>
      </c>
      <c r="K101" s="8">
        <f>K97-K100</f>
        <v/>
      </c>
      <c r="L101" s="8">
        <f>L97-L100</f>
        <v/>
      </c>
      <c r="M101" s="8">
        <f>M97-M100</f>
        <v/>
      </c>
    </row>
    <row r="102">
      <c r="A102" s="22" t="n"/>
      <c r="B102" s="22" t="n"/>
    </row>
    <row r="103">
      <c r="A103" s="2" t="inlineStr">
        <is>
          <t>Immobilisations de l'année A10</t>
        </is>
      </c>
      <c r="B103" s="22" t="n"/>
    </row>
    <row r="104">
      <c r="A104" s="22" t="inlineStr">
        <is>
          <t>Durée restante</t>
        </is>
      </c>
      <c r="B104" s="22" t="inlineStr">
        <is>
          <t>Années</t>
        </is>
      </c>
      <c r="L104" s="23">
        <f>IF($C$28&lt;L$3,$C$28,L$3)</f>
        <v/>
      </c>
      <c r="M104" s="8">
        <f>IF(L104=0,0,IF(L104-1&lt;M$3,L104-1,M$3))</f>
        <v/>
      </c>
    </row>
    <row r="105">
      <c r="A105" s="22" t="inlineStr">
        <is>
          <t>Base amortissable</t>
        </is>
      </c>
      <c r="B105" s="22" t="inlineStr">
        <is>
          <t>USD</t>
        </is>
      </c>
      <c r="L105" s="23">
        <f>Modèle!L$10</f>
        <v/>
      </c>
      <c r="M105" s="8">
        <f>L109</f>
        <v/>
      </c>
    </row>
    <row r="106">
      <c r="A106" s="22" t="inlineStr">
        <is>
          <t>Inverse de la durée restante</t>
        </is>
      </c>
      <c r="B106" s="22" t="inlineStr">
        <is>
          <t>%</t>
        </is>
      </c>
      <c r="L106" s="27">
        <f>IF(L104=0,0,1/L104)</f>
        <v/>
      </c>
      <c r="M106" s="27">
        <f>IF(M104=0,0,1/M104)</f>
        <v/>
      </c>
    </row>
    <row r="107">
      <c r="A107" s="22" t="inlineStr">
        <is>
          <t>Taux dégressif</t>
        </is>
      </c>
      <c r="B107" s="22" t="inlineStr">
        <is>
          <t>%</t>
        </is>
      </c>
      <c r="L107" s="27">
        <f>IF(L104=0,0,IF($C$29*1/$C$28&gt;L106,$C$29*1/$C$28,L106))</f>
        <v/>
      </c>
      <c r="M107" s="27">
        <f>IF(M104=0,0,IF($C$29*1/$C$28&gt;M106,$C$29*1/$C$28,M106))</f>
        <v/>
      </c>
    </row>
    <row r="108">
      <c r="A108" s="22" t="inlineStr">
        <is>
          <t>Charge d'amortissement</t>
        </is>
      </c>
      <c r="B108" s="22" t="inlineStr">
        <is>
          <t>USD</t>
        </is>
      </c>
      <c r="L108" s="8">
        <f>L105*L107</f>
        <v/>
      </c>
      <c r="M108" s="8">
        <f>M105*M107</f>
        <v/>
      </c>
    </row>
    <row r="109">
      <c r="A109" s="22" t="inlineStr">
        <is>
          <t>Amortissement restant</t>
        </is>
      </c>
      <c r="B109" s="22" t="inlineStr">
        <is>
          <t>USD</t>
        </is>
      </c>
      <c r="L109" s="8">
        <f>L105-L108</f>
        <v/>
      </c>
      <c r="M109" s="8">
        <f>M105-M108</f>
        <v/>
      </c>
    </row>
    <row r="110">
      <c r="A110" s="22" t="n"/>
      <c r="B110" s="22" t="n"/>
    </row>
    <row r="111">
      <c r="A111" s="2" t="inlineStr">
        <is>
          <t>Immobilisations de l'année A11</t>
        </is>
      </c>
      <c r="B111" s="22" t="n"/>
    </row>
    <row r="112">
      <c r="A112" s="22" t="inlineStr">
        <is>
          <t>Durée restante</t>
        </is>
      </c>
      <c r="B112" s="22" t="inlineStr">
        <is>
          <t>Années</t>
        </is>
      </c>
      <c r="M112" s="23">
        <f>IF($C$28&lt;M$3,$C$28,M$3)</f>
        <v/>
      </c>
    </row>
    <row r="113">
      <c r="A113" s="22" t="inlineStr">
        <is>
          <t>Base amortissable</t>
        </is>
      </c>
      <c r="B113" s="22" t="inlineStr">
        <is>
          <t>USD</t>
        </is>
      </c>
      <c r="M113" s="23">
        <f>Modèle!M$10</f>
        <v/>
      </c>
    </row>
    <row r="114">
      <c r="A114" s="22" t="inlineStr">
        <is>
          <t>Inverse de la durée restante</t>
        </is>
      </c>
      <c r="B114" s="22" t="inlineStr">
        <is>
          <t>%</t>
        </is>
      </c>
      <c r="M114" s="27">
        <f>IF(M112=0,0,1/M112)</f>
        <v/>
      </c>
    </row>
    <row r="115">
      <c r="A115" s="22" t="inlineStr">
        <is>
          <t>Taux dégressif</t>
        </is>
      </c>
      <c r="B115" s="22" t="inlineStr">
        <is>
          <t>%</t>
        </is>
      </c>
      <c r="M115" s="27">
        <f>IF(M112=0,0,IF($C$29*1/$C$28&gt;M114,$C$29*1/$C$28,M114))</f>
        <v/>
      </c>
    </row>
    <row r="116">
      <c r="A116" s="22" t="inlineStr">
        <is>
          <t>Charge d'amortissement</t>
        </is>
      </c>
      <c r="B116" s="22" t="inlineStr">
        <is>
          <t>USD</t>
        </is>
      </c>
      <c r="M116" s="8">
        <f>M113*M115</f>
        <v/>
      </c>
    </row>
    <row r="117">
      <c r="A117" s="22" t="inlineStr">
        <is>
          <t>Amortissement restant</t>
        </is>
      </c>
      <c r="B117" s="22" t="inlineStr">
        <is>
          <t>USD</t>
        </is>
      </c>
      <c r="M117" s="8">
        <f>M113-M116</f>
        <v/>
      </c>
    </row>
    <row r="118">
      <c r="A118" s="22" t="n"/>
      <c r="B118" s="22" t="n"/>
    </row>
    <row r="119">
      <c r="A119" s="2" t="inlineStr">
        <is>
          <t>Amortissements des biens d'équipement</t>
        </is>
      </c>
      <c r="B119" s="22" t="inlineStr">
        <is>
          <t>USD</t>
        </is>
      </c>
      <c r="C119" s="8">
        <f>C$36+C$44+C$52+C$60+C$68+C$76+C$84+C$92+C$100+C$108+C$116</f>
        <v/>
      </c>
      <c r="D119" s="8">
        <f>D$36+D$44+D$52+D$60+D$68+D$76+D$84+D$92+D$100+D$108+D$116</f>
        <v/>
      </c>
      <c r="E119" s="8">
        <f>E$36+E$44+E$52+E$60+E$68+E$76+E$84+E$92+E$100+E$108+E$116</f>
        <v/>
      </c>
      <c r="F119" s="8">
        <f>F$36+F$44+F$52+F$60+F$68+F$76+F$84+F$92+F$100+F$108+F$116</f>
        <v/>
      </c>
      <c r="G119" s="8">
        <f>G$36+G$44+G$52+G$60+G$68+G$76+G$84+G$92+G$100+G$108+G$116</f>
        <v/>
      </c>
      <c r="H119" s="8">
        <f>H$36+H$44+H$52+H$60+H$68+H$76+H$84+H$92+H$100+H$108+H$116</f>
        <v/>
      </c>
      <c r="I119" s="8">
        <f>I$36+I$44+I$52+I$60+I$68+I$76+I$84+I$92+I$100+I$108+I$116</f>
        <v/>
      </c>
      <c r="J119" s="8">
        <f>J$36+J$44+J$52+J$60+J$68+J$76+J$84+J$92+J$100+J$108+J$116</f>
        <v/>
      </c>
      <c r="K119" s="8">
        <f>K$36+K$44+K$52+K$60+K$68+K$76+K$84+K$92+K$100+K$108+K$116</f>
        <v/>
      </c>
      <c r="L119" s="8">
        <f>L$36+L$44+L$52+L$60+L$68+L$76+L$84+L$92+L$100+L$108+L$116</f>
        <v/>
      </c>
      <c r="M119" s="8">
        <f>M$36+M$44+M$52+M$60+M$68+M$76+M$84+M$92+M$100+M$108+M$116</f>
        <v/>
      </c>
    </row>
    <row r="120">
      <c r="A120" s="22" t="n"/>
      <c r="B120" s="22" t="n"/>
    </row>
    <row r="121">
      <c r="A121" s="5" t="inlineStr">
        <is>
          <t>III. AMORTISSEMENTS DES DEPENSES DE REHABILITATION</t>
        </is>
      </c>
      <c r="B121" s="24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</row>
    <row r="122">
      <c r="A122" s="2" t="inlineStr">
        <is>
          <t>Durée d'amortissement linéaire</t>
        </is>
      </c>
      <c r="B122" s="22" t="inlineStr">
        <is>
          <t>Années</t>
        </is>
      </c>
      <c r="C122" s="19" t="n">
        <v>1</v>
      </c>
    </row>
    <row r="123">
      <c r="A123" s="2" t="inlineStr">
        <is>
          <t>Coefficient d'amortissement dégressif</t>
        </is>
      </c>
      <c r="B123" s="22" t="inlineStr">
        <is>
          <t>Coefficient</t>
        </is>
      </c>
      <c r="C123" s="19" t="n">
        <v>1</v>
      </c>
    </row>
    <row r="124">
      <c r="A124" s="22" t="n"/>
      <c r="B124" s="22" t="n"/>
    </row>
    <row r="125">
      <c r="A125" s="2" t="inlineStr">
        <is>
          <t>Immobilisations de l'année A11</t>
        </is>
      </c>
      <c r="B125" s="22" t="n"/>
    </row>
    <row r="126">
      <c r="A126" s="22" t="inlineStr">
        <is>
          <t>Durée restante</t>
        </is>
      </c>
      <c r="B126" s="22" t="inlineStr">
        <is>
          <t>Années</t>
        </is>
      </c>
      <c r="M126" s="23">
        <f>IF($C$122&lt;M$3,$C$122,M$3)</f>
        <v/>
      </c>
    </row>
    <row r="127">
      <c r="A127" s="22" t="inlineStr">
        <is>
          <t>Base amortissable</t>
        </is>
      </c>
      <c r="B127" s="22" t="inlineStr">
        <is>
          <t>USD</t>
        </is>
      </c>
      <c r="M127" s="23">
        <f>Modèle!M$11</f>
        <v/>
      </c>
    </row>
    <row r="128">
      <c r="A128" s="22" t="inlineStr">
        <is>
          <t>Inverse de la durée restante</t>
        </is>
      </c>
      <c r="B128" s="22" t="inlineStr">
        <is>
          <t>%</t>
        </is>
      </c>
      <c r="M128" s="27">
        <f>IF(M126=0,0,1/M126)</f>
        <v/>
      </c>
    </row>
    <row r="129">
      <c r="A129" s="22" t="inlineStr">
        <is>
          <t>Taux dégressif</t>
        </is>
      </c>
      <c r="B129" s="22" t="inlineStr">
        <is>
          <t>%</t>
        </is>
      </c>
      <c r="M129" s="27">
        <f>IF(M126=0,0,IF($C$123*1/$C$122&gt;M128,$C$123*1/$C$122,M128))</f>
        <v/>
      </c>
    </row>
    <row r="130">
      <c r="A130" s="22" t="inlineStr">
        <is>
          <t>Charge d'amortissement</t>
        </is>
      </c>
      <c r="B130" s="22" t="inlineStr">
        <is>
          <t>USD</t>
        </is>
      </c>
      <c r="M130" s="8">
        <f>M127*M129</f>
        <v/>
      </c>
    </row>
    <row r="131">
      <c r="A131" s="22" t="inlineStr">
        <is>
          <t>Amortissement restant</t>
        </is>
      </c>
      <c r="B131" s="22" t="inlineStr">
        <is>
          <t>USD</t>
        </is>
      </c>
      <c r="M131" s="8">
        <f>M127-M130</f>
        <v/>
      </c>
    </row>
    <row r="132">
      <c r="A132" s="22" t="n"/>
      <c r="B132" s="22" t="n"/>
    </row>
    <row r="133">
      <c r="A133" s="2" t="inlineStr">
        <is>
          <t>Amortissements des dépenses de réhabilitation</t>
        </is>
      </c>
      <c r="B133" s="22" t="inlineStr">
        <is>
          <t>USD</t>
        </is>
      </c>
      <c r="C133" s="8">
        <f>C130</f>
        <v/>
      </c>
      <c r="D133" s="8">
        <f>D130</f>
        <v/>
      </c>
      <c r="E133" s="8">
        <f>E130</f>
        <v/>
      </c>
      <c r="F133" s="8">
        <f>F130</f>
        <v/>
      </c>
      <c r="G133" s="8">
        <f>G130</f>
        <v/>
      </c>
      <c r="H133" s="8">
        <f>H130</f>
        <v/>
      </c>
      <c r="I133" s="8">
        <f>I130</f>
        <v/>
      </c>
      <c r="J133" s="8">
        <f>J130</f>
        <v/>
      </c>
      <c r="K133" s="8">
        <f>K130</f>
        <v/>
      </c>
      <c r="L133" s="8">
        <f>L130</f>
        <v/>
      </c>
      <c r="M133" s="8">
        <f>M130</f>
        <v/>
      </c>
    </row>
    <row r="134">
      <c r="A134" s="22" t="n"/>
      <c r="B134" s="22" t="n"/>
    </row>
    <row r="135">
      <c r="A135" s="5" t="inlineStr">
        <is>
          <t>IV. CHARGES FINANCIERES</t>
        </is>
      </c>
      <c r="B135" s="24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</row>
    <row r="136">
      <c r="A136" s="2" t="inlineStr">
        <is>
          <t>Emprunt</t>
        </is>
      </c>
      <c r="B136" s="22" t="n"/>
    </row>
    <row r="137">
      <c r="A137" s="22" t="inlineStr">
        <is>
          <t>Durée de l'emprunt</t>
        </is>
      </c>
      <c r="B137" s="22" t="inlineStr">
        <is>
          <t>Années</t>
        </is>
      </c>
      <c r="C137" s="19" t="n">
        <v>5</v>
      </c>
    </row>
    <row r="138">
      <c r="A138" s="22" t="inlineStr">
        <is>
          <t>Taux d'intérêt de l'emprunt</t>
        </is>
      </c>
      <c r="B138" s="22" t="inlineStr">
        <is>
          <t>%</t>
        </is>
      </c>
      <c r="C138" s="21" t="n">
        <v>0.1</v>
      </c>
    </row>
    <row r="139">
      <c r="A139" s="2" t="inlineStr">
        <is>
          <t>Régle de sous-capitalisation</t>
        </is>
      </c>
      <c r="B139" s="22" t="n"/>
    </row>
    <row r="140">
      <c r="A140" s="22" t="inlineStr">
        <is>
          <t>Taux d'intérêt légal maximum</t>
        </is>
      </c>
      <c r="B140" s="22" t="inlineStr">
        <is>
          <t>%</t>
        </is>
      </c>
      <c r="C140" s="21" t="n">
        <v>0.05</v>
      </c>
    </row>
    <row r="141">
      <c r="A141" s="22" t="n"/>
      <c r="B141" s="22" t="n"/>
    </row>
    <row r="142">
      <c r="A142" s="2" t="inlineStr">
        <is>
          <t>Emprunt de l'année A1</t>
        </is>
      </c>
      <c r="B142" s="22" t="n"/>
    </row>
    <row r="143">
      <c r="A143" s="22" t="inlineStr">
        <is>
          <t>Durée restante</t>
        </is>
      </c>
      <c r="B143" s="22" t="inlineStr">
        <is>
          <t>Années</t>
        </is>
      </c>
      <c r="C143" s="23">
        <f>IF($C$137+1&lt;C$3,$C$137+1,C$3)</f>
        <v/>
      </c>
      <c r="D143" s="8">
        <f>IF(C143=0,0,IF(C143-1&lt;D$3,C143-1,D$3))</f>
        <v/>
      </c>
      <c r="E143" s="8">
        <f>IF(D143=0,0,IF(D143-1&lt;E$3,D143-1,E$3))</f>
        <v/>
      </c>
      <c r="F143" s="8">
        <f>IF(E143=0,0,IF(E143-1&lt;F$3,E143-1,F$3))</f>
        <v/>
      </c>
      <c r="G143" s="8">
        <f>IF(F143=0,0,IF(F143-1&lt;G$3,F143-1,G$3))</f>
        <v/>
      </c>
      <c r="H143" s="8">
        <f>IF(G143=0,0,IF(G143-1&lt;H$3,G143-1,H$3))</f>
        <v/>
      </c>
      <c r="I143" s="8">
        <f>IF(H143=0,0,IF(H143-1&lt;I$3,H143-1,I$3))</f>
        <v/>
      </c>
      <c r="J143" s="8">
        <f>IF(I143=0,0,IF(I143-1&lt;J$3,I143-1,J$3))</f>
        <v/>
      </c>
      <c r="K143" s="8">
        <f>IF(J143=0,0,IF(J143-1&lt;K$3,J143-1,K$3))</f>
        <v/>
      </c>
      <c r="L143" s="8">
        <f>IF(K143=0,0,IF(K143-1&lt;L$3,K143-1,L$3))</f>
        <v/>
      </c>
      <c r="M143" s="8">
        <f>IF(L143=0,0,IF(L143-1&lt;M$3,L143-1,M$3))</f>
        <v/>
      </c>
    </row>
    <row r="144">
      <c r="A144" s="22" t="inlineStr">
        <is>
          <t>Emprunt restant</t>
        </is>
      </c>
      <c r="B144" s="22" t="inlineStr">
        <is>
          <t>USD</t>
        </is>
      </c>
      <c r="C144" s="23">
        <f>Modèle!C$12</f>
        <v/>
      </c>
      <c r="D144" s="8">
        <f>C144-D145</f>
        <v/>
      </c>
      <c r="E144" s="8">
        <f>D144-E145</f>
        <v/>
      </c>
      <c r="F144" s="8">
        <f>E144-F145</f>
        <v/>
      </c>
      <c r="G144" s="8">
        <f>F144-G145</f>
        <v/>
      </c>
      <c r="H144" s="8">
        <f>G144-H145</f>
        <v/>
      </c>
      <c r="I144" s="8">
        <f>H144-I145</f>
        <v/>
      </c>
      <c r="J144" s="8">
        <f>I144-J145</f>
        <v/>
      </c>
      <c r="K144" s="8">
        <f>J144-K145</f>
        <v/>
      </c>
      <c r="L144" s="8">
        <f>K144-L145</f>
        <v/>
      </c>
      <c r="M144" s="8">
        <f>L144-M145</f>
        <v/>
      </c>
    </row>
    <row r="145">
      <c r="A145" s="22" t="inlineStr">
        <is>
          <t>Remboursement du principal</t>
        </is>
      </c>
      <c r="B145" s="22" t="inlineStr">
        <is>
          <t>USD</t>
        </is>
      </c>
      <c r="C145" s="24" t="n"/>
      <c r="D145" s="28">
        <f>IF(D143=0,0,C144/D143)</f>
        <v/>
      </c>
      <c r="E145" s="28">
        <f>IF(E143=0,0,D144/E143)</f>
        <v/>
      </c>
      <c r="F145" s="28">
        <f>IF(F143=0,0,E144/F143)</f>
        <v/>
      </c>
      <c r="G145" s="28">
        <f>IF(G143=0,0,F144/G143)</f>
        <v/>
      </c>
      <c r="H145" s="28">
        <f>IF(H143=0,0,G144/H143)</f>
        <v/>
      </c>
      <c r="I145" s="28">
        <f>IF(I143=0,0,H144/I143)</f>
        <v/>
      </c>
      <c r="J145" s="28">
        <f>IF(J143=0,0,I144/J143)</f>
        <v/>
      </c>
      <c r="K145" s="28">
        <f>IF(K143=0,0,J144/K143)</f>
        <v/>
      </c>
      <c r="L145" s="28">
        <f>IF(L143=0,0,K144/L143)</f>
        <v/>
      </c>
      <c r="M145" s="28">
        <f>IF(M143=0,0,L144/M143)</f>
        <v/>
      </c>
    </row>
    <row r="146">
      <c r="A146" s="22" t="inlineStr">
        <is>
          <t>Intérêts versés</t>
        </is>
      </c>
      <c r="B146" s="22" t="inlineStr">
        <is>
          <t>USD</t>
        </is>
      </c>
      <c r="C146" s="28">
        <f>C144*$C$138</f>
        <v/>
      </c>
      <c r="D146" s="28">
        <f>D144*$C$138</f>
        <v/>
      </c>
      <c r="E146" s="28">
        <f>E144*$C$138</f>
        <v/>
      </c>
      <c r="F146" s="28">
        <f>F144*$C$138</f>
        <v/>
      </c>
      <c r="G146" s="28">
        <f>G144*$C$138</f>
        <v/>
      </c>
      <c r="H146" s="28">
        <f>H144*$C$138</f>
        <v/>
      </c>
      <c r="I146" s="28">
        <f>I144*$C$138</f>
        <v/>
      </c>
      <c r="J146" s="28">
        <f>J144*$C$138</f>
        <v/>
      </c>
      <c r="K146" s="28">
        <f>K144*$C$138</f>
        <v/>
      </c>
      <c r="L146" s="28">
        <f>L144*$C$138</f>
        <v/>
      </c>
      <c r="M146" s="28">
        <f>M144*$C$138</f>
        <v/>
      </c>
    </row>
    <row r="147">
      <c r="A147" s="22" t="inlineStr">
        <is>
          <t>Intérêts déductibles</t>
        </is>
      </c>
      <c r="B147" s="22" t="inlineStr">
        <is>
          <t>USD</t>
        </is>
      </c>
      <c r="C147" s="28">
        <f>IF(C144*$C$140&lt;C146,C144*$C$140,C146)</f>
        <v/>
      </c>
      <c r="D147" s="28">
        <f>IF(D144*$C$140&lt;D146,D144*$C$140,D146)</f>
        <v/>
      </c>
      <c r="E147" s="28">
        <f>IF(E144*$C$140&lt;E146,E144*$C$140,E146)</f>
        <v/>
      </c>
      <c r="F147" s="28">
        <f>IF(F144*$C$140&lt;F146,F144*$C$140,F146)</f>
        <v/>
      </c>
      <c r="G147" s="28">
        <f>IF(G144*$C$140&lt;G146,G144*$C$140,G146)</f>
        <v/>
      </c>
      <c r="H147" s="28">
        <f>IF(H144*$C$140&lt;H146,H144*$C$140,H146)</f>
        <v/>
      </c>
      <c r="I147" s="28">
        <f>IF(I144*$C$140&lt;I146,I144*$C$140,I146)</f>
        <v/>
      </c>
      <c r="J147" s="28">
        <f>IF(J144*$C$140&lt;J146,J144*$C$140,J146)</f>
        <v/>
      </c>
      <c r="K147" s="28">
        <f>IF(K144*$C$140&lt;K146,K144*$C$140,K146)</f>
        <v/>
      </c>
      <c r="L147" s="28">
        <f>IF(L144*$C$140&lt;L146,L144*$C$140,L146)</f>
        <v/>
      </c>
      <c r="M147" s="28">
        <f>IF(M144*$C$140&lt;M146,M144*$C$140,M146)</f>
        <v/>
      </c>
    </row>
    <row r="148">
      <c r="A148" s="22" t="n"/>
      <c r="B148" s="22" t="n"/>
    </row>
    <row r="149">
      <c r="A149" s="2" t="inlineStr">
        <is>
          <t>Emprunt de l'année A2</t>
        </is>
      </c>
      <c r="B149" s="22" t="n"/>
    </row>
    <row r="150">
      <c r="A150" s="22" t="inlineStr">
        <is>
          <t>Durée restante</t>
        </is>
      </c>
      <c r="B150" s="22" t="inlineStr">
        <is>
          <t>Années</t>
        </is>
      </c>
      <c r="D150" s="23">
        <f>IF($C$137+1&lt;D$3,$C$137+1,D$3)</f>
        <v/>
      </c>
      <c r="E150" s="8">
        <f>IF(D150=0,0,IF(D150-1&lt;E$3,D150-1,E$3))</f>
        <v/>
      </c>
      <c r="F150" s="8">
        <f>IF(E150=0,0,IF(E150-1&lt;F$3,E150-1,F$3))</f>
        <v/>
      </c>
      <c r="G150" s="8">
        <f>IF(F150=0,0,IF(F150-1&lt;G$3,F150-1,G$3))</f>
        <v/>
      </c>
      <c r="H150" s="8">
        <f>IF(G150=0,0,IF(G150-1&lt;H$3,G150-1,H$3))</f>
        <v/>
      </c>
      <c r="I150" s="8">
        <f>IF(H150=0,0,IF(H150-1&lt;I$3,H150-1,I$3))</f>
        <v/>
      </c>
      <c r="J150" s="8">
        <f>IF(I150=0,0,IF(I150-1&lt;J$3,I150-1,J$3))</f>
        <v/>
      </c>
      <c r="K150" s="8">
        <f>IF(J150=0,0,IF(J150-1&lt;K$3,J150-1,K$3))</f>
        <v/>
      </c>
      <c r="L150" s="8">
        <f>IF(K150=0,0,IF(K150-1&lt;L$3,K150-1,L$3))</f>
        <v/>
      </c>
      <c r="M150" s="8">
        <f>IF(L150=0,0,IF(L150-1&lt;M$3,L150-1,M$3))</f>
        <v/>
      </c>
    </row>
    <row r="151">
      <c r="A151" s="22" t="inlineStr">
        <is>
          <t>Emprunt restant</t>
        </is>
      </c>
      <c r="B151" s="22" t="inlineStr">
        <is>
          <t>USD</t>
        </is>
      </c>
      <c r="D151" s="23">
        <f>Modèle!D$12</f>
        <v/>
      </c>
      <c r="E151" s="8">
        <f>D151-E152</f>
        <v/>
      </c>
      <c r="F151" s="8">
        <f>E151-F152</f>
        <v/>
      </c>
      <c r="G151" s="8">
        <f>F151-G152</f>
        <v/>
      </c>
      <c r="H151" s="8">
        <f>G151-H152</f>
        <v/>
      </c>
      <c r="I151" s="8">
        <f>H151-I152</f>
        <v/>
      </c>
      <c r="J151" s="8">
        <f>I151-J152</f>
        <v/>
      </c>
      <c r="K151" s="8">
        <f>J151-K152</f>
        <v/>
      </c>
      <c r="L151" s="8">
        <f>K151-L152</f>
        <v/>
      </c>
      <c r="M151" s="8">
        <f>L151-M152</f>
        <v/>
      </c>
    </row>
    <row r="152">
      <c r="A152" s="22" t="inlineStr">
        <is>
          <t>Remboursement du principal</t>
        </is>
      </c>
      <c r="B152" s="22" t="inlineStr">
        <is>
          <t>USD</t>
        </is>
      </c>
      <c r="D152" s="24" t="n"/>
      <c r="E152" s="28">
        <f>IF(E150=0,0,D151/E150)</f>
        <v/>
      </c>
      <c r="F152" s="28">
        <f>IF(F150=0,0,E151/F150)</f>
        <v/>
      </c>
      <c r="G152" s="28">
        <f>IF(G150=0,0,F151/G150)</f>
        <v/>
      </c>
      <c r="H152" s="28">
        <f>IF(H150=0,0,G151/H150)</f>
        <v/>
      </c>
      <c r="I152" s="28">
        <f>IF(I150=0,0,H151/I150)</f>
        <v/>
      </c>
      <c r="J152" s="28">
        <f>IF(J150=0,0,I151/J150)</f>
        <v/>
      </c>
      <c r="K152" s="28">
        <f>IF(K150=0,0,J151/K150)</f>
        <v/>
      </c>
      <c r="L152" s="28">
        <f>IF(L150=0,0,K151/L150)</f>
        <v/>
      </c>
      <c r="M152" s="28">
        <f>IF(M150=0,0,L151/M150)</f>
        <v/>
      </c>
    </row>
    <row r="153">
      <c r="A153" s="22" t="inlineStr">
        <is>
          <t>Intérêts versés</t>
        </is>
      </c>
      <c r="B153" s="22" t="inlineStr">
        <is>
          <t>USD</t>
        </is>
      </c>
      <c r="D153" s="28">
        <f>D151*$C$138</f>
        <v/>
      </c>
      <c r="E153" s="28">
        <f>E151*$C$138</f>
        <v/>
      </c>
      <c r="F153" s="28">
        <f>F151*$C$138</f>
        <v/>
      </c>
      <c r="G153" s="28">
        <f>G151*$C$138</f>
        <v/>
      </c>
      <c r="H153" s="28">
        <f>H151*$C$138</f>
        <v/>
      </c>
      <c r="I153" s="28">
        <f>I151*$C$138</f>
        <v/>
      </c>
      <c r="J153" s="28">
        <f>J151*$C$138</f>
        <v/>
      </c>
      <c r="K153" s="28">
        <f>K151*$C$138</f>
        <v/>
      </c>
      <c r="L153" s="28">
        <f>L151*$C$138</f>
        <v/>
      </c>
      <c r="M153" s="28">
        <f>M151*$C$138</f>
        <v/>
      </c>
    </row>
    <row r="154">
      <c r="A154" s="22" t="inlineStr">
        <is>
          <t>Intérêts déductibles</t>
        </is>
      </c>
      <c r="B154" s="22" t="inlineStr">
        <is>
          <t>USD</t>
        </is>
      </c>
      <c r="D154" s="28">
        <f>IF(D151*$C$140&lt;D153,D151*$C$140,D153)</f>
        <v/>
      </c>
      <c r="E154" s="28">
        <f>IF(E151*$C$140&lt;E153,E151*$C$140,E153)</f>
        <v/>
      </c>
      <c r="F154" s="28">
        <f>IF(F151*$C$140&lt;F153,F151*$C$140,F153)</f>
        <v/>
      </c>
      <c r="G154" s="28">
        <f>IF(G151*$C$140&lt;G153,G151*$C$140,G153)</f>
        <v/>
      </c>
      <c r="H154" s="28">
        <f>IF(H151*$C$140&lt;H153,H151*$C$140,H153)</f>
        <v/>
      </c>
      <c r="I154" s="28">
        <f>IF(I151*$C$140&lt;I153,I151*$C$140,I153)</f>
        <v/>
      </c>
      <c r="J154" s="28">
        <f>IF(J151*$C$140&lt;J153,J151*$C$140,J153)</f>
        <v/>
      </c>
      <c r="K154" s="28">
        <f>IF(K151*$C$140&lt;K153,K151*$C$140,K153)</f>
        <v/>
      </c>
      <c r="L154" s="28">
        <f>IF(L151*$C$140&lt;L153,L151*$C$140,L153)</f>
        <v/>
      </c>
      <c r="M154" s="28">
        <f>IF(M151*$C$140&lt;M153,M151*$C$140,M153)</f>
        <v/>
      </c>
    </row>
    <row r="155">
      <c r="A155" s="22" t="n"/>
      <c r="B155" s="22" t="n"/>
    </row>
    <row r="156">
      <c r="A156" s="2" t="inlineStr">
        <is>
          <t>Total des intérêts versés</t>
        </is>
      </c>
      <c r="B156" s="22" t="inlineStr">
        <is>
          <t>USD</t>
        </is>
      </c>
      <c r="C156" s="8">
        <f>C$146+C$153</f>
        <v/>
      </c>
      <c r="D156" s="8">
        <f>D$146+D$153</f>
        <v/>
      </c>
      <c r="E156" s="8">
        <f>E$146+E$153</f>
        <v/>
      </c>
      <c r="F156" s="8">
        <f>F$146+F$153</f>
        <v/>
      </c>
      <c r="G156" s="8">
        <f>G$146+G$153</f>
        <v/>
      </c>
      <c r="H156" s="8">
        <f>H$146+H$153</f>
        <v/>
      </c>
      <c r="I156" s="8">
        <f>I$146+I$153</f>
        <v/>
      </c>
      <c r="J156" s="8">
        <f>J$146+J$153</f>
        <v/>
      </c>
      <c r="K156" s="8">
        <f>K$146+K$153</f>
        <v/>
      </c>
      <c r="L156" s="8">
        <f>L$146+L$153</f>
        <v/>
      </c>
      <c r="M156" s="8">
        <f>M$146+M$153</f>
        <v/>
      </c>
    </row>
    <row r="157">
      <c r="A157" s="2" t="inlineStr">
        <is>
          <t>Total des intérêts déductibles</t>
        </is>
      </c>
      <c r="B157" s="22" t="inlineStr">
        <is>
          <t>USD</t>
        </is>
      </c>
      <c r="C157" s="8">
        <f>C$147+C$154</f>
        <v/>
      </c>
      <c r="D157" s="8">
        <f>D$147+D$154</f>
        <v/>
      </c>
      <c r="E157" s="8">
        <f>E$147+E$154</f>
        <v/>
      </c>
      <c r="F157" s="8">
        <f>F$147+F$154</f>
        <v/>
      </c>
      <c r="G157" s="8">
        <f>G$147+G$154</f>
        <v/>
      </c>
      <c r="H157" s="8">
        <f>H$147+H$154</f>
        <v/>
      </c>
      <c r="I157" s="8">
        <f>I$147+I$154</f>
        <v/>
      </c>
      <c r="J157" s="8">
        <f>J$147+J$154</f>
        <v/>
      </c>
      <c r="K157" s="8">
        <f>K$147+K$154</f>
        <v/>
      </c>
      <c r="L157" s="8">
        <f>L$147+L$154</f>
        <v/>
      </c>
      <c r="M157" s="8">
        <f>M$147+M$154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cols>
    <col width="40.83203125" customWidth="1" min="1" max="1"/>
    <col width="10.83203125" customWidth="1" min="2" max="2"/>
    <col width="15.83203125" customWidth="1" min="3" max="3"/>
    <col width="10.83203125" customWidth="1" min="16" max="16"/>
  </cols>
  <sheetData>
    <row r="1">
      <c r="A1" s="1" t="inlineStr">
        <is>
          <t>Nom</t>
        </is>
      </c>
      <c r="B1" s="1" t="inlineStr">
        <is>
          <t>Unité</t>
        </is>
      </c>
      <c r="C1" s="1" t="inlineStr">
        <is>
          <t>Année 1</t>
        </is>
      </c>
      <c r="D1" s="1" t="inlineStr">
        <is>
          <t>Année 2</t>
        </is>
      </c>
      <c r="E1" s="1" t="inlineStr">
        <is>
          <t>Année 3</t>
        </is>
      </c>
      <c r="F1" s="1" t="inlineStr">
        <is>
          <t>Année 4</t>
        </is>
      </c>
      <c r="G1" s="1" t="inlineStr">
        <is>
          <t>Année 5</t>
        </is>
      </c>
      <c r="H1" s="1" t="inlineStr">
        <is>
          <t>Année 6</t>
        </is>
      </c>
      <c r="I1" s="1" t="inlineStr">
        <is>
          <t>Année 7</t>
        </is>
      </c>
      <c r="J1" s="1" t="inlineStr">
        <is>
          <t>Année 8</t>
        </is>
      </c>
      <c r="K1" s="1" t="inlineStr">
        <is>
          <t>Année 9</t>
        </is>
      </c>
      <c r="L1" s="1" t="inlineStr">
        <is>
          <t>Année 10</t>
        </is>
      </c>
      <c r="M1" s="1" t="inlineStr">
        <is>
          <t>Année 11</t>
        </is>
      </c>
      <c r="N1" s="1" t="inlineStr">
        <is>
          <t>SOMME</t>
        </is>
      </c>
      <c r="O1" s="1" t="inlineStr">
        <is>
          <t>VAN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5" t="inlineStr">
        <is>
          <t>I. PRODUCTION</t>
        </is>
      </c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</row>
    <row r="4">
      <c r="A4" s="2" t="inlineStr">
        <is>
          <t>Production d'or</t>
        </is>
      </c>
      <c r="B4" s="3" t="inlineStr">
        <is>
          <t>oz</t>
        </is>
      </c>
      <c r="C4" s="8" t="n"/>
      <c r="D4" s="8" t="n"/>
      <c r="E4" s="8" t="n">
        <v>250000</v>
      </c>
      <c r="F4" s="8" t="n">
        <v>250000</v>
      </c>
      <c r="G4" s="8" t="n">
        <v>250000</v>
      </c>
      <c r="H4" s="8" t="n">
        <v>250000</v>
      </c>
      <c r="I4" s="8" t="n">
        <v>250000</v>
      </c>
      <c r="J4" s="8" t="n">
        <v>250000</v>
      </c>
      <c r="K4" s="8" t="n">
        <v>250000</v>
      </c>
      <c r="L4" s="8" t="n">
        <v>250000</v>
      </c>
      <c r="M4" s="8" t="n"/>
      <c r="N4" s="9">
        <f>SUM($C4:$M4)</f>
        <v/>
      </c>
      <c r="O4" s="9" t="n"/>
    </row>
    <row r="5">
      <c r="A5" s="2" t="inlineStr">
        <is>
          <t>Cours de l'or</t>
        </is>
      </c>
      <c r="B5" s="3" t="inlineStr">
        <is>
          <t>USD/oz</t>
        </is>
      </c>
      <c r="C5" s="8" t="n"/>
      <c r="D5" s="8" t="n"/>
      <c r="E5" s="8" t="n">
        <v>1300</v>
      </c>
      <c r="F5" s="8" t="n">
        <v>1300</v>
      </c>
      <c r="G5" s="8" t="n">
        <v>1300</v>
      </c>
      <c r="H5" s="8" t="n">
        <v>1300</v>
      </c>
      <c r="I5" s="8" t="n">
        <v>1300</v>
      </c>
      <c r="J5" s="8" t="n">
        <v>1300</v>
      </c>
      <c r="K5" s="8" t="n">
        <v>1300</v>
      </c>
      <c r="L5" s="8" t="n">
        <v>1300</v>
      </c>
      <c r="M5" s="8" t="n"/>
      <c r="N5" s="9" t="n"/>
      <c r="O5" s="9" t="n"/>
    </row>
    <row r="6">
      <c r="A6" s="2" t="inlineStr">
        <is>
          <t>Chiffre d'affaires</t>
        </is>
      </c>
      <c r="B6" s="3" t="inlineStr">
        <is>
          <t>USD</t>
        </is>
      </c>
      <c r="C6" s="10">
        <f>C$4*C$5</f>
        <v/>
      </c>
      <c r="D6" s="10">
        <f>D$4*D$5</f>
        <v/>
      </c>
      <c r="E6" s="10">
        <f>E$4*E$5</f>
        <v/>
      </c>
      <c r="F6" s="10">
        <f>F$4*F$5</f>
        <v/>
      </c>
      <c r="G6" s="10">
        <f>G$4*G$5</f>
        <v/>
      </c>
      <c r="H6" s="10">
        <f>H$4*H$5</f>
        <v/>
      </c>
      <c r="I6" s="10">
        <f>I$4*I$5</f>
        <v/>
      </c>
      <c r="J6" s="10">
        <f>J$4*J$5</f>
        <v/>
      </c>
      <c r="K6" s="10">
        <f>K$4*K$5</f>
        <v/>
      </c>
      <c r="L6" s="10">
        <f>L$4*L$5</f>
        <v/>
      </c>
      <c r="M6" s="10">
        <f>M$4*M$5</f>
        <v/>
      </c>
      <c r="N6" s="10">
        <f>SUM($C6:$M6)</f>
        <v/>
      </c>
      <c r="O6" s="10">
        <f>$C6+NPV(10%,$D6:$M6)</f>
        <v/>
      </c>
    </row>
    <row r="7">
      <c r="A7" s="2" t="n"/>
      <c r="B7" s="3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5" t="inlineStr">
        <is>
          <t>II. DEPENSES D'INVESTISSEMENT (CAPEX)</t>
        </is>
      </c>
      <c r="B8" s="6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</row>
    <row r="9">
      <c r="A9" s="2" t="inlineStr">
        <is>
          <t>Coûts des construction industrielles</t>
        </is>
      </c>
      <c r="B9" s="3" t="inlineStr">
        <is>
          <t>USD</t>
        </is>
      </c>
      <c r="C9" s="8" t="n">
        <v>50000000</v>
      </c>
      <c r="D9" s="8" t="n">
        <v>100000000</v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9">
        <f>SUM($C9:$M9)</f>
        <v/>
      </c>
      <c r="O9" s="9">
        <f>$C9+NPV(10%,$D9:$M9)</f>
        <v/>
      </c>
    </row>
    <row r="10">
      <c r="A10" s="2" t="inlineStr">
        <is>
          <t>Coûts des biens d'équipement</t>
        </is>
      </c>
      <c r="B10" s="3" t="inlineStr">
        <is>
          <t>USD</t>
        </is>
      </c>
      <c r="C10" s="8" t="n"/>
      <c r="D10" s="8" t="n">
        <v>50000000</v>
      </c>
      <c r="E10" s="8" t="n">
        <v>5000000</v>
      </c>
      <c r="F10" s="8" t="n">
        <v>5000000</v>
      </c>
      <c r="G10" s="8" t="n">
        <v>5000000</v>
      </c>
      <c r="H10" s="8" t="n">
        <v>5000000</v>
      </c>
      <c r="I10" s="8" t="n">
        <v>5000000</v>
      </c>
      <c r="J10" s="8" t="n">
        <v>5000000</v>
      </c>
      <c r="K10" s="8" t="n">
        <v>5000000</v>
      </c>
      <c r="L10" s="8" t="n">
        <v>5000000</v>
      </c>
      <c r="M10" s="8" t="n"/>
      <c r="N10" s="9">
        <f>SUM($C10:$M10)</f>
        <v/>
      </c>
      <c r="O10" s="9">
        <f>$C10+NPV(10%,$D10:$M10)</f>
        <v/>
      </c>
    </row>
    <row r="11">
      <c r="A11" s="2" t="inlineStr">
        <is>
          <t>Coûts de réhabilitation du site</t>
        </is>
      </c>
      <c r="B11" s="3" t="inlineStr">
        <is>
          <t>USD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>
        <v>10000000</v>
      </c>
      <c r="N11" s="9">
        <f>SUM($C11:$M11)</f>
        <v/>
      </c>
      <c r="O11" s="9">
        <f>$C11+NPV(10%,$D11:$M11)</f>
        <v/>
      </c>
    </row>
    <row r="12">
      <c r="A12" s="2" t="inlineStr">
        <is>
          <t>Total des dépenses d'investissement</t>
        </is>
      </c>
      <c r="B12" s="3" t="inlineStr">
        <is>
          <t>USD</t>
        </is>
      </c>
      <c r="C12" s="10">
        <f>SUM(C$9:C$11)</f>
        <v/>
      </c>
      <c r="D12" s="10">
        <f>SUM(D$9:D$11)</f>
        <v/>
      </c>
      <c r="E12" s="10">
        <f>SUM(E$9:E$11)</f>
        <v/>
      </c>
      <c r="F12" s="10">
        <f>SUM(F$9:F$11)</f>
        <v/>
      </c>
      <c r="G12" s="10">
        <f>SUM(G$9:G$11)</f>
        <v/>
      </c>
      <c r="H12" s="10">
        <f>SUM(H$9:H$11)</f>
        <v/>
      </c>
      <c r="I12" s="10">
        <f>SUM(I$9:I$11)</f>
        <v/>
      </c>
      <c r="J12" s="10">
        <f>SUM(J$9:J$11)</f>
        <v/>
      </c>
      <c r="K12" s="10">
        <f>SUM(K$9:K$11)</f>
        <v/>
      </c>
      <c r="L12" s="10">
        <f>SUM(L$9:L$11)</f>
        <v/>
      </c>
      <c r="M12" s="10">
        <f>SUM(M$9:M$11)</f>
        <v/>
      </c>
      <c r="N12" s="10">
        <f>SUM($C12:$M12)</f>
        <v/>
      </c>
      <c r="O12" s="10">
        <f>$C12+NPV(10%,$D12:$M12)</f>
        <v/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5" t="inlineStr">
        <is>
          <t>III. COÛTS D'EXPLOITATION (OPEX)</t>
        </is>
      </c>
      <c r="B14" s="6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</row>
    <row r="15">
      <c r="A15" s="2" t="inlineStr">
        <is>
          <t>Coût moyen d'exploitation</t>
        </is>
      </c>
      <c r="B15" s="3" t="inlineStr">
        <is>
          <t>USD/oz</t>
        </is>
      </c>
      <c r="C15" s="8" t="n"/>
      <c r="D15" s="8" t="n"/>
      <c r="E15" s="8" t="n">
        <v>700</v>
      </c>
      <c r="F15" s="8" t="n">
        <v>700</v>
      </c>
      <c r="G15" s="8" t="n">
        <v>700</v>
      </c>
      <c r="H15" s="8" t="n">
        <v>700</v>
      </c>
      <c r="I15" s="8" t="n">
        <v>700</v>
      </c>
      <c r="J15" s="8" t="n">
        <v>700</v>
      </c>
      <c r="K15" s="8" t="n">
        <v>700</v>
      </c>
      <c r="L15" s="8" t="n">
        <v>700</v>
      </c>
      <c r="M15" s="8" t="n"/>
      <c r="N15" s="12" t="n"/>
      <c r="O15" s="12" t="n"/>
    </row>
    <row r="16">
      <c r="A16" s="2" t="inlineStr">
        <is>
          <t>Total des coûts d'exploitation</t>
        </is>
      </c>
      <c r="B16" s="3" t="inlineStr">
        <is>
          <t>USD</t>
        </is>
      </c>
      <c r="C16" s="10">
        <f>C$4*C$15</f>
        <v/>
      </c>
      <c r="D16" s="10">
        <f>D$4*D$15</f>
        <v/>
      </c>
      <c r="E16" s="10">
        <f>E$4*E$15</f>
        <v/>
      </c>
      <c r="F16" s="10">
        <f>F$4*F$15</f>
        <v/>
      </c>
      <c r="G16" s="10">
        <f>G$4*G$15</f>
        <v/>
      </c>
      <c r="H16" s="10">
        <f>H$4*H$15</f>
        <v/>
      </c>
      <c r="I16" s="10">
        <f>I$4*I$15</f>
        <v/>
      </c>
      <c r="J16" s="10">
        <f>J$4*J$15</f>
        <v/>
      </c>
      <c r="K16" s="10">
        <f>K$4*K$15</f>
        <v/>
      </c>
      <c r="L16" s="10">
        <f>L$4*L$15</f>
        <v/>
      </c>
      <c r="M16" s="10">
        <f>M$4*M$15</f>
        <v/>
      </c>
      <c r="N16" s="10">
        <f>SUM($C16:$M16)</f>
        <v/>
      </c>
      <c r="O16" s="10">
        <f>$C16+NPV(10%,$D16:$M16)</f>
        <v/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5" t="inlineStr">
        <is>
          <t>IV. FLUX NETS DE TRESORERIE AVANT IMPÔTS</t>
        </is>
      </c>
      <c r="B18" s="6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</row>
    <row r="19">
      <c r="A19" s="2" t="inlineStr">
        <is>
          <t>Flux nets de trésorerie avant impôts</t>
        </is>
      </c>
      <c r="B19" s="3" t="inlineStr">
        <is>
          <t>USD</t>
        </is>
      </c>
      <c r="C19" s="10">
        <f>C$6-C$12-C$16</f>
        <v/>
      </c>
      <c r="D19" s="10">
        <f>D$6-D$12-D$16</f>
        <v/>
      </c>
      <c r="E19" s="10">
        <f>E$6-E$12-E$16</f>
        <v/>
      </c>
      <c r="F19" s="10">
        <f>F$6-F$12-F$16</f>
        <v/>
      </c>
      <c r="G19" s="10">
        <f>G$6-G$12-G$16</f>
        <v/>
      </c>
      <c r="H19" s="10">
        <f>H$6-H$12-H$16</f>
        <v/>
      </c>
      <c r="I19" s="10">
        <f>I$6-I$12-I$16</f>
        <v/>
      </c>
      <c r="J19" s="10">
        <f>J$6-J$12-J$16</f>
        <v/>
      </c>
      <c r="K19" s="10">
        <f>K$6-K$12-K$16</f>
        <v/>
      </c>
      <c r="L19" s="10">
        <f>L$6-L$12-L$16</f>
        <v/>
      </c>
      <c r="M19" s="10">
        <f>M$6-M$12-M$16</f>
        <v/>
      </c>
      <c r="N19" s="10">
        <f>SUM($C19:$M19)</f>
        <v/>
      </c>
      <c r="O19" s="10">
        <f>$C19+NPV(10%,$D19:$M19)</f>
        <v/>
      </c>
    </row>
    <row r="20">
      <c r="A20" s="2" t="inlineStr">
        <is>
          <t>Taux de rendement interne avant impôts</t>
        </is>
      </c>
      <c r="B20" s="3" t="inlineStr">
        <is>
          <t>%</t>
        </is>
      </c>
      <c r="C20" s="14">
        <f>IF(ISNUMBER(IRR($C19:C19)),IF(IRR($C19:C19)&gt;0,IRR($C19:C19),""),"")</f>
        <v/>
      </c>
      <c r="D20" s="14">
        <f>IF(ISNUMBER(IRR($C19:D19)),IF(IRR($C19:D19)&gt;0,IRR($C19:D19),""),"")</f>
        <v/>
      </c>
      <c r="E20" s="14">
        <f>IF(ISNUMBER(IRR($C19:E19)),IF(IRR($C19:E19)&gt;0,IRR($C19:E19),""),"")</f>
        <v/>
      </c>
      <c r="F20" s="14">
        <f>IF(ISNUMBER(IRR($C19:F19)),IF(IRR($C19:F19)&gt;0,IRR($C19:F19),""),"")</f>
        <v/>
      </c>
      <c r="G20" s="14">
        <f>IF(ISNUMBER(IRR($C19:G19)),IF(IRR($C19:G19)&gt;0,IRR($C19:G19),""),"")</f>
        <v/>
      </c>
      <c r="H20" s="14">
        <f>IF(ISNUMBER(IRR($C19:H19)),IF(IRR($C19:H19)&gt;0,IRR($C19:H19),""),"")</f>
        <v/>
      </c>
      <c r="I20" s="14">
        <f>IF(ISNUMBER(IRR($C19:I19)),IF(IRR($C19:I19)&gt;0,IRR($C19:I19),""),"")</f>
        <v/>
      </c>
      <c r="J20" s="14">
        <f>IF(ISNUMBER(IRR($C19:J19)),IF(IRR($C19:J19)&gt;0,IRR($C19:J19),""),"")</f>
        <v/>
      </c>
      <c r="K20" s="14">
        <f>IF(ISNUMBER(IRR($C19:K19)),IF(IRR($C19:K19)&gt;0,IRR($C19:K19),""),"")</f>
        <v/>
      </c>
      <c r="L20" s="14">
        <f>IF(ISNUMBER(IRR($C19:L19)),IF(IRR($C19:L19)&gt;0,IRR($C19:L19),""),"")</f>
        <v/>
      </c>
      <c r="M20" s="14">
        <f>IF(ISNUMBER(IRR($C19:M19)),IF(IRR($C19:M19)&gt;0,IRR($C19:M19),""),"")</f>
        <v/>
      </c>
      <c r="N20" s="15" t="n"/>
      <c r="O20" s="15" t="n"/>
    </row>
    <row r="21">
      <c r="A21" s="2" t="n"/>
      <c r="B21" s="3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7" t="n"/>
      <c r="O21" s="17" t="n"/>
    </row>
    <row r="22">
      <c r="A22" s="5" t="inlineStr">
        <is>
          <t>V. DROITS FIXES</t>
        </is>
      </c>
      <c r="B22" s="18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</row>
    <row r="23">
      <c r="A23" s="2" t="inlineStr">
        <is>
          <t>Droits fixes</t>
        </is>
      </c>
      <c r="B23" s="3" t="inlineStr">
        <is>
          <t>USD</t>
        </is>
      </c>
      <c r="C23" s="19" t="n">
        <v>100000</v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0">
        <f>SUM($C23:$M23)</f>
        <v/>
      </c>
      <c r="O23" s="10">
        <f>$C23+NPV(10%,$D23:$M23)</f>
        <v/>
      </c>
    </row>
    <row r="24">
      <c r="A24" s="2" t="n"/>
      <c r="B24" s="3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7" t="n"/>
      <c r="O24" s="17" t="n"/>
    </row>
    <row r="25">
      <c r="A25" s="5" t="inlineStr">
        <is>
          <t>VI. REDEVANCE SUPERFICAIRE</t>
        </is>
      </c>
      <c r="B25" s="6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>
      <c r="A26" s="2" t="inlineStr">
        <is>
          <t>Superficie de la mine</t>
        </is>
      </c>
      <c r="B26" s="3" t="inlineStr">
        <is>
          <t>km²</t>
        </is>
      </c>
      <c r="C26" s="8" t="n">
        <v>100</v>
      </c>
      <c r="D26" s="8" t="n">
        <v>100</v>
      </c>
      <c r="E26" s="8" t="n">
        <v>100</v>
      </c>
      <c r="F26" s="8" t="n">
        <v>100</v>
      </c>
      <c r="G26" s="8" t="n">
        <v>100</v>
      </c>
      <c r="H26" s="8" t="n">
        <v>100</v>
      </c>
      <c r="I26" s="8" t="n">
        <v>100</v>
      </c>
      <c r="J26" s="8" t="n">
        <v>100</v>
      </c>
      <c r="K26" s="8" t="n">
        <v>100</v>
      </c>
      <c r="L26" s="8" t="n">
        <v>100</v>
      </c>
      <c r="M26" s="8" t="n">
        <v>100</v>
      </c>
      <c r="N26" s="12" t="n"/>
      <c r="O26" s="12" t="n"/>
    </row>
    <row r="27">
      <c r="A27" s="2" t="inlineStr">
        <is>
          <t>Montant de la redevance superfiaire</t>
        </is>
      </c>
      <c r="B27" s="3" t="inlineStr">
        <is>
          <t>USD/km²</t>
        </is>
      </c>
      <c r="C27" s="19" t="n">
        <v>100</v>
      </c>
      <c r="D27" s="19" t="n">
        <v>100</v>
      </c>
      <c r="E27" s="19" t="n">
        <v>100</v>
      </c>
      <c r="F27" s="19" t="n">
        <v>100</v>
      </c>
      <c r="G27" s="19" t="n">
        <v>100</v>
      </c>
      <c r="H27" s="19" t="n">
        <v>100</v>
      </c>
      <c r="I27" s="19" t="n">
        <v>100</v>
      </c>
      <c r="J27" s="19" t="n">
        <v>100</v>
      </c>
      <c r="K27" s="19" t="n">
        <v>100</v>
      </c>
      <c r="L27" s="19" t="n">
        <v>100</v>
      </c>
      <c r="M27" s="19" t="n">
        <v>100</v>
      </c>
      <c r="N27" s="12" t="n"/>
      <c r="O27" s="12" t="n"/>
    </row>
    <row r="28">
      <c r="A28" s="2" t="inlineStr">
        <is>
          <t>Redevance superficiaire</t>
        </is>
      </c>
      <c r="B28" s="3" t="inlineStr">
        <is>
          <t>USD</t>
        </is>
      </c>
      <c r="C28" s="10">
        <f>C$26*C$27</f>
        <v/>
      </c>
      <c r="D28" s="10">
        <f>D$26*D$27</f>
        <v/>
      </c>
      <c r="E28" s="10">
        <f>E$26*E$27</f>
        <v/>
      </c>
      <c r="F28" s="10">
        <f>F$26*F$27</f>
        <v/>
      </c>
      <c r="G28" s="10">
        <f>G$26*G$27</f>
        <v/>
      </c>
      <c r="H28" s="10">
        <f>H$26*H$27</f>
        <v/>
      </c>
      <c r="I28" s="10">
        <f>I$26*I$27</f>
        <v/>
      </c>
      <c r="J28" s="10">
        <f>J$26*J$27</f>
        <v/>
      </c>
      <c r="K28" s="10">
        <f>K$26*K$27</f>
        <v/>
      </c>
      <c r="L28" s="10">
        <f>L$26*L$27</f>
        <v/>
      </c>
      <c r="M28" s="10">
        <f>M$26*M$27</f>
        <v/>
      </c>
      <c r="N28" s="10">
        <f>SUM($C28:$M28)</f>
        <v/>
      </c>
      <c r="O28" s="10">
        <f>$C28+NPV(10%,$D28:$M28)</f>
        <v/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5" t="inlineStr">
        <is>
          <t>VII. REDEVANCE MINIERE</t>
        </is>
      </c>
      <c r="B30" s="6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  <row r="31">
      <c r="A31" s="2" t="inlineStr">
        <is>
          <t>Taux de la redevance minière</t>
        </is>
      </c>
      <c r="B31" s="3" t="inlineStr">
        <is>
          <t>%</t>
        </is>
      </c>
      <c r="C31" s="21">
        <f>IF(ISNUMBER(C5),IF(C$5&lt;1300,3%,IF(C$5&lt;1500,4%,5%)),"")</f>
        <v/>
      </c>
      <c r="D31" s="21">
        <f>IF(ISNUMBER(D5),IF(D$5&lt;1300,3%,IF(D$5&lt;1500,4%,5%)),"")</f>
        <v/>
      </c>
      <c r="E31" s="21">
        <f>IF(ISNUMBER(E5),IF(E$5&lt;1300,3%,IF(E$5&lt;1500,4%,5%)),"")</f>
        <v/>
      </c>
      <c r="F31" s="21">
        <f>IF(ISNUMBER(F5),IF(F$5&lt;1300,3%,IF(F$5&lt;1500,4%,5%)),"")</f>
        <v/>
      </c>
      <c r="G31" s="21">
        <f>IF(ISNUMBER(G5),IF(G$5&lt;1300,3%,IF(G$5&lt;1500,4%,5%)),"")</f>
        <v/>
      </c>
      <c r="H31" s="21">
        <f>IF(ISNUMBER(H5),IF(H$5&lt;1300,3%,IF(H$5&lt;1500,4%,5%)),"")</f>
        <v/>
      </c>
      <c r="I31" s="21">
        <f>IF(ISNUMBER(I5),IF(I$5&lt;1300,3%,IF(I$5&lt;1500,4%,5%)),"")</f>
        <v/>
      </c>
      <c r="J31" s="21">
        <f>IF(ISNUMBER(J5),IF(J$5&lt;1300,3%,IF(J$5&lt;1500,4%,5%)),"")</f>
        <v/>
      </c>
      <c r="K31" s="21">
        <f>IF(ISNUMBER(K5),IF(K$5&lt;1300,3%,IF(K$5&lt;1500,4%,5%)),"")</f>
        <v/>
      </c>
      <c r="L31" s="21">
        <f>IF(ISNUMBER(L5),IF(L$5&lt;1300,3%,IF(L$5&lt;1500,4%,5%)),"")</f>
        <v/>
      </c>
      <c r="M31" s="21">
        <f>IF(ISNUMBER(M5),IF(M$5&lt;1300,3%,IF(M$5&lt;1500,4%,5%)),"")</f>
        <v/>
      </c>
      <c r="N31" s="12" t="n"/>
      <c r="O31" s="12" t="n"/>
    </row>
    <row r="32">
      <c r="A32" s="2" t="inlineStr">
        <is>
          <t>Redevance minière</t>
        </is>
      </c>
      <c r="B32" s="3" t="inlineStr">
        <is>
          <t>USD</t>
        </is>
      </c>
      <c r="C32" s="10">
        <f>IF(ISNUMBER(C31),C$6*C$31,0)</f>
        <v/>
      </c>
      <c r="D32" s="10">
        <f>IF(ISNUMBER(D31),D$6*D$31,0)</f>
        <v/>
      </c>
      <c r="E32" s="10">
        <f>IF(ISNUMBER(E31),E$6*E$31,0)</f>
        <v/>
      </c>
      <c r="F32" s="10">
        <f>IF(ISNUMBER(F31),F$6*F$31,0)</f>
        <v/>
      </c>
      <c r="G32" s="10">
        <f>IF(ISNUMBER(G31),G$6*G$31,0)</f>
        <v/>
      </c>
      <c r="H32" s="10">
        <f>IF(ISNUMBER(H31),H$6*H$31,0)</f>
        <v/>
      </c>
      <c r="I32" s="10">
        <f>IF(ISNUMBER(I31),I$6*I$31,0)</f>
        <v/>
      </c>
      <c r="J32" s="10">
        <f>IF(ISNUMBER(J31),J$6*J$31,0)</f>
        <v/>
      </c>
      <c r="K32" s="10">
        <f>IF(ISNUMBER(K31),K$6*K$31,0)</f>
        <v/>
      </c>
      <c r="L32" s="10">
        <f>IF(ISNUMBER(L31),L$6*L$31,0)</f>
        <v/>
      </c>
      <c r="M32" s="10">
        <f>IF(ISNUMBER(M31),M$6*M$31,0)</f>
        <v/>
      </c>
      <c r="N32" s="10">
        <f>SUM($C32:$M32)</f>
        <v/>
      </c>
      <c r="O32" s="10">
        <f>$C32+NPV(10%,$D32:$M32)</f>
        <v/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5" t="inlineStr">
        <is>
          <t>VIII. IMPÔT SUR LES SOCIETES (IS)</t>
        </is>
      </c>
      <c r="B34" s="6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</row>
    <row r="35">
      <c r="A35" s="2" t="inlineStr">
        <is>
          <t>Bénéfice avant report des pertes</t>
        </is>
      </c>
      <c r="B35" s="3" t="inlineStr">
        <is>
          <t>USD</t>
        </is>
      </c>
      <c r="C35" s="9">
        <f>C$6-C$16-C$23-C$28-C$32-'Amortissements et Emprunt'!C$25-'Amortissements et Emprunt'!C$119-'Amortissements et Emprunt'!C133-'Amortissements et Emprunt'!C$157</f>
        <v/>
      </c>
      <c r="D35" s="9">
        <f>D$6-D$16-D$23-D$28-D$32-'Amortissements et Emprunt'!D$25-'Amortissements et Emprunt'!D$119-'Amortissements et Emprunt'!D133-'Amortissements et Emprunt'!D$157</f>
        <v/>
      </c>
      <c r="E35" s="9">
        <f>E$6-E$16-E$23-E$28-E$32-'Amortissements et Emprunt'!E$25-'Amortissements et Emprunt'!E$119-'Amortissements et Emprunt'!E133-'Amortissements et Emprunt'!E$157</f>
        <v/>
      </c>
      <c r="F35" s="9">
        <f>F$6-F$16-F$23-F$28-F$32-'Amortissements et Emprunt'!F$25-'Amortissements et Emprunt'!F$119-'Amortissements et Emprunt'!F133-'Amortissements et Emprunt'!F$157</f>
        <v/>
      </c>
      <c r="G35" s="9">
        <f>G$6-G$16-G$23-G$28-G$32-'Amortissements et Emprunt'!G$25-'Amortissements et Emprunt'!G$119-'Amortissements et Emprunt'!G133-'Amortissements et Emprunt'!G$157</f>
        <v/>
      </c>
      <c r="H35" s="9">
        <f>H$6-H$16-H$23-H$28-H$32-'Amortissements et Emprunt'!H$25-'Amortissements et Emprunt'!H$119-'Amortissements et Emprunt'!H133-'Amortissements et Emprunt'!H$157</f>
        <v/>
      </c>
      <c r="I35" s="9">
        <f>I$6-I$16-I$23-I$28-I$32-'Amortissements et Emprunt'!I$25-'Amortissements et Emprunt'!I$119-'Amortissements et Emprunt'!I133-'Amortissements et Emprunt'!I$157</f>
        <v/>
      </c>
      <c r="J35" s="9">
        <f>J$6-J$16-J$23-J$28-J$32-'Amortissements et Emprunt'!J$25-'Amortissements et Emprunt'!J$119-'Amortissements et Emprunt'!J133-'Amortissements et Emprunt'!J$157</f>
        <v/>
      </c>
      <c r="K35" s="9">
        <f>K$6-K$16-K$23-K$28-K$32-'Amortissements et Emprunt'!K$25-'Amortissements et Emprunt'!K$119-'Amortissements et Emprunt'!K133-'Amortissements et Emprunt'!K$157</f>
        <v/>
      </c>
      <c r="L35" s="9">
        <f>L$6-L$16-L$23-L$28-L$32-'Amortissements et Emprunt'!L$25-'Amortissements et Emprunt'!L$119-'Amortissements et Emprunt'!L133-'Amortissements et Emprunt'!L$157</f>
        <v/>
      </c>
      <c r="M35" s="9">
        <f>M$6-M$16-M$23-M$28-M$32-'Amortissements et Emprunt'!M$25-'Amortissements et Emprunt'!M$119-'Amortissements et Emprunt'!M133-'Amortissements et Emprunt'!M$157</f>
        <v/>
      </c>
      <c r="N35" s="9">
        <f>SUM($C35:$M35)</f>
        <v/>
      </c>
      <c r="O35" s="9">
        <f>$C35+NPV(10%,$D35:$M35)</f>
        <v/>
      </c>
    </row>
    <row r="36">
      <c r="A36" s="2" t="inlineStr">
        <is>
          <t>Report des pertes</t>
        </is>
      </c>
      <c r="B36" s="3" t="inlineStr">
        <is>
          <t>USD</t>
        </is>
      </c>
      <c r="C36" s="9" t="n"/>
      <c r="D36" s="9">
        <f>IF(C37&lt;0,C37,0)</f>
        <v/>
      </c>
      <c r="E36" s="9">
        <f>IF(D37&lt;0,D37,0)</f>
        <v/>
      </c>
      <c r="F36" s="9">
        <f>IF(E37&lt;0,E37,0)</f>
        <v/>
      </c>
      <c r="G36" s="9">
        <f>IF(F37&lt;0,F37,0)</f>
        <v/>
      </c>
      <c r="H36" s="9">
        <f>IF(G37&lt;0,G37,0)</f>
        <v/>
      </c>
      <c r="I36" s="9">
        <f>IF(H37&lt;0,H37,0)</f>
        <v/>
      </c>
      <c r="J36" s="9">
        <f>IF(I37&lt;0,I37,0)</f>
        <v/>
      </c>
      <c r="K36" s="9">
        <f>IF(J37&lt;0,J37,0)</f>
        <v/>
      </c>
      <c r="L36" s="9">
        <f>IF(K37&lt;0,K37,0)</f>
        <v/>
      </c>
      <c r="M36" s="9">
        <f>IF(L37&lt;0,L37,0)</f>
        <v/>
      </c>
      <c r="N36" s="12" t="n"/>
      <c r="O36" s="12" t="n"/>
    </row>
    <row r="37">
      <c r="A37" s="2" t="inlineStr">
        <is>
          <t>Bénéfice fiscal</t>
        </is>
      </c>
      <c r="B37" s="3" t="inlineStr">
        <is>
          <t>USD</t>
        </is>
      </c>
      <c r="C37" s="9">
        <f>C$35+C$36</f>
        <v/>
      </c>
      <c r="D37" s="9">
        <f>D$35+D$36</f>
        <v/>
      </c>
      <c r="E37" s="9">
        <f>E$35+E$36</f>
        <v/>
      </c>
      <c r="F37" s="9">
        <f>F$35+F$36</f>
        <v/>
      </c>
      <c r="G37" s="9">
        <f>G$35+G$36</f>
        <v/>
      </c>
      <c r="H37" s="9">
        <f>H$35+H$36</f>
        <v/>
      </c>
      <c r="I37" s="9">
        <f>I$35+I$36</f>
        <v/>
      </c>
      <c r="J37" s="9">
        <f>J$35+J$36</f>
        <v/>
      </c>
      <c r="K37" s="9">
        <f>K$35+K$36</f>
        <v/>
      </c>
      <c r="L37" s="9">
        <f>L$35+L$36</f>
        <v/>
      </c>
      <c r="M37" s="9">
        <f>M$35+M$36</f>
        <v/>
      </c>
      <c r="N37" s="9">
        <f>SUM($C37:$M37)</f>
        <v/>
      </c>
      <c r="O37" s="9">
        <f>$C37+NPV(10%,$D37:$M37)</f>
        <v/>
      </c>
    </row>
    <row r="38">
      <c r="A38" s="2" t="inlineStr">
        <is>
          <t>Taux de l'impôt sur les sociétés</t>
        </is>
      </c>
      <c r="B38" s="3" t="inlineStr">
        <is>
          <t>%</t>
        </is>
      </c>
      <c r="C38" s="21" t="n">
        <v>0.3</v>
      </c>
      <c r="D38" s="21" t="n">
        <v>0.3</v>
      </c>
      <c r="E38" s="21" t="n">
        <v>0.3</v>
      </c>
      <c r="F38" s="21" t="n">
        <v>0.3</v>
      </c>
      <c r="G38" s="21" t="n">
        <v>0.3</v>
      </c>
      <c r="H38" s="21" t="n">
        <v>0.3</v>
      </c>
      <c r="I38" s="21" t="n">
        <v>0.3</v>
      </c>
      <c r="J38" s="21" t="n">
        <v>0.3</v>
      </c>
      <c r="K38" s="21" t="n">
        <v>0.3</v>
      </c>
      <c r="L38" s="21" t="n">
        <v>0.3</v>
      </c>
      <c r="M38" s="21" t="n">
        <v>0.3</v>
      </c>
      <c r="N38" s="12" t="n"/>
      <c r="O38" s="12" t="n"/>
    </row>
    <row r="39">
      <c r="A39" s="2" t="inlineStr">
        <is>
          <t>Impôt sur les sociétés</t>
        </is>
      </c>
      <c r="B39" s="3" t="inlineStr">
        <is>
          <t>USD</t>
        </is>
      </c>
      <c r="C39" s="10">
        <f>IF(C$37&gt;0,C$37*C$38,0)</f>
        <v/>
      </c>
      <c r="D39" s="10">
        <f>IF(D$37&gt;0,D$37*D$38,0)</f>
        <v/>
      </c>
      <c r="E39" s="10">
        <f>IF(E$37&gt;0,E$37*E$38,0)</f>
        <v/>
      </c>
      <c r="F39" s="10">
        <f>IF(F$37&gt;0,F$37*F$38,0)</f>
        <v/>
      </c>
      <c r="G39" s="10">
        <f>IF(G$37&gt;0,G$37*G$38,0)</f>
        <v/>
      </c>
      <c r="H39" s="10">
        <f>IF(H$37&gt;0,H$37*H$38,0)</f>
        <v/>
      </c>
      <c r="I39" s="10">
        <f>IF(I$37&gt;0,I$37*I$38,0)</f>
        <v/>
      </c>
      <c r="J39" s="10">
        <f>IF(J$37&gt;0,J$37*J$38,0)</f>
        <v/>
      </c>
      <c r="K39" s="10">
        <f>IF(K$37&gt;0,K$37*K$38,0)</f>
        <v/>
      </c>
      <c r="L39" s="10">
        <f>IF(L$37&gt;0,L$37*L$38,0)</f>
        <v/>
      </c>
      <c r="M39" s="10">
        <f>IF(M$37&gt;0,M$37*M$38,0)</f>
        <v/>
      </c>
      <c r="N39" s="10">
        <f>SUM($C39:$M39)</f>
        <v/>
      </c>
      <c r="O39" s="10">
        <f>$C39+NPV(10%,$D39:$M39)</f>
        <v/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5" t="inlineStr">
        <is>
          <t>IX. IMPÔT MINIMUM FORFAITAIRE (IMF)</t>
        </is>
      </c>
      <c r="B41" s="6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</row>
    <row r="42">
      <c r="A42" s="2" t="inlineStr">
        <is>
          <t>Montant minimum</t>
        </is>
      </c>
      <c r="B42" s="3" t="inlineStr">
        <is>
          <t>USD</t>
        </is>
      </c>
      <c r="C42" s="19" t="n">
        <v>2000</v>
      </c>
      <c r="D42" s="19" t="n">
        <v>2000</v>
      </c>
      <c r="E42" s="19" t="n">
        <v>2000</v>
      </c>
      <c r="F42" s="19" t="n">
        <v>2000</v>
      </c>
      <c r="G42" s="19" t="n">
        <v>2000</v>
      </c>
      <c r="H42" s="19" t="n">
        <v>2000</v>
      </c>
      <c r="I42" s="19" t="n">
        <v>2000</v>
      </c>
      <c r="J42" s="19" t="n">
        <v>2000</v>
      </c>
      <c r="K42" s="19" t="n">
        <v>2000</v>
      </c>
      <c r="L42" s="19" t="n">
        <v>2000</v>
      </c>
      <c r="M42" s="19" t="n">
        <v>2000</v>
      </c>
      <c r="N42" s="12" t="n"/>
      <c r="O42" s="12" t="n"/>
    </row>
    <row r="43">
      <c r="A43" s="2" t="inlineStr">
        <is>
          <t>Taux de l'impôt minimum forfaitaire</t>
        </is>
      </c>
      <c r="B43" s="3" t="inlineStr">
        <is>
          <t>%</t>
        </is>
      </c>
      <c r="C43" s="21" t="n">
        <v>0.01</v>
      </c>
      <c r="D43" s="21" t="n">
        <v>0.01</v>
      </c>
      <c r="E43" s="21" t="n">
        <v>0.01</v>
      </c>
      <c r="F43" s="21" t="n">
        <v>0.01</v>
      </c>
      <c r="G43" s="21" t="n">
        <v>0.01</v>
      </c>
      <c r="H43" s="21" t="n">
        <v>0.01</v>
      </c>
      <c r="I43" s="21" t="n">
        <v>0.01</v>
      </c>
      <c r="J43" s="21" t="n">
        <v>0.01</v>
      </c>
      <c r="K43" s="21" t="n">
        <v>0.01</v>
      </c>
      <c r="L43" s="21" t="n">
        <v>0.01</v>
      </c>
      <c r="M43" s="21" t="n">
        <v>0.01</v>
      </c>
      <c r="N43" s="12" t="n"/>
      <c r="O43" s="12" t="n"/>
    </row>
    <row r="44">
      <c r="A44" s="2" t="inlineStr">
        <is>
          <t>Impôt minimum forfaitaire</t>
        </is>
      </c>
      <c r="B44" s="3" t="inlineStr">
        <is>
          <t>USD</t>
        </is>
      </c>
      <c r="C44" s="10">
        <f>IF(C$6*C$43&gt;C$42,C$6*C$43,C$42)</f>
        <v/>
      </c>
      <c r="D44" s="10">
        <f>IF(D$6*D$43&gt;D$42,D$6*D$43,D$42)</f>
        <v/>
      </c>
      <c r="E44" s="10">
        <f>IF(E$6*E$43&gt;E$42,E$6*E$43,E$42)</f>
        <v/>
      </c>
      <c r="F44" s="10">
        <f>IF(F$6*F$43&gt;F$42,F$6*F$43,F$42)</f>
        <v/>
      </c>
      <c r="G44" s="10">
        <f>IF(G$6*G$43&gt;G$42,G$6*G$43,G$42)</f>
        <v/>
      </c>
      <c r="H44" s="10">
        <f>IF(H$6*H$43&gt;H$42,H$6*H$43,H$42)</f>
        <v/>
      </c>
      <c r="I44" s="10">
        <f>IF(I$6*I$43&gt;I$42,I$6*I$43,I$42)</f>
        <v/>
      </c>
      <c r="J44" s="10">
        <f>IF(J$6*J$43&gt;J$42,J$6*J$43,J$42)</f>
        <v/>
      </c>
      <c r="K44" s="10">
        <f>IF(K$6*K$43&gt;K$42,K$6*K$43,K$42)</f>
        <v/>
      </c>
      <c r="L44" s="10">
        <f>IF(L$6*L$43&gt;L$42,L$6*L$43,L$42)</f>
        <v/>
      </c>
      <c r="M44" s="10">
        <f>IF(M$6*M$43&gt;M$42,M$6*M$43,M$42)</f>
        <v/>
      </c>
      <c r="N44" s="10">
        <f>SUM($C44:$M44)</f>
        <v/>
      </c>
      <c r="O44" s="10">
        <f>$C44+NPV(10%,$D44:$M44)</f>
        <v/>
      </c>
    </row>
    <row r="45">
      <c r="A45" s="2" t="n"/>
      <c r="B45" s="3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5" t="inlineStr">
        <is>
          <t>X. IMPÔT SUR LES SOCIETES (IS) / IMPÔT MINIMUM FORFAITAIRE (IMF)</t>
        </is>
      </c>
      <c r="B46" s="6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</row>
    <row r="47">
      <c r="A47" s="2" t="inlineStr">
        <is>
          <t>Impôt sur les sociétés / Impôt minimum forfaitaire</t>
        </is>
      </c>
      <c r="B47" s="3" t="inlineStr">
        <is>
          <t>USD</t>
        </is>
      </c>
      <c r="C47" s="10">
        <f>IF(C$44&gt;C$39,C$44,C$39)</f>
        <v/>
      </c>
      <c r="D47" s="10">
        <f>IF(D$44&gt;D$39,D$44,D$39)</f>
        <v/>
      </c>
      <c r="E47" s="10">
        <f>IF(E$44&gt;E$39,E$44,E$39)</f>
        <v/>
      </c>
      <c r="F47" s="10">
        <f>IF(F$44&gt;F$39,F$44,F$39)</f>
        <v/>
      </c>
      <c r="G47" s="10">
        <f>IF(G$44&gt;G$39,G$44,G$39)</f>
        <v/>
      </c>
      <c r="H47" s="10">
        <f>IF(H$44&gt;H$39,H$44,H$39)</f>
        <v/>
      </c>
      <c r="I47" s="10">
        <f>IF(I$44&gt;I$39,I$44,I$39)</f>
        <v/>
      </c>
      <c r="J47" s="10">
        <f>IF(J$44&gt;J$39,J$44,J$39)</f>
        <v/>
      </c>
      <c r="K47" s="10">
        <f>IF(K$44&gt;K$39,K$44,K$39)</f>
        <v/>
      </c>
      <c r="L47" s="10">
        <f>IF(L$44&gt;L$39,L$44,L$39)</f>
        <v/>
      </c>
      <c r="M47" s="10">
        <f>IF(M$44&gt;M$39,M$44,M$39)</f>
        <v/>
      </c>
      <c r="N47" s="10">
        <f>SUM($C47:$M47)</f>
        <v/>
      </c>
      <c r="O47" s="10">
        <f>$C47+NPV(10%,$D47:$M47)</f>
        <v/>
      </c>
    </row>
    <row r="48">
      <c r="A48" s="29" t="n"/>
      <c r="B48" s="29" t="n"/>
      <c r="C48" s="30" t="n"/>
      <c r="D48" s="30" t="n"/>
      <c r="E48" s="30" t="n"/>
      <c r="F48" s="30" t="n"/>
      <c r="G48" s="30" t="n"/>
      <c r="H48" s="30" t="n"/>
      <c r="I48" s="30" t="n"/>
      <c r="J48" s="30" t="n"/>
      <c r="K48" s="30" t="n"/>
      <c r="L48" s="30" t="n"/>
      <c r="M48" s="30" t="n"/>
      <c r="N48" s="30" t="n"/>
      <c r="O48" s="30" t="n"/>
    </row>
    <row r="49">
      <c r="A49" s="5" t="inlineStr">
        <is>
          <t>XI. PRELEVEMENTS PUBLICS</t>
        </is>
      </c>
      <c r="B49" s="6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</row>
    <row r="50">
      <c r="A50" s="2" t="inlineStr">
        <is>
          <t>Total des prélèvements publics</t>
        </is>
      </c>
      <c r="B50" s="3" t="inlineStr">
        <is>
          <t>USD</t>
        </is>
      </c>
      <c r="C50" s="10">
        <f>C$23+C$28+C$32+C$47</f>
        <v/>
      </c>
      <c r="D50" s="10">
        <f>D$23+D$28+D$32+D$47</f>
        <v/>
      </c>
      <c r="E50" s="10">
        <f>E$23+E$28+E$32+E$47</f>
        <v/>
      </c>
      <c r="F50" s="10">
        <f>F$23+F$28+F$32+F$47</f>
        <v/>
      </c>
      <c r="G50" s="10">
        <f>G$23+G$28+G$32+G$47</f>
        <v/>
      </c>
      <c r="H50" s="10">
        <f>H$23+H$28+H$32+H$47</f>
        <v/>
      </c>
      <c r="I50" s="10">
        <f>I$23+I$28+I$32+I$47</f>
        <v/>
      </c>
      <c r="J50" s="10">
        <f>J$23+J$28+J$32+J$47</f>
        <v/>
      </c>
      <c r="K50" s="10">
        <f>K$23+K$28+K$32+K$47</f>
        <v/>
      </c>
      <c r="L50" s="10">
        <f>L$23+L$28+L$32+L$47</f>
        <v/>
      </c>
      <c r="M50" s="10">
        <f>M$23+M$28+M$32+M$47</f>
        <v/>
      </c>
      <c r="N50" s="10">
        <f>SUM($C50:$M50)</f>
        <v/>
      </c>
      <c r="O50" s="10">
        <f>$C50+NPV(10%,$D50:$M50)</f>
        <v/>
      </c>
    </row>
    <row r="51">
      <c r="A51" s="29" t="n"/>
      <c r="B51" s="29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</row>
    <row r="52">
      <c r="A52" s="5" t="inlineStr">
        <is>
          <t>XII. FLUX NETS DE TRESORERIE APRES IMPÔTS</t>
        </is>
      </c>
      <c r="B52" s="6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</row>
    <row r="53">
      <c r="A53" s="2" t="inlineStr">
        <is>
          <t>Flux nets de trésorerie après impôts</t>
        </is>
      </c>
      <c r="B53" s="3" t="inlineStr">
        <is>
          <t>USD</t>
        </is>
      </c>
      <c r="C53" s="10">
        <f>C$19-C$50</f>
        <v/>
      </c>
      <c r="D53" s="10">
        <f>D$19-D$50</f>
        <v/>
      </c>
      <c r="E53" s="10">
        <f>E$19-E$50</f>
        <v/>
      </c>
      <c r="F53" s="10">
        <f>F$19-F$50</f>
        <v/>
      </c>
      <c r="G53" s="10">
        <f>G$19-G$50</f>
        <v/>
      </c>
      <c r="H53" s="10">
        <f>H$19-H$50</f>
        <v/>
      </c>
      <c r="I53" s="10">
        <f>I$19-I$50</f>
        <v/>
      </c>
      <c r="J53" s="10">
        <f>J$19-J$50</f>
        <v/>
      </c>
      <c r="K53" s="10">
        <f>K$19-K$50</f>
        <v/>
      </c>
      <c r="L53" s="10">
        <f>L$19-L$50</f>
        <v/>
      </c>
      <c r="M53" s="10">
        <f>M$19-M$50</f>
        <v/>
      </c>
      <c r="N53" s="10">
        <f>SUM($C53:$M53)</f>
        <v/>
      </c>
      <c r="O53" s="10">
        <f>$C53+NPV(10%,$D53:$M53)</f>
        <v/>
      </c>
    </row>
    <row r="54">
      <c r="A54" s="2" t="inlineStr">
        <is>
          <t>Taux de rendement interne après impôts</t>
        </is>
      </c>
      <c r="B54" s="3" t="inlineStr">
        <is>
          <t>%</t>
        </is>
      </c>
      <c r="C54" s="14">
        <f>IF(ISNUMBER(IRR($C53:C53)),IF(IRR($C53:C53)&gt;0,IRR($C53:C53),""),"")</f>
        <v/>
      </c>
      <c r="D54" s="14">
        <f>IF(ISNUMBER(IRR($C53:D53)),IF(IRR($C53:D53)&gt;0,IRR($C53:D53),""),"")</f>
        <v/>
      </c>
      <c r="E54" s="14">
        <f>IF(ISNUMBER(IRR($C53:E53)),IF(IRR($C53:E53)&gt;0,IRR($C53:E53),""),"")</f>
        <v/>
      </c>
      <c r="F54" s="14">
        <f>IF(ISNUMBER(IRR($C53:F53)),IF(IRR($C53:F53)&gt;0,IRR($C53:F53),""),"")</f>
        <v/>
      </c>
      <c r="G54" s="14">
        <f>IF(ISNUMBER(IRR($C53:G53)),IF(IRR($C53:G53)&gt;0,IRR($C53:G53),""),"")</f>
        <v/>
      </c>
      <c r="H54" s="14">
        <f>IF(ISNUMBER(IRR($C53:H53)),IF(IRR($C53:H53)&gt;0,IRR($C53:H53),""),"")</f>
        <v/>
      </c>
      <c r="I54" s="14">
        <f>IF(ISNUMBER(IRR($C53:I53)),IF(IRR($C53:I53)&gt;0,IRR($C53:I53),""),"")</f>
        <v/>
      </c>
      <c r="J54" s="14">
        <f>IF(ISNUMBER(IRR($C53:J53)),IF(IRR($C53:J53)&gt;0,IRR($C53:J53),""),"")</f>
        <v/>
      </c>
      <c r="K54" s="14">
        <f>IF(ISNUMBER(IRR($C53:K53)),IF(IRR($C53:K53)&gt;0,IRR($C53:K53),""),"")</f>
        <v/>
      </c>
      <c r="L54" s="14">
        <f>IF(ISNUMBER(IRR($C53:L53)),IF(IRR($C53:L53)&gt;0,IRR($C53:L53),""),"")</f>
        <v/>
      </c>
      <c r="M54" s="14">
        <f>IF(ISNUMBER(IRR($C53:M53)),IF(IRR($C53:M53)&gt;0,IRR($C53:M53),""),"")</f>
        <v/>
      </c>
      <c r="N54" s="15" t="n"/>
      <c r="O54" s="15" t="n"/>
    </row>
    <row r="55">
      <c r="A55" s="29" t="n"/>
      <c r="B55" s="29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</row>
    <row r="56">
      <c r="A56" s="5" t="inlineStr">
        <is>
          <t>XIII. PARTAGE DE LA RENTE MINIERE</t>
        </is>
      </c>
      <c r="B56" s="6" t="n"/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</row>
    <row r="57">
      <c r="A57" s="2" t="inlineStr">
        <is>
          <t>Rente minière</t>
        </is>
      </c>
      <c r="B57" s="3" t="inlineStr">
        <is>
          <t>USD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>
        <f>N$19</f>
        <v/>
      </c>
      <c r="O57" s="10">
        <f>O$19</f>
        <v/>
      </c>
    </row>
    <row r="58">
      <c r="A58" s="2" t="inlineStr">
        <is>
          <t>Part de l'Etat</t>
        </is>
      </c>
      <c r="B58" s="3" t="inlineStr">
        <is>
          <t>%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2">
        <f>N$50/N$57</f>
        <v/>
      </c>
      <c r="O58" s="32">
        <f>O$50/O$57</f>
        <v/>
      </c>
    </row>
    <row r="59">
      <c r="A59" s="2" t="inlineStr">
        <is>
          <t>Part de l'investisseur</t>
        </is>
      </c>
      <c r="B59" s="3" t="inlineStr">
        <is>
          <t>%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2">
        <f>N$53/N$57</f>
        <v/>
      </c>
      <c r="O59" s="32">
        <f>O$53/O$57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57"/>
  <sheetViews>
    <sheetView workbookViewId="0">
      <selection activeCell="A1" sqref="A1"/>
    </sheetView>
  </sheetViews>
  <sheetFormatPr baseColWidth="8" defaultRowHeight="15"/>
  <cols>
    <col width="40.83203125" customWidth="1" min="1" max="1"/>
    <col width="10.83203125" customWidth="1" min="2" max="2"/>
    <col width="15.83203125" customWidth="1" min="3" max="3"/>
    <col width="10.83203125" customWidth="1" min="14" max="14"/>
  </cols>
  <sheetData>
    <row r="1">
      <c r="A1" s="1" t="inlineStr">
        <is>
          <t>Nom</t>
        </is>
      </c>
      <c r="B1" s="1" t="inlineStr">
        <is>
          <t>Unité</t>
        </is>
      </c>
      <c r="C1" s="1" t="inlineStr">
        <is>
          <t>Année 1</t>
        </is>
      </c>
      <c r="D1" s="1" t="inlineStr">
        <is>
          <t>Année 2</t>
        </is>
      </c>
      <c r="E1" s="1" t="inlineStr">
        <is>
          <t>Année 3</t>
        </is>
      </c>
      <c r="F1" s="1" t="inlineStr">
        <is>
          <t>Année 4</t>
        </is>
      </c>
      <c r="G1" s="1" t="inlineStr">
        <is>
          <t>Année 5</t>
        </is>
      </c>
      <c r="H1" s="1" t="inlineStr">
        <is>
          <t>Année 6</t>
        </is>
      </c>
      <c r="I1" s="1" t="inlineStr">
        <is>
          <t>Année 7</t>
        </is>
      </c>
      <c r="J1" s="1" t="inlineStr">
        <is>
          <t>Année 8</t>
        </is>
      </c>
      <c r="K1" s="1" t="inlineStr">
        <is>
          <t>Année 9</t>
        </is>
      </c>
      <c r="L1" s="1" t="inlineStr">
        <is>
          <t>Année 10</t>
        </is>
      </c>
      <c r="M1" s="1" t="inlineStr">
        <is>
          <t>Année 11</t>
        </is>
      </c>
    </row>
    <row r="2"/>
    <row r="3">
      <c r="A3" s="2" t="inlineStr">
        <is>
          <t>Durée restante maximum</t>
        </is>
      </c>
      <c r="B3" s="22" t="inlineStr">
        <is>
          <t>Années</t>
        </is>
      </c>
      <c r="C3" s="23" t="n">
        <v>11</v>
      </c>
      <c r="D3" s="23" t="n">
        <v>10</v>
      </c>
      <c r="E3" s="23" t="n">
        <v>9</v>
      </c>
      <c r="F3" s="23" t="n">
        <v>8</v>
      </c>
      <c r="G3" s="23" t="n">
        <v>7</v>
      </c>
      <c r="H3" s="23" t="n">
        <v>6</v>
      </c>
      <c r="I3" s="23" t="n">
        <v>5</v>
      </c>
      <c r="J3" s="23" t="n">
        <v>4</v>
      </c>
      <c r="K3" s="23" t="n">
        <v>3</v>
      </c>
      <c r="L3" s="23" t="n">
        <v>2</v>
      </c>
      <c r="M3" s="23" t="n">
        <v>1</v>
      </c>
    </row>
    <row r="4">
      <c r="A4" s="22" t="n"/>
      <c r="B4" s="22" t="n"/>
    </row>
    <row r="5">
      <c r="A5" s="5" t="inlineStr">
        <is>
          <t>I. AMORTISSEMENTS DES CONSTRUCTIONS INDUSTRIELLES</t>
        </is>
      </c>
      <c r="B5" s="24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</row>
    <row r="6">
      <c r="A6" s="2" t="inlineStr">
        <is>
          <t>Durée d'amortissement linéaire</t>
        </is>
      </c>
      <c r="B6" s="22" t="inlineStr">
        <is>
          <t>Années</t>
        </is>
      </c>
      <c r="C6" s="19" t="n">
        <v>10</v>
      </c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</row>
    <row r="7">
      <c r="A7" s="2" t="inlineStr">
        <is>
          <t>Coefficient d'amortissement dégressif</t>
        </is>
      </c>
      <c r="B7" s="22" t="inlineStr">
        <is>
          <t>Coefficient</t>
        </is>
      </c>
      <c r="C7" s="19" t="n">
        <v>1</v>
      </c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</row>
    <row r="8">
      <c r="A8" s="22" t="n"/>
      <c r="B8" s="22" t="n"/>
    </row>
    <row r="9">
      <c r="A9" s="2" t="inlineStr">
        <is>
          <t>Immobilisations de l'année A1</t>
        </is>
      </c>
      <c r="B9" s="22" t="n"/>
    </row>
    <row r="10">
      <c r="A10" s="22" t="inlineStr">
        <is>
          <t>Durée restante</t>
        </is>
      </c>
      <c r="B10" s="22" t="inlineStr">
        <is>
          <t>Années</t>
        </is>
      </c>
      <c r="C10" s="23">
        <f>IF($C$6&lt;C$3,$C$6,C$3)</f>
        <v/>
      </c>
      <c r="D10" s="8">
        <f>IF(C10=0,0,IF(C10-1&lt;D$3,C10-1,D$3))</f>
        <v/>
      </c>
      <c r="E10" s="8">
        <f>IF(D10=0,0,IF(D10-1&lt;E$3,D10-1,E$3))</f>
        <v/>
      </c>
      <c r="F10" s="8">
        <f>IF(E10=0,0,IF(E10-1&lt;F$3,E10-1,F$3))</f>
        <v/>
      </c>
      <c r="G10" s="8">
        <f>IF(F10=0,0,IF(F10-1&lt;G$3,F10-1,G$3))</f>
        <v/>
      </c>
      <c r="H10" s="8">
        <f>IF(G10=0,0,IF(G10-1&lt;H$3,G10-1,H$3))</f>
        <v/>
      </c>
      <c r="I10" s="8">
        <f>IF(H10=0,0,IF(H10-1&lt;I$3,H10-1,I$3))</f>
        <v/>
      </c>
      <c r="J10" s="8">
        <f>IF(I10=0,0,IF(I10-1&lt;J$3,I10-1,J$3))</f>
        <v/>
      </c>
      <c r="K10" s="8">
        <f>IF(J10=0,0,IF(J10-1&lt;K$3,J10-1,K$3))</f>
        <v/>
      </c>
      <c r="L10" s="8">
        <f>IF(K10=0,0,IF(K10-1&lt;L$3,K10-1,L$3))</f>
        <v/>
      </c>
      <c r="M10" s="8">
        <f>IF(L10=0,0,IF(L10-1&lt;M$3,L10-1,M$3))</f>
        <v/>
      </c>
    </row>
    <row r="11">
      <c r="A11" s="22" t="inlineStr">
        <is>
          <t>Base amortissable</t>
        </is>
      </c>
      <c r="B11" s="22" t="inlineStr">
        <is>
          <t>USD</t>
        </is>
      </c>
      <c r="C11" s="23">
        <f>Modèle!C$9</f>
        <v/>
      </c>
      <c r="D11" s="8">
        <f>C15</f>
        <v/>
      </c>
      <c r="E11" s="8">
        <f>D15</f>
        <v/>
      </c>
      <c r="F11" s="8">
        <f>E15</f>
        <v/>
      </c>
      <c r="G11" s="8">
        <f>F15</f>
        <v/>
      </c>
      <c r="H11" s="8">
        <f>G15</f>
        <v/>
      </c>
      <c r="I11" s="8">
        <f>H15</f>
        <v/>
      </c>
      <c r="J11" s="8">
        <f>I15</f>
        <v/>
      </c>
      <c r="K11" s="8">
        <f>J15</f>
        <v/>
      </c>
      <c r="L11" s="8">
        <f>K15</f>
        <v/>
      </c>
      <c r="M11" s="8">
        <f>L15</f>
        <v/>
      </c>
    </row>
    <row r="12">
      <c r="A12" s="22" t="inlineStr">
        <is>
          <t>Inverse de la durée restante</t>
        </is>
      </c>
      <c r="B12" s="22" t="inlineStr">
        <is>
          <t>%</t>
        </is>
      </c>
      <c r="C12" s="27">
        <f>IF(C10=0,0,1/C10)</f>
        <v/>
      </c>
      <c r="D12" s="27">
        <f>IF(D10=0,0,1/D10)</f>
        <v/>
      </c>
      <c r="E12" s="27">
        <f>IF(E10=0,0,1/E10)</f>
        <v/>
      </c>
      <c r="F12" s="27">
        <f>IF(F10=0,0,1/F10)</f>
        <v/>
      </c>
      <c r="G12" s="27">
        <f>IF(G10=0,0,1/G10)</f>
        <v/>
      </c>
      <c r="H12" s="27">
        <f>IF(H10=0,0,1/H10)</f>
        <v/>
      </c>
      <c r="I12" s="27">
        <f>IF(I10=0,0,1/I10)</f>
        <v/>
      </c>
      <c r="J12" s="27">
        <f>IF(J10=0,0,1/J10)</f>
        <v/>
      </c>
      <c r="K12" s="27">
        <f>IF(K10=0,0,1/K10)</f>
        <v/>
      </c>
      <c r="L12" s="27">
        <f>IF(L10=0,0,1/L10)</f>
        <v/>
      </c>
      <c r="M12" s="27">
        <f>IF(M10=0,0,1/M10)</f>
        <v/>
      </c>
    </row>
    <row r="13">
      <c r="A13" s="22" t="inlineStr">
        <is>
          <t>Taux dégressif</t>
        </is>
      </c>
      <c r="B13" s="22" t="inlineStr">
        <is>
          <t>%</t>
        </is>
      </c>
      <c r="C13" s="27">
        <f>IF(C10=0,0,IF($C$7*1/$C$6&gt;C12,$C$7*1/$C$6,C12))</f>
        <v/>
      </c>
      <c r="D13" s="27">
        <f>IF(D10=0,0,IF($C$7*1/$C$6&gt;D12,$C$7*1/$C$6,D12))</f>
        <v/>
      </c>
      <c r="E13" s="27">
        <f>IF(E10=0,0,IF($C$7*1/$C$6&gt;E12,$C$7*1/$C$6,E12))</f>
        <v/>
      </c>
      <c r="F13" s="27">
        <f>IF(F10=0,0,IF($C$7*1/$C$6&gt;F12,$C$7*1/$C$6,F12))</f>
        <v/>
      </c>
      <c r="G13" s="27">
        <f>IF(G10=0,0,IF($C$7*1/$C$6&gt;G12,$C$7*1/$C$6,G12))</f>
        <v/>
      </c>
      <c r="H13" s="27">
        <f>IF(H10=0,0,IF($C$7*1/$C$6&gt;H12,$C$7*1/$C$6,H12))</f>
        <v/>
      </c>
      <c r="I13" s="27">
        <f>IF(I10=0,0,IF($C$7*1/$C$6&gt;I12,$C$7*1/$C$6,I12))</f>
        <v/>
      </c>
      <c r="J13" s="27">
        <f>IF(J10=0,0,IF($C$7*1/$C$6&gt;J12,$C$7*1/$C$6,J12))</f>
        <v/>
      </c>
      <c r="K13" s="27">
        <f>IF(K10=0,0,IF($C$7*1/$C$6&gt;K12,$C$7*1/$C$6,K12))</f>
        <v/>
      </c>
      <c r="L13" s="27">
        <f>IF(L10=0,0,IF($C$7*1/$C$6&gt;L12,$C$7*1/$C$6,L12))</f>
        <v/>
      </c>
      <c r="M13" s="27">
        <f>IF(M10=0,0,IF($C$7*1/$C$6&gt;M12,$C$7*1/$C$6,M12))</f>
        <v/>
      </c>
    </row>
    <row r="14">
      <c r="A14" s="22" t="inlineStr">
        <is>
          <t>Charge d'amortissement</t>
        </is>
      </c>
      <c r="B14" s="22" t="inlineStr">
        <is>
          <t>USD</t>
        </is>
      </c>
      <c r="C14" s="8">
        <f>C11*C13</f>
        <v/>
      </c>
      <c r="D14" s="8">
        <f>D11*D13</f>
        <v/>
      </c>
      <c r="E14" s="8">
        <f>E11*E13</f>
        <v/>
      </c>
      <c r="F14" s="8">
        <f>F11*F13</f>
        <v/>
      </c>
      <c r="G14" s="8">
        <f>G11*G13</f>
        <v/>
      </c>
      <c r="H14" s="8">
        <f>H11*H13</f>
        <v/>
      </c>
      <c r="I14" s="8">
        <f>I11*I13</f>
        <v/>
      </c>
      <c r="J14" s="8">
        <f>J11*J13</f>
        <v/>
      </c>
      <c r="K14" s="8">
        <f>K11*K13</f>
        <v/>
      </c>
      <c r="L14" s="8">
        <f>L11*L13</f>
        <v/>
      </c>
      <c r="M14" s="8">
        <f>M11*M13</f>
        <v/>
      </c>
    </row>
    <row r="15">
      <c r="A15" s="22" t="inlineStr">
        <is>
          <t>Amortissement restant</t>
        </is>
      </c>
      <c r="B15" s="22" t="inlineStr">
        <is>
          <t>USD</t>
        </is>
      </c>
      <c r="C15" s="8">
        <f>C11-C14</f>
        <v/>
      </c>
      <c r="D15" s="8">
        <f>D11-D14</f>
        <v/>
      </c>
      <c r="E15" s="8">
        <f>E11-E14</f>
        <v/>
      </c>
      <c r="F15" s="8">
        <f>F11-F14</f>
        <v/>
      </c>
      <c r="G15" s="8">
        <f>G11-G14</f>
        <v/>
      </c>
      <c r="H15" s="8">
        <f>H11-H14</f>
        <v/>
      </c>
      <c r="I15" s="8">
        <f>I11-I14</f>
        <v/>
      </c>
      <c r="J15" s="8">
        <f>J11-J14</f>
        <v/>
      </c>
      <c r="K15" s="8">
        <f>K11-K14</f>
        <v/>
      </c>
      <c r="L15" s="8">
        <f>L11-L14</f>
        <v/>
      </c>
      <c r="M15" s="8">
        <f>M11-M14</f>
        <v/>
      </c>
    </row>
    <row r="16">
      <c r="A16" s="22" t="n"/>
      <c r="B16" s="22" t="n"/>
    </row>
    <row r="17">
      <c r="A17" s="2" t="inlineStr">
        <is>
          <t>Immobilisations de l'année A2</t>
        </is>
      </c>
      <c r="B17" s="22" t="n"/>
    </row>
    <row r="18">
      <c r="A18" s="22" t="inlineStr">
        <is>
          <t>Durée restante</t>
        </is>
      </c>
      <c r="B18" s="22" t="inlineStr">
        <is>
          <t>Années</t>
        </is>
      </c>
      <c r="D18" s="23">
        <f>IF($C$6&lt;D$3,$C$6,D$3)</f>
        <v/>
      </c>
      <c r="E18" s="8">
        <f>IF(D18=0,0,IF(D18-1&lt;E$3,D18-1,E$3))</f>
        <v/>
      </c>
      <c r="F18" s="8">
        <f>IF(E18=0,0,IF(E18-1&lt;F$3,E18-1,F$3))</f>
        <v/>
      </c>
      <c r="G18" s="8">
        <f>IF(F18=0,0,IF(F18-1&lt;G$3,F18-1,G$3))</f>
        <v/>
      </c>
      <c r="H18" s="8">
        <f>IF(G18=0,0,IF(G18-1&lt;H$3,G18-1,H$3))</f>
        <v/>
      </c>
      <c r="I18" s="8">
        <f>IF(H18=0,0,IF(H18-1&lt;I$3,H18-1,I$3))</f>
        <v/>
      </c>
      <c r="J18" s="8">
        <f>IF(I18=0,0,IF(I18-1&lt;J$3,I18-1,J$3))</f>
        <v/>
      </c>
      <c r="K18" s="8">
        <f>IF(J18=0,0,IF(J18-1&lt;K$3,J18-1,K$3))</f>
        <v/>
      </c>
      <c r="L18" s="8">
        <f>IF(K18=0,0,IF(K18-1&lt;L$3,K18-1,L$3))</f>
        <v/>
      </c>
      <c r="M18" s="8">
        <f>IF(L18=0,0,IF(L18-1&lt;M$3,L18-1,M$3))</f>
        <v/>
      </c>
    </row>
    <row r="19">
      <c r="A19" s="22" t="inlineStr">
        <is>
          <t>Base amortissable</t>
        </is>
      </c>
      <c r="B19" s="22" t="inlineStr">
        <is>
          <t>USD</t>
        </is>
      </c>
      <c r="D19" s="23">
        <f>Modèle!D$9</f>
        <v/>
      </c>
      <c r="E19" s="8">
        <f>D23</f>
        <v/>
      </c>
      <c r="F19" s="8">
        <f>E23</f>
        <v/>
      </c>
      <c r="G19" s="8">
        <f>F23</f>
        <v/>
      </c>
      <c r="H19" s="8">
        <f>G23</f>
        <v/>
      </c>
      <c r="I19" s="8">
        <f>H23</f>
        <v/>
      </c>
      <c r="J19" s="8">
        <f>I23</f>
        <v/>
      </c>
      <c r="K19" s="8">
        <f>J23</f>
        <v/>
      </c>
      <c r="L19" s="8">
        <f>K23</f>
        <v/>
      </c>
      <c r="M19" s="8">
        <f>L23</f>
        <v/>
      </c>
    </row>
    <row r="20">
      <c r="A20" s="22" t="inlineStr">
        <is>
          <t>Inverse de la durée restante</t>
        </is>
      </c>
      <c r="B20" s="22" t="inlineStr">
        <is>
          <t>%</t>
        </is>
      </c>
      <c r="D20" s="27">
        <f>IF(D18=0,0,1/D18)</f>
        <v/>
      </c>
      <c r="E20" s="27">
        <f>IF(E18=0,0,1/E18)</f>
        <v/>
      </c>
      <c r="F20" s="27">
        <f>IF(F18=0,0,1/F18)</f>
        <v/>
      </c>
      <c r="G20" s="27">
        <f>IF(G18=0,0,1/G18)</f>
        <v/>
      </c>
      <c r="H20" s="27">
        <f>IF(H18=0,0,1/H18)</f>
        <v/>
      </c>
      <c r="I20" s="27">
        <f>IF(I18=0,0,1/I18)</f>
        <v/>
      </c>
      <c r="J20" s="27">
        <f>IF(J18=0,0,1/J18)</f>
        <v/>
      </c>
      <c r="K20" s="27">
        <f>IF(K18=0,0,1/K18)</f>
        <v/>
      </c>
      <c r="L20" s="27">
        <f>IF(L18=0,0,1/L18)</f>
        <v/>
      </c>
      <c r="M20" s="27">
        <f>IF(M18=0,0,1/M18)</f>
        <v/>
      </c>
    </row>
    <row r="21">
      <c r="A21" s="22" t="inlineStr">
        <is>
          <t>Taux dégressif</t>
        </is>
      </c>
      <c r="B21" s="22" t="inlineStr">
        <is>
          <t>%</t>
        </is>
      </c>
      <c r="D21" s="27">
        <f>IF(D18=0,0,IF($C$7*1/$C$6&gt;D20,$C$7*1/$C$6,D20))</f>
        <v/>
      </c>
      <c r="E21" s="27">
        <f>IF(E18=0,0,IF($C$7*1/$C$6&gt;E20,$C$7*1/$C$6,E20))</f>
        <v/>
      </c>
      <c r="F21" s="27">
        <f>IF(F18=0,0,IF($C$7*1/$C$6&gt;F20,$C$7*1/$C$6,F20))</f>
        <v/>
      </c>
      <c r="G21" s="27">
        <f>IF(G18=0,0,IF($C$7*1/$C$6&gt;G20,$C$7*1/$C$6,G20))</f>
        <v/>
      </c>
      <c r="H21" s="27">
        <f>IF(H18=0,0,IF($C$7*1/$C$6&gt;H20,$C$7*1/$C$6,H20))</f>
        <v/>
      </c>
      <c r="I21" s="27">
        <f>IF(I18=0,0,IF($C$7*1/$C$6&gt;I20,$C$7*1/$C$6,I20))</f>
        <v/>
      </c>
      <c r="J21" s="27">
        <f>IF(J18=0,0,IF($C$7*1/$C$6&gt;J20,$C$7*1/$C$6,J20))</f>
        <v/>
      </c>
      <c r="K21" s="27">
        <f>IF(K18=0,0,IF($C$7*1/$C$6&gt;K20,$C$7*1/$C$6,K20))</f>
        <v/>
      </c>
      <c r="L21" s="27">
        <f>IF(L18=0,0,IF($C$7*1/$C$6&gt;L20,$C$7*1/$C$6,L20))</f>
        <v/>
      </c>
      <c r="M21" s="27">
        <f>IF(M18=0,0,IF($C$7*1/$C$6&gt;M20,$C$7*1/$C$6,M20))</f>
        <v/>
      </c>
    </row>
    <row r="22">
      <c r="A22" s="22" t="inlineStr">
        <is>
          <t>Charge d'amortissement</t>
        </is>
      </c>
      <c r="B22" s="22" t="inlineStr">
        <is>
          <t>USD</t>
        </is>
      </c>
      <c r="D22" s="8">
        <f>D19*D21</f>
        <v/>
      </c>
      <c r="E22" s="8">
        <f>E19*E21</f>
        <v/>
      </c>
      <c r="F22" s="8">
        <f>F19*F21</f>
        <v/>
      </c>
      <c r="G22" s="8">
        <f>G19*G21</f>
        <v/>
      </c>
      <c r="H22" s="8">
        <f>H19*H21</f>
        <v/>
      </c>
      <c r="I22" s="8">
        <f>I19*I21</f>
        <v/>
      </c>
      <c r="J22" s="8">
        <f>J19*J21</f>
        <v/>
      </c>
      <c r="K22" s="8">
        <f>K19*K21</f>
        <v/>
      </c>
      <c r="L22" s="8">
        <f>L19*L21</f>
        <v/>
      </c>
      <c r="M22" s="8">
        <f>M19*M21</f>
        <v/>
      </c>
    </row>
    <row r="23">
      <c r="A23" s="22" t="inlineStr">
        <is>
          <t>Amortissement restant</t>
        </is>
      </c>
      <c r="B23" s="22" t="inlineStr">
        <is>
          <t>USD</t>
        </is>
      </c>
      <c r="D23" s="8">
        <f>D19-D22</f>
        <v/>
      </c>
      <c r="E23" s="8">
        <f>E19-E22</f>
        <v/>
      </c>
      <c r="F23" s="8">
        <f>F19-F22</f>
        <v/>
      </c>
      <c r="G23" s="8">
        <f>G19-G22</f>
        <v/>
      </c>
      <c r="H23" s="8">
        <f>H19-H22</f>
        <v/>
      </c>
      <c r="I23" s="8">
        <f>I19-I22</f>
        <v/>
      </c>
      <c r="J23" s="8">
        <f>J19-J22</f>
        <v/>
      </c>
      <c r="K23" s="8">
        <f>K19-K22</f>
        <v/>
      </c>
      <c r="L23" s="8">
        <f>L19-L22</f>
        <v/>
      </c>
      <c r="M23" s="8">
        <f>M19-M22</f>
        <v/>
      </c>
    </row>
    <row r="24">
      <c r="A24" s="22" t="n"/>
      <c r="B24" s="22" t="n"/>
    </row>
    <row r="25">
      <c r="A25" s="2" t="inlineStr">
        <is>
          <t>Amortissements des constructions industrielles</t>
        </is>
      </c>
      <c r="B25" s="22" t="inlineStr">
        <is>
          <t>USD</t>
        </is>
      </c>
      <c r="C25" s="8">
        <f>C$14+C$22</f>
        <v/>
      </c>
      <c r="D25" s="8">
        <f>D$14+D$22</f>
        <v/>
      </c>
      <c r="E25" s="8">
        <f>E$14+E$22</f>
        <v/>
      </c>
      <c r="F25" s="8">
        <f>F$14+F$22</f>
        <v/>
      </c>
      <c r="G25" s="8">
        <f>G$14+G$22</f>
        <v/>
      </c>
      <c r="H25" s="8">
        <f>H$14+H$22</f>
        <v/>
      </c>
      <c r="I25" s="8">
        <f>I$14+I$22</f>
        <v/>
      </c>
      <c r="J25" s="8">
        <f>J$14+J$22</f>
        <v/>
      </c>
      <c r="K25" s="8">
        <f>K$14+K$22</f>
        <v/>
      </c>
      <c r="L25" s="8">
        <f>L$14+L$22</f>
        <v/>
      </c>
      <c r="M25" s="8">
        <f>M$14+M$22</f>
        <v/>
      </c>
    </row>
    <row r="26">
      <c r="A26" s="22" t="n"/>
      <c r="B26" s="22" t="n"/>
    </row>
    <row r="27">
      <c r="A27" s="5" t="inlineStr">
        <is>
          <t>II. AMORTISSEMENTS DES BIENS D'EQUIPEMENT</t>
        </is>
      </c>
      <c r="B27" s="24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</row>
    <row r="28">
      <c r="A28" s="2" t="inlineStr">
        <is>
          <t>Durée d'amortissement linéaire</t>
        </is>
      </c>
      <c r="B28" s="22" t="inlineStr">
        <is>
          <t>Années</t>
        </is>
      </c>
      <c r="C28" s="19" t="n">
        <v>5</v>
      </c>
    </row>
    <row r="29">
      <c r="A29" s="2" t="inlineStr">
        <is>
          <t>Coefficient d'amortissement dégressif</t>
        </is>
      </c>
      <c r="B29" s="22" t="inlineStr">
        <is>
          <t>Coefficient</t>
        </is>
      </c>
      <c r="C29" s="19" t="n">
        <v>2</v>
      </c>
    </row>
    <row r="30">
      <c r="A30" s="22" t="n"/>
      <c r="B30" s="22" t="n"/>
    </row>
    <row r="31">
      <c r="A31" s="2" t="inlineStr">
        <is>
          <t>Immobilisations de l'année A1</t>
        </is>
      </c>
      <c r="B31" s="22" t="n"/>
    </row>
    <row r="32">
      <c r="A32" s="22" t="inlineStr">
        <is>
          <t>Durée restante</t>
        </is>
      </c>
      <c r="B32" s="22" t="inlineStr">
        <is>
          <t>Années</t>
        </is>
      </c>
      <c r="C32" s="23">
        <f>IF($C$28&lt;C$3,$C$28,C$3)</f>
        <v/>
      </c>
      <c r="D32" s="8">
        <f>IF(C32=0,0,IF(C32-1&lt;D$3,C32-1,D$3))</f>
        <v/>
      </c>
      <c r="E32" s="8">
        <f>IF(D32=0,0,IF(D32-1&lt;E$3,D32-1,E$3))</f>
        <v/>
      </c>
      <c r="F32" s="8">
        <f>IF(E32=0,0,IF(E32-1&lt;F$3,E32-1,F$3))</f>
        <v/>
      </c>
      <c r="G32" s="8">
        <f>IF(F32=0,0,IF(F32-1&lt;G$3,F32-1,G$3))</f>
        <v/>
      </c>
      <c r="H32" s="8">
        <f>IF(G32=0,0,IF(G32-1&lt;H$3,G32-1,H$3))</f>
        <v/>
      </c>
      <c r="I32" s="8">
        <f>IF(H32=0,0,IF(H32-1&lt;I$3,H32-1,I$3))</f>
        <v/>
      </c>
      <c r="J32" s="8">
        <f>IF(I32=0,0,IF(I32-1&lt;J$3,I32-1,J$3))</f>
        <v/>
      </c>
      <c r="K32" s="8">
        <f>IF(J32=0,0,IF(J32-1&lt;K$3,J32-1,K$3))</f>
        <v/>
      </c>
      <c r="L32" s="8">
        <f>IF(K32=0,0,IF(K32-1&lt;L$3,K32-1,L$3))</f>
        <v/>
      </c>
      <c r="M32" s="8">
        <f>IF(L32=0,0,IF(L32-1&lt;M$3,L32-1,M$3))</f>
        <v/>
      </c>
    </row>
    <row r="33">
      <c r="A33" s="22" t="inlineStr">
        <is>
          <t>Base amortissable</t>
        </is>
      </c>
      <c r="B33" s="22" t="inlineStr">
        <is>
          <t>USD</t>
        </is>
      </c>
      <c r="C33" s="23">
        <f>Modèle!C$10</f>
        <v/>
      </c>
      <c r="D33" s="8">
        <f>C37</f>
        <v/>
      </c>
      <c r="E33" s="8">
        <f>D37</f>
        <v/>
      </c>
      <c r="F33" s="8">
        <f>E37</f>
        <v/>
      </c>
      <c r="G33" s="8">
        <f>F37</f>
        <v/>
      </c>
      <c r="H33" s="8">
        <f>G37</f>
        <v/>
      </c>
      <c r="I33" s="8">
        <f>H37</f>
        <v/>
      </c>
      <c r="J33" s="8">
        <f>I37</f>
        <v/>
      </c>
      <c r="K33" s="8">
        <f>J37</f>
        <v/>
      </c>
      <c r="L33" s="8">
        <f>K37</f>
        <v/>
      </c>
      <c r="M33" s="8">
        <f>L37</f>
        <v/>
      </c>
    </row>
    <row r="34">
      <c r="A34" s="22" t="inlineStr">
        <is>
          <t>Inverse de la durée restante</t>
        </is>
      </c>
      <c r="B34" s="22" t="inlineStr">
        <is>
          <t>%</t>
        </is>
      </c>
      <c r="C34" s="27">
        <f>IF(C32=0,0,1/C32)</f>
        <v/>
      </c>
      <c r="D34" s="27">
        <f>IF(D32=0,0,1/D32)</f>
        <v/>
      </c>
      <c r="E34" s="27">
        <f>IF(E32=0,0,1/E32)</f>
        <v/>
      </c>
      <c r="F34" s="27">
        <f>IF(F32=0,0,1/F32)</f>
        <v/>
      </c>
      <c r="G34" s="27">
        <f>IF(G32=0,0,1/G32)</f>
        <v/>
      </c>
      <c r="H34" s="27">
        <f>IF(H32=0,0,1/H32)</f>
        <v/>
      </c>
      <c r="I34" s="27">
        <f>IF(I32=0,0,1/I32)</f>
        <v/>
      </c>
      <c r="J34" s="27">
        <f>IF(J32=0,0,1/J32)</f>
        <v/>
      </c>
      <c r="K34" s="27">
        <f>IF(K32=0,0,1/K32)</f>
        <v/>
      </c>
      <c r="L34" s="27">
        <f>IF(L32=0,0,1/L32)</f>
        <v/>
      </c>
      <c r="M34" s="27">
        <f>IF(M32=0,0,1/M32)</f>
        <v/>
      </c>
    </row>
    <row r="35">
      <c r="A35" s="22" t="inlineStr">
        <is>
          <t>Taux dégressif</t>
        </is>
      </c>
      <c r="B35" s="22" t="inlineStr">
        <is>
          <t>%</t>
        </is>
      </c>
      <c r="C35" s="27">
        <f>IF(C32=0,0,IF($C$29*1/$C$28&gt;C34,$C$29*1/$C$28,C34))</f>
        <v/>
      </c>
      <c r="D35" s="27">
        <f>IF(D32=0,0,IF($C$29*1/$C$28&gt;D34,$C$29*1/$C$28,D34))</f>
        <v/>
      </c>
      <c r="E35" s="27">
        <f>IF(E32=0,0,IF($C$29*1/$C$28&gt;E34,$C$29*1/$C$28,E34))</f>
        <v/>
      </c>
      <c r="F35" s="27">
        <f>IF(F32=0,0,IF($C$29*1/$C$28&gt;F34,$C$29*1/$C$28,F34))</f>
        <v/>
      </c>
      <c r="G35" s="27">
        <f>IF(G32=0,0,IF($C$29*1/$C$28&gt;G34,$C$29*1/$C$28,G34))</f>
        <v/>
      </c>
      <c r="H35" s="27">
        <f>IF(H32=0,0,IF($C$29*1/$C$28&gt;H34,$C$29*1/$C$28,H34))</f>
        <v/>
      </c>
      <c r="I35" s="27">
        <f>IF(I32=0,0,IF($C$29*1/$C$28&gt;I34,$C$29*1/$C$28,I34))</f>
        <v/>
      </c>
      <c r="J35" s="27">
        <f>IF(J32=0,0,IF($C$29*1/$C$28&gt;J34,$C$29*1/$C$28,J34))</f>
        <v/>
      </c>
      <c r="K35" s="27">
        <f>IF(K32=0,0,IF($C$29*1/$C$28&gt;K34,$C$29*1/$C$28,K34))</f>
        <v/>
      </c>
      <c r="L35" s="27">
        <f>IF(L32=0,0,IF($C$29*1/$C$28&gt;L34,$C$29*1/$C$28,L34))</f>
        <v/>
      </c>
      <c r="M35" s="27">
        <f>IF(M32=0,0,IF($C$29*1/$C$28&gt;M34,$C$29*1/$C$28,M34))</f>
        <v/>
      </c>
    </row>
    <row r="36">
      <c r="A36" s="22" t="inlineStr">
        <is>
          <t>Charge d'amortissement</t>
        </is>
      </c>
      <c r="B36" s="22" t="inlineStr">
        <is>
          <t>USD</t>
        </is>
      </c>
      <c r="C36" s="8">
        <f>C33*C35</f>
        <v/>
      </c>
      <c r="D36" s="8">
        <f>D33*D35</f>
        <v/>
      </c>
      <c r="E36" s="8">
        <f>E33*E35</f>
        <v/>
      </c>
      <c r="F36" s="8">
        <f>F33*F35</f>
        <v/>
      </c>
      <c r="G36" s="8">
        <f>G33*G35</f>
        <v/>
      </c>
      <c r="H36" s="8">
        <f>H33*H35</f>
        <v/>
      </c>
      <c r="I36" s="8">
        <f>I33*I35</f>
        <v/>
      </c>
      <c r="J36" s="8">
        <f>J33*J35</f>
        <v/>
      </c>
      <c r="K36" s="8">
        <f>K33*K35</f>
        <v/>
      </c>
      <c r="L36" s="8">
        <f>L33*L35</f>
        <v/>
      </c>
      <c r="M36" s="8">
        <f>M33*M35</f>
        <v/>
      </c>
    </row>
    <row r="37">
      <c r="A37" s="22" t="inlineStr">
        <is>
          <t>Amortissement restant</t>
        </is>
      </c>
      <c r="B37" s="22" t="inlineStr">
        <is>
          <t>USD</t>
        </is>
      </c>
      <c r="C37" s="8">
        <f>C33-C36</f>
        <v/>
      </c>
      <c r="D37" s="8">
        <f>D33-D36</f>
        <v/>
      </c>
      <c r="E37" s="8">
        <f>E33-E36</f>
        <v/>
      </c>
      <c r="F37" s="8">
        <f>F33-F36</f>
        <v/>
      </c>
      <c r="G37" s="8">
        <f>G33-G36</f>
        <v/>
      </c>
      <c r="H37" s="8">
        <f>H33-H36</f>
        <v/>
      </c>
      <c r="I37" s="8">
        <f>I33-I36</f>
        <v/>
      </c>
      <c r="J37" s="8">
        <f>J33-J36</f>
        <v/>
      </c>
      <c r="K37" s="8">
        <f>K33-K36</f>
        <v/>
      </c>
      <c r="L37" s="8">
        <f>L33-L36</f>
        <v/>
      </c>
      <c r="M37" s="8">
        <f>M33-M36</f>
        <v/>
      </c>
    </row>
    <row r="38">
      <c r="A38" s="22" t="n"/>
      <c r="B38" s="22" t="n"/>
    </row>
    <row r="39">
      <c r="A39" s="2" t="inlineStr">
        <is>
          <t>Immobilisations de l'année A2</t>
        </is>
      </c>
      <c r="B39" s="22" t="n"/>
    </row>
    <row r="40">
      <c r="A40" s="22" t="inlineStr">
        <is>
          <t>Durée restante</t>
        </is>
      </c>
      <c r="B40" s="22" t="inlineStr">
        <is>
          <t>Années</t>
        </is>
      </c>
      <c r="D40" s="23">
        <f>IF($C$28&lt;D$3,$C$28,D$3)</f>
        <v/>
      </c>
      <c r="E40" s="8">
        <f>IF(D40=0,0,IF(D40-1&lt;E$3,D40-1,E$3))</f>
        <v/>
      </c>
      <c r="F40" s="8">
        <f>IF(E40=0,0,IF(E40-1&lt;F$3,E40-1,F$3))</f>
        <v/>
      </c>
      <c r="G40" s="8">
        <f>IF(F40=0,0,IF(F40-1&lt;G$3,F40-1,G$3))</f>
        <v/>
      </c>
      <c r="H40" s="8">
        <f>IF(G40=0,0,IF(G40-1&lt;H$3,G40-1,H$3))</f>
        <v/>
      </c>
      <c r="I40" s="8">
        <f>IF(H40=0,0,IF(H40-1&lt;I$3,H40-1,I$3))</f>
        <v/>
      </c>
      <c r="J40" s="8">
        <f>IF(I40=0,0,IF(I40-1&lt;J$3,I40-1,J$3))</f>
        <v/>
      </c>
      <c r="K40" s="8">
        <f>IF(J40=0,0,IF(J40-1&lt;K$3,J40-1,K$3))</f>
        <v/>
      </c>
      <c r="L40" s="8">
        <f>IF(K40=0,0,IF(K40-1&lt;L$3,K40-1,L$3))</f>
        <v/>
      </c>
      <c r="M40" s="8">
        <f>IF(L40=0,0,IF(L40-1&lt;M$3,L40-1,M$3))</f>
        <v/>
      </c>
    </row>
    <row r="41">
      <c r="A41" s="22" t="inlineStr">
        <is>
          <t>Base amortissable</t>
        </is>
      </c>
      <c r="B41" s="22" t="inlineStr">
        <is>
          <t>USD</t>
        </is>
      </c>
      <c r="D41" s="23">
        <f>Modèle!D$10</f>
        <v/>
      </c>
      <c r="E41" s="8">
        <f>D45</f>
        <v/>
      </c>
      <c r="F41" s="8">
        <f>E45</f>
        <v/>
      </c>
      <c r="G41" s="8">
        <f>F45</f>
        <v/>
      </c>
      <c r="H41" s="8">
        <f>G45</f>
        <v/>
      </c>
      <c r="I41" s="8">
        <f>H45</f>
        <v/>
      </c>
      <c r="J41" s="8">
        <f>I45</f>
        <v/>
      </c>
      <c r="K41" s="8">
        <f>J45</f>
        <v/>
      </c>
      <c r="L41" s="8">
        <f>K45</f>
        <v/>
      </c>
      <c r="M41" s="8">
        <f>L45</f>
        <v/>
      </c>
    </row>
    <row r="42">
      <c r="A42" s="22" t="inlineStr">
        <is>
          <t>Inverse de la durée restante</t>
        </is>
      </c>
      <c r="B42" s="22" t="inlineStr">
        <is>
          <t>%</t>
        </is>
      </c>
      <c r="D42" s="27">
        <f>IF(D40=0,0,1/D40)</f>
        <v/>
      </c>
      <c r="E42" s="27">
        <f>IF(E40=0,0,1/E40)</f>
        <v/>
      </c>
      <c r="F42" s="27">
        <f>IF(F40=0,0,1/F40)</f>
        <v/>
      </c>
      <c r="G42" s="27">
        <f>IF(G40=0,0,1/G40)</f>
        <v/>
      </c>
      <c r="H42" s="27">
        <f>IF(H40=0,0,1/H40)</f>
        <v/>
      </c>
      <c r="I42" s="27">
        <f>IF(I40=0,0,1/I40)</f>
        <v/>
      </c>
      <c r="J42" s="27">
        <f>IF(J40=0,0,1/J40)</f>
        <v/>
      </c>
      <c r="K42" s="27">
        <f>IF(K40=0,0,1/K40)</f>
        <v/>
      </c>
      <c r="L42" s="27">
        <f>IF(L40=0,0,1/L40)</f>
        <v/>
      </c>
      <c r="M42" s="27">
        <f>IF(M40=0,0,1/M40)</f>
        <v/>
      </c>
    </row>
    <row r="43">
      <c r="A43" s="22" t="inlineStr">
        <is>
          <t>Taux dégressif</t>
        </is>
      </c>
      <c r="B43" s="22" t="inlineStr">
        <is>
          <t>%</t>
        </is>
      </c>
      <c r="D43" s="27">
        <f>IF(D40=0,0,IF($C$29*1/$C$28&gt;D42,$C$29*1/$C$28,D42))</f>
        <v/>
      </c>
      <c r="E43" s="27">
        <f>IF(E40=0,0,IF($C$29*1/$C$28&gt;E42,$C$29*1/$C$28,E42))</f>
        <v/>
      </c>
      <c r="F43" s="27">
        <f>IF(F40=0,0,IF($C$29*1/$C$28&gt;F42,$C$29*1/$C$28,F42))</f>
        <v/>
      </c>
      <c r="G43" s="27">
        <f>IF(G40=0,0,IF($C$29*1/$C$28&gt;G42,$C$29*1/$C$28,G42))</f>
        <v/>
      </c>
      <c r="H43" s="27">
        <f>IF(H40=0,0,IF($C$29*1/$C$28&gt;H42,$C$29*1/$C$28,H42))</f>
        <v/>
      </c>
      <c r="I43" s="27">
        <f>IF(I40=0,0,IF($C$29*1/$C$28&gt;I42,$C$29*1/$C$28,I42))</f>
        <v/>
      </c>
      <c r="J43" s="27">
        <f>IF(J40=0,0,IF($C$29*1/$C$28&gt;J42,$C$29*1/$C$28,J42))</f>
        <v/>
      </c>
      <c r="K43" s="27">
        <f>IF(K40=0,0,IF($C$29*1/$C$28&gt;K42,$C$29*1/$C$28,K42))</f>
        <v/>
      </c>
      <c r="L43" s="27">
        <f>IF(L40=0,0,IF($C$29*1/$C$28&gt;L42,$C$29*1/$C$28,L42))</f>
        <v/>
      </c>
      <c r="M43" s="27">
        <f>IF(M40=0,0,IF($C$29*1/$C$28&gt;M42,$C$29*1/$C$28,M42))</f>
        <v/>
      </c>
    </row>
    <row r="44">
      <c r="A44" s="22" t="inlineStr">
        <is>
          <t>Charge d'amortissement</t>
        </is>
      </c>
      <c r="B44" s="22" t="inlineStr">
        <is>
          <t>USD</t>
        </is>
      </c>
      <c r="D44" s="8">
        <f>D41*D43</f>
        <v/>
      </c>
      <c r="E44" s="8">
        <f>E41*E43</f>
        <v/>
      </c>
      <c r="F44" s="8">
        <f>F41*F43</f>
        <v/>
      </c>
      <c r="G44" s="8">
        <f>G41*G43</f>
        <v/>
      </c>
      <c r="H44" s="8">
        <f>H41*H43</f>
        <v/>
      </c>
      <c r="I44" s="8">
        <f>I41*I43</f>
        <v/>
      </c>
      <c r="J44" s="8">
        <f>J41*J43</f>
        <v/>
      </c>
      <c r="K44" s="8">
        <f>K41*K43</f>
        <v/>
      </c>
      <c r="L44" s="8">
        <f>L41*L43</f>
        <v/>
      </c>
      <c r="M44" s="8">
        <f>M41*M43</f>
        <v/>
      </c>
    </row>
    <row r="45">
      <c r="A45" s="22" t="inlineStr">
        <is>
          <t>Amortissement restant</t>
        </is>
      </c>
      <c r="B45" s="22" t="inlineStr">
        <is>
          <t>USD</t>
        </is>
      </c>
      <c r="D45" s="8">
        <f>D41-D44</f>
        <v/>
      </c>
      <c r="E45" s="8">
        <f>E41-E44</f>
        <v/>
      </c>
      <c r="F45" s="8">
        <f>F41-F44</f>
        <v/>
      </c>
      <c r="G45" s="8">
        <f>G41-G44</f>
        <v/>
      </c>
      <c r="H45" s="8">
        <f>H41-H44</f>
        <v/>
      </c>
      <c r="I45" s="8">
        <f>I41-I44</f>
        <v/>
      </c>
      <c r="J45" s="8">
        <f>J41-J44</f>
        <v/>
      </c>
      <c r="K45" s="8">
        <f>K41-K44</f>
        <v/>
      </c>
      <c r="L45" s="8">
        <f>L41-L44</f>
        <v/>
      </c>
      <c r="M45" s="8">
        <f>M41-M44</f>
        <v/>
      </c>
    </row>
    <row r="46">
      <c r="A46" s="22" t="n"/>
      <c r="B46" s="22" t="n"/>
    </row>
    <row r="47">
      <c r="A47" s="2" t="inlineStr">
        <is>
          <t>Immobilisations de l'année A3</t>
        </is>
      </c>
      <c r="B47" s="22" t="n"/>
    </row>
    <row r="48">
      <c r="A48" s="22" t="inlineStr">
        <is>
          <t>Durée restante</t>
        </is>
      </c>
      <c r="B48" s="22" t="inlineStr">
        <is>
          <t>Années</t>
        </is>
      </c>
      <c r="E48" s="23">
        <f>IF($C$28&lt;E$3,$C$28,E$3)</f>
        <v/>
      </c>
      <c r="F48" s="8">
        <f>IF(E48=0,0,IF(E48-1&lt;F$3,E48-1,F$3))</f>
        <v/>
      </c>
      <c r="G48" s="8">
        <f>IF(F48=0,0,IF(F48-1&lt;G$3,F48-1,G$3))</f>
        <v/>
      </c>
      <c r="H48" s="8">
        <f>IF(G48=0,0,IF(G48-1&lt;H$3,G48-1,H$3))</f>
        <v/>
      </c>
      <c r="I48" s="8">
        <f>IF(H48=0,0,IF(H48-1&lt;I$3,H48-1,I$3))</f>
        <v/>
      </c>
      <c r="J48" s="8">
        <f>IF(I48=0,0,IF(I48-1&lt;J$3,I48-1,J$3))</f>
        <v/>
      </c>
      <c r="K48" s="8">
        <f>IF(J48=0,0,IF(J48-1&lt;K$3,J48-1,K$3))</f>
        <v/>
      </c>
      <c r="L48" s="8">
        <f>IF(K48=0,0,IF(K48-1&lt;L$3,K48-1,L$3))</f>
        <v/>
      </c>
      <c r="M48" s="8">
        <f>IF(L48=0,0,IF(L48-1&lt;M$3,L48-1,M$3))</f>
        <v/>
      </c>
    </row>
    <row r="49">
      <c r="A49" s="22" t="inlineStr">
        <is>
          <t>Base amortissable</t>
        </is>
      </c>
      <c r="B49" s="22" t="inlineStr">
        <is>
          <t>USD</t>
        </is>
      </c>
      <c r="E49" s="23">
        <f>Modèle!E$10</f>
        <v/>
      </c>
      <c r="F49" s="8">
        <f>E53</f>
        <v/>
      </c>
      <c r="G49" s="8">
        <f>F53</f>
        <v/>
      </c>
      <c r="H49" s="8">
        <f>G53</f>
        <v/>
      </c>
      <c r="I49" s="8">
        <f>H53</f>
        <v/>
      </c>
      <c r="J49" s="8">
        <f>I53</f>
        <v/>
      </c>
      <c r="K49" s="8">
        <f>J53</f>
        <v/>
      </c>
      <c r="L49" s="8">
        <f>K53</f>
        <v/>
      </c>
      <c r="M49" s="8">
        <f>L53</f>
        <v/>
      </c>
    </row>
    <row r="50">
      <c r="A50" s="22" t="inlineStr">
        <is>
          <t>Inverse de la durée restante</t>
        </is>
      </c>
      <c r="B50" s="22" t="inlineStr">
        <is>
          <t>%</t>
        </is>
      </c>
      <c r="E50" s="27">
        <f>IF(E48=0,0,1/E48)</f>
        <v/>
      </c>
      <c r="F50" s="27">
        <f>IF(F48=0,0,1/F48)</f>
        <v/>
      </c>
      <c r="G50" s="27">
        <f>IF(G48=0,0,1/G48)</f>
        <v/>
      </c>
      <c r="H50" s="27">
        <f>IF(H48=0,0,1/H48)</f>
        <v/>
      </c>
      <c r="I50" s="27">
        <f>IF(I48=0,0,1/I48)</f>
        <v/>
      </c>
      <c r="J50" s="27">
        <f>IF(J48=0,0,1/J48)</f>
        <v/>
      </c>
      <c r="K50" s="27">
        <f>IF(K48=0,0,1/K48)</f>
        <v/>
      </c>
      <c r="L50" s="27">
        <f>IF(L48=0,0,1/L48)</f>
        <v/>
      </c>
      <c r="M50" s="27">
        <f>IF(M48=0,0,1/M48)</f>
        <v/>
      </c>
    </row>
    <row r="51">
      <c r="A51" s="22" t="inlineStr">
        <is>
          <t>Taux dégressif</t>
        </is>
      </c>
      <c r="B51" s="22" t="inlineStr">
        <is>
          <t>%</t>
        </is>
      </c>
      <c r="E51" s="27">
        <f>IF(E48=0,0,IF($C$29*1/$C$28&gt;E50,$C$29*1/$C$28,E50))</f>
        <v/>
      </c>
      <c r="F51" s="27">
        <f>IF(F48=0,0,IF($C$29*1/$C$28&gt;F50,$C$29*1/$C$28,F50))</f>
        <v/>
      </c>
      <c r="G51" s="27">
        <f>IF(G48=0,0,IF($C$29*1/$C$28&gt;G50,$C$29*1/$C$28,G50))</f>
        <v/>
      </c>
      <c r="H51" s="27">
        <f>IF(H48=0,0,IF($C$29*1/$C$28&gt;H50,$C$29*1/$C$28,H50))</f>
        <v/>
      </c>
      <c r="I51" s="27">
        <f>IF(I48=0,0,IF($C$29*1/$C$28&gt;I50,$C$29*1/$C$28,I50))</f>
        <v/>
      </c>
      <c r="J51" s="27">
        <f>IF(J48=0,0,IF($C$29*1/$C$28&gt;J50,$C$29*1/$C$28,J50))</f>
        <v/>
      </c>
      <c r="K51" s="27">
        <f>IF(K48=0,0,IF($C$29*1/$C$28&gt;K50,$C$29*1/$C$28,K50))</f>
        <v/>
      </c>
      <c r="L51" s="27">
        <f>IF(L48=0,0,IF($C$29*1/$C$28&gt;L50,$C$29*1/$C$28,L50))</f>
        <v/>
      </c>
      <c r="M51" s="27">
        <f>IF(M48=0,0,IF($C$29*1/$C$28&gt;M50,$C$29*1/$C$28,M50))</f>
        <v/>
      </c>
    </row>
    <row r="52">
      <c r="A52" s="22" t="inlineStr">
        <is>
          <t>Charge d'amortissement</t>
        </is>
      </c>
      <c r="B52" s="22" t="inlineStr">
        <is>
          <t>USD</t>
        </is>
      </c>
      <c r="E52" s="8">
        <f>E49*E51</f>
        <v/>
      </c>
      <c r="F52" s="8">
        <f>F49*F51</f>
        <v/>
      </c>
      <c r="G52" s="8">
        <f>G49*G51</f>
        <v/>
      </c>
      <c r="H52" s="8">
        <f>H49*H51</f>
        <v/>
      </c>
      <c r="I52" s="8">
        <f>I49*I51</f>
        <v/>
      </c>
      <c r="J52" s="8">
        <f>J49*J51</f>
        <v/>
      </c>
      <c r="K52" s="8">
        <f>K49*K51</f>
        <v/>
      </c>
      <c r="L52" s="8">
        <f>L49*L51</f>
        <v/>
      </c>
      <c r="M52" s="8">
        <f>M49*M51</f>
        <v/>
      </c>
    </row>
    <row r="53">
      <c r="A53" s="22" t="inlineStr">
        <is>
          <t>Amortissement restant</t>
        </is>
      </c>
      <c r="B53" s="22" t="inlineStr">
        <is>
          <t>USD</t>
        </is>
      </c>
      <c r="E53" s="8">
        <f>E49-E52</f>
        <v/>
      </c>
      <c r="F53" s="8">
        <f>F49-F52</f>
        <v/>
      </c>
      <c r="G53" s="8">
        <f>G49-G52</f>
        <v/>
      </c>
      <c r="H53" s="8">
        <f>H49-H52</f>
        <v/>
      </c>
      <c r="I53" s="8">
        <f>I49-I52</f>
        <v/>
      </c>
      <c r="J53" s="8">
        <f>J49-J52</f>
        <v/>
      </c>
      <c r="K53" s="8">
        <f>K49-K52</f>
        <v/>
      </c>
      <c r="L53" s="8">
        <f>L49-L52</f>
        <v/>
      </c>
      <c r="M53" s="8">
        <f>M49-M52</f>
        <v/>
      </c>
    </row>
    <row r="54">
      <c r="A54" s="22" t="n"/>
      <c r="B54" s="22" t="n"/>
    </row>
    <row r="55">
      <c r="A55" s="2" t="inlineStr">
        <is>
          <t>Immobilisations de l'année A4</t>
        </is>
      </c>
      <c r="B55" s="22" t="n"/>
    </row>
    <row r="56">
      <c r="A56" s="22" t="inlineStr">
        <is>
          <t>Durée restante</t>
        </is>
      </c>
      <c r="B56" s="22" t="inlineStr">
        <is>
          <t>Années</t>
        </is>
      </c>
      <c r="F56" s="23">
        <f>IF($C$28&lt;F$3,$C$28,F$3)</f>
        <v/>
      </c>
      <c r="G56" s="8">
        <f>IF(F56=0,0,IF(F56-1&lt;G$3,F56-1,G$3))</f>
        <v/>
      </c>
      <c r="H56" s="8">
        <f>IF(G56=0,0,IF(G56-1&lt;H$3,G56-1,H$3))</f>
        <v/>
      </c>
      <c r="I56" s="8">
        <f>IF(H56=0,0,IF(H56-1&lt;I$3,H56-1,I$3))</f>
        <v/>
      </c>
      <c r="J56" s="8">
        <f>IF(I56=0,0,IF(I56-1&lt;J$3,I56-1,J$3))</f>
        <v/>
      </c>
      <c r="K56" s="8">
        <f>IF(J56=0,0,IF(J56-1&lt;K$3,J56-1,K$3))</f>
        <v/>
      </c>
      <c r="L56" s="8">
        <f>IF(K56=0,0,IF(K56-1&lt;L$3,K56-1,L$3))</f>
        <v/>
      </c>
      <c r="M56" s="8">
        <f>IF(L56=0,0,IF(L56-1&lt;M$3,L56-1,M$3))</f>
        <v/>
      </c>
    </row>
    <row r="57">
      <c r="A57" s="22" t="inlineStr">
        <is>
          <t>Base amortissable</t>
        </is>
      </c>
      <c r="B57" s="22" t="inlineStr">
        <is>
          <t>USD</t>
        </is>
      </c>
      <c r="F57" s="23">
        <f>Modèle!F$10</f>
        <v/>
      </c>
      <c r="G57" s="8">
        <f>F61</f>
        <v/>
      </c>
      <c r="H57" s="8">
        <f>G61</f>
        <v/>
      </c>
      <c r="I57" s="8">
        <f>H61</f>
        <v/>
      </c>
      <c r="J57" s="8">
        <f>I61</f>
        <v/>
      </c>
      <c r="K57" s="8">
        <f>J61</f>
        <v/>
      </c>
      <c r="L57" s="8">
        <f>K61</f>
        <v/>
      </c>
      <c r="M57" s="8">
        <f>L61</f>
        <v/>
      </c>
    </row>
    <row r="58">
      <c r="A58" s="22" t="inlineStr">
        <is>
          <t>Inverse de la durée restante</t>
        </is>
      </c>
      <c r="B58" s="22" t="inlineStr">
        <is>
          <t>%</t>
        </is>
      </c>
      <c r="F58" s="27">
        <f>IF(F56=0,0,1/F56)</f>
        <v/>
      </c>
      <c r="G58" s="27">
        <f>IF(G56=0,0,1/G56)</f>
        <v/>
      </c>
      <c r="H58" s="27">
        <f>IF(H56=0,0,1/H56)</f>
        <v/>
      </c>
      <c r="I58" s="27">
        <f>IF(I56=0,0,1/I56)</f>
        <v/>
      </c>
      <c r="J58" s="27">
        <f>IF(J56=0,0,1/J56)</f>
        <v/>
      </c>
      <c r="K58" s="27">
        <f>IF(K56=0,0,1/K56)</f>
        <v/>
      </c>
      <c r="L58" s="27">
        <f>IF(L56=0,0,1/L56)</f>
        <v/>
      </c>
      <c r="M58" s="27">
        <f>IF(M56=0,0,1/M56)</f>
        <v/>
      </c>
    </row>
    <row r="59">
      <c r="A59" s="22" t="inlineStr">
        <is>
          <t>Taux dégressif</t>
        </is>
      </c>
      <c r="B59" s="22" t="inlineStr">
        <is>
          <t>%</t>
        </is>
      </c>
      <c r="F59" s="27">
        <f>IF(F56=0,0,IF($C$29*1/$C$28&gt;F58,$C$29*1/$C$28,F58))</f>
        <v/>
      </c>
      <c r="G59" s="27">
        <f>IF(G56=0,0,IF($C$29*1/$C$28&gt;G58,$C$29*1/$C$28,G58))</f>
        <v/>
      </c>
      <c r="H59" s="27">
        <f>IF(H56=0,0,IF($C$29*1/$C$28&gt;H58,$C$29*1/$C$28,H58))</f>
        <v/>
      </c>
      <c r="I59" s="27">
        <f>IF(I56=0,0,IF($C$29*1/$C$28&gt;I58,$C$29*1/$C$28,I58))</f>
        <v/>
      </c>
      <c r="J59" s="27">
        <f>IF(J56=0,0,IF($C$29*1/$C$28&gt;J58,$C$29*1/$C$28,J58))</f>
        <v/>
      </c>
      <c r="K59" s="27">
        <f>IF(K56=0,0,IF($C$29*1/$C$28&gt;K58,$C$29*1/$C$28,K58))</f>
        <v/>
      </c>
      <c r="L59" s="27">
        <f>IF(L56=0,0,IF($C$29*1/$C$28&gt;L58,$C$29*1/$C$28,L58))</f>
        <v/>
      </c>
      <c r="M59" s="27">
        <f>IF(M56=0,0,IF($C$29*1/$C$28&gt;M58,$C$29*1/$C$28,M58))</f>
        <v/>
      </c>
    </row>
    <row r="60">
      <c r="A60" s="22" t="inlineStr">
        <is>
          <t>Charge d'amortissement</t>
        </is>
      </c>
      <c r="B60" s="22" t="inlineStr">
        <is>
          <t>USD</t>
        </is>
      </c>
      <c r="F60" s="8">
        <f>F57*F59</f>
        <v/>
      </c>
      <c r="G60" s="8">
        <f>G57*G59</f>
        <v/>
      </c>
      <c r="H60" s="8">
        <f>H57*H59</f>
        <v/>
      </c>
      <c r="I60" s="8">
        <f>I57*I59</f>
        <v/>
      </c>
      <c r="J60" s="8">
        <f>J57*J59</f>
        <v/>
      </c>
      <c r="K60" s="8">
        <f>K57*K59</f>
        <v/>
      </c>
      <c r="L60" s="8">
        <f>L57*L59</f>
        <v/>
      </c>
      <c r="M60" s="8">
        <f>M57*M59</f>
        <v/>
      </c>
    </row>
    <row r="61">
      <c r="A61" s="22" t="inlineStr">
        <is>
          <t>Amortissement restant</t>
        </is>
      </c>
      <c r="B61" s="22" t="inlineStr">
        <is>
          <t>USD</t>
        </is>
      </c>
      <c r="F61" s="8">
        <f>F57-F60</f>
        <v/>
      </c>
      <c r="G61" s="8">
        <f>G57-G60</f>
        <v/>
      </c>
      <c r="H61" s="8">
        <f>H57-H60</f>
        <v/>
      </c>
      <c r="I61" s="8">
        <f>I57-I60</f>
        <v/>
      </c>
      <c r="J61" s="8">
        <f>J57-J60</f>
        <v/>
      </c>
      <c r="K61" s="8">
        <f>K57-K60</f>
        <v/>
      </c>
      <c r="L61" s="8">
        <f>L57-L60</f>
        <v/>
      </c>
      <c r="M61" s="8">
        <f>M57-M60</f>
        <v/>
      </c>
    </row>
    <row r="62">
      <c r="A62" s="22" t="n"/>
      <c r="B62" s="22" t="n"/>
    </row>
    <row r="63">
      <c r="A63" s="2" t="inlineStr">
        <is>
          <t>Immobilisations de l'année A5</t>
        </is>
      </c>
      <c r="B63" s="22" t="n"/>
    </row>
    <row r="64">
      <c r="A64" s="22" t="inlineStr">
        <is>
          <t>Durée restante</t>
        </is>
      </c>
      <c r="B64" s="22" t="inlineStr">
        <is>
          <t>Années</t>
        </is>
      </c>
      <c r="G64" s="23">
        <f>IF($C$28&lt;G$3,$C$28,G$3)</f>
        <v/>
      </c>
      <c r="H64" s="8">
        <f>IF(G64=0,0,IF(G64-1&lt;H$3,G64-1,H$3))</f>
        <v/>
      </c>
      <c r="I64" s="8">
        <f>IF(H64=0,0,IF(H64-1&lt;I$3,H64-1,I$3))</f>
        <v/>
      </c>
      <c r="J64" s="8">
        <f>IF(I64=0,0,IF(I64-1&lt;J$3,I64-1,J$3))</f>
        <v/>
      </c>
      <c r="K64" s="8">
        <f>IF(J64=0,0,IF(J64-1&lt;K$3,J64-1,K$3))</f>
        <v/>
      </c>
      <c r="L64" s="8">
        <f>IF(K64=0,0,IF(K64-1&lt;L$3,K64-1,L$3))</f>
        <v/>
      </c>
      <c r="M64" s="8">
        <f>IF(L64=0,0,IF(L64-1&lt;M$3,L64-1,M$3))</f>
        <v/>
      </c>
    </row>
    <row r="65">
      <c r="A65" s="22" t="inlineStr">
        <is>
          <t>Base amortissable</t>
        </is>
      </c>
      <c r="B65" s="22" t="inlineStr">
        <is>
          <t>USD</t>
        </is>
      </c>
      <c r="G65" s="23">
        <f>Modèle!G$10</f>
        <v/>
      </c>
      <c r="H65" s="8">
        <f>G69</f>
        <v/>
      </c>
      <c r="I65" s="8">
        <f>H69</f>
        <v/>
      </c>
      <c r="J65" s="8">
        <f>I69</f>
        <v/>
      </c>
      <c r="K65" s="8">
        <f>J69</f>
        <v/>
      </c>
      <c r="L65" s="8">
        <f>K69</f>
        <v/>
      </c>
      <c r="M65" s="8">
        <f>L69</f>
        <v/>
      </c>
    </row>
    <row r="66">
      <c r="A66" s="22" t="inlineStr">
        <is>
          <t>Inverse de la durée restante</t>
        </is>
      </c>
      <c r="B66" s="22" t="inlineStr">
        <is>
          <t>%</t>
        </is>
      </c>
      <c r="G66" s="27">
        <f>IF(G64=0,0,1/G64)</f>
        <v/>
      </c>
      <c r="H66" s="27">
        <f>IF(H64=0,0,1/H64)</f>
        <v/>
      </c>
      <c r="I66" s="27">
        <f>IF(I64=0,0,1/I64)</f>
        <v/>
      </c>
      <c r="J66" s="27">
        <f>IF(J64=0,0,1/J64)</f>
        <v/>
      </c>
      <c r="K66" s="27">
        <f>IF(K64=0,0,1/K64)</f>
        <v/>
      </c>
      <c r="L66" s="27">
        <f>IF(L64=0,0,1/L64)</f>
        <v/>
      </c>
      <c r="M66" s="27">
        <f>IF(M64=0,0,1/M64)</f>
        <v/>
      </c>
    </row>
    <row r="67">
      <c r="A67" s="22" t="inlineStr">
        <is>
          <t>Taux dégressif</t>
        </is>
      </c>
      <c r="B67" s="22" t="inlineStr">
        <is>
          <t>%</t>
        </is>
      </c>
      <c r="G67" s="27">
        <f>IF(G64=0,0,IF($C$29*1/$C$28&gt;G66,$C$29*1/$C$28,G66))</f>
        <v/>
      </c>
      <c r="H67" s="27">
        <f>IF(H64=0,0,IF($C$29*1/$C$28&gt;H66,$C$29*1/$C$28,H66))</f>
        <v/>
      </c>
      <c r="I67" s="27">
        <f>IF(I64=0,0,IF($C$29*1/$C$28&gt;I66,$C$29*1/$C$28,I66))</f>
        <v/>
      </c>
      <c r="J67" s="27">
        <f>IF(J64=0,0,IF($C$29*1/$C$28&gt;J66,$C$29*1/$C$28,J66))</f>
        <v/>
      </c>
      <c r="K67" s="27">
        <f>IF(K64=0,0,IF($C$29*1/$C$28&gt;K66,$C$29*1/$C$28,K66))</f>
        <v/>
      </c>
      <c r="L67" s="27">
        <f>IF(L64=0,0,IF($C$29*1/$C$28&gt;L66,$C$29*1/$C$28,L66))</f>
        <v/>
      </c>
      <c r="M67" s="27">
        <f>IF(M64=0,0,IF($C$29*1/$C$28&gt;M66,$C$29*1/$C$28,M66))</f>
        <v/>
      </c>
    </row>
    <row r="68">
      <c r="A68" s="22" t="inlineStr">
        <is>
          <t>Charge d'amortissement</t>
        </is>
      </c>
      <c r="B68" s="22" t="inlineStr">
        <is>
          <t>USD</t>
        </is>
      </c>
      <c r="G68" s="8">
        <f>G65*G67</f>
        <v/>
      </c>
      <c r="H68" s="8">
        <f>H65*H67</f>
        <v/>
      </c>
      <c r="I68" s="8">
        <f>I65*I67</f>
        <v/>
      </c>
      <c r="J68" s="8">
        <f>J65*J67</f>
        <v/>
      </c>
      <c r="K68" s="8">
        <f>K65*K67</f>
        <v/>
      </c>
      <c r="L68" s="8">
        <f>L65*L67</f>
        <v/>
      </c>
      <c r="M68" s="8">
        <f>M65*M67</f>
        <v/>
      </c>
    </row>
    <row r="69">
      <c r="A69" s="22" t="inlineStr">
        <is>
          <t>Amortissement restant</t>
        </is>
      </c>
      <c r="B69" s="22" t="inlineStr">
        <is>
          <t>USD</t>
        </is>
      </c>
      <c r="G69" s="8">
        <f>G65-G68</f>
        <v/>
      </c>
      <c r="H69" s="8">
        <f>H65-H68</f>
        <v/>
      </c>
      <c r="I69" s="8">
        <f>I65-I68</f>
        <v/>
      </c>
      <c r="J69" s="8">
        <f>J65-J68</f>
        <v/>
      </c>
      <c r="K69" s="8">
        <f>K65-K68</f>
        <v/>
      </c>
      <c r="L69" s="8">
        <f>L65-L68</f>
        <v/>
      </c>
      <c r="M69" s="8">
        <f>M65-M68</f>
        <v/>
      </c>
    </row>
    <row r="70">
      <c r="A70" s="22" t="n"/>
      <c r="B70" s="22" t="n"/>
    </row>
    <row r="71">
      <c r="A71" s="2" t="inlineStr">
        <is>
          <t>Immobilisations de l'année A6</t>
        </is>
      </c>
      <c r="B71" s="22" t="n"/>
    </row>
    <row r="72">
      <c r="A72" s="22" t="inlineStr">
        <is>
          <t>Durée restante</t>
        </is>
      </c>
      <c r="B72" s="22" t="inlineStr">
        <is>
          <t>Années</t>
        </is>
      </c>
      <c r="H72" s="23">
        <f>IF($C$28&lt;H$3,$C$28,H$3)</f>
        <v/>
      </c>
      <c r="I72" s="8">
        <f>IF(H72=0,0,IF(H72-1&lt;I$3,H72-1,I$3))</f>
        <v/>
      </c>
      <c r="J72" s="8">
        <f>IF(I72=0,0,IF(I72-1&lt;J$3,I72-1,J$3))</f>
        <v/>
      </c>
      <c r="K72" s="8">
        <f>IF(J72=0,0,IF(J72-1&lt;K$3,J72-1,K$3))</f>
        <v/>
      </c>
      <c r="L72" s="8">
        <f>IF(K72=0,0,IF(K72-1&lt;L$3,K72-1,L$3))</f>
        <v/>
      </c>
      <c r="M72" s="8">
        <f>IF(L72=0,0,IF(L72-1&lt;M$3,L72-1,M$3))</f>
        <v/>
      </c>
    </row>
    <row r="73">
      <c r="A73" s="22" t="inlineStr">
        <is>
          <t>Base amortissable</t>
        </is>
      </c>
      <c r="B73" s="22" t="inlineStr">
        <is>
          <t>USD</t>
        </is>
      </c>
      <c r="H73" s="23">
        <f>Modèle!H$10</f>
        <v/>
      </c>
      <c r="I73" s="8">
        <f>H77</f>
        <v/>
      </c>
      <c r="J73" s="8">
        <f>I77</f>
        <v/>
      </c>
      <c r="K73" s="8">
        <f>J77</f>
        <v/>
      </c>
      <c r="L73" s="8">
        <f>K77</f>
        <v/>
      </c>
      <c r="M73" s="8">
        <f>L77</f>
        <v/>
      </c>
    </row>
    <row r="74">
      <c r="A74" s="22" t="inlineStr">
        <is>
          <t>Inverse de la durée restante</t>
        </is>
      </c>
      <c r="B74" s="22" t="inlineStr">
        <is>
          <t>%</t>
        </is>
      </c>
      <c r="H74" s="27">
        <f>IF(H72=0,0,1/H72)</f>
        <v/>
      </c>
      <c r="I74" s="27">
        <f>IF(I72=0,0,1/I72)</f>
        <v/>
      </c>
      <c r="J74" s="27">
        <f>IF(J72=0,0,1/J72)</f>
        <v/>
      </c>
      <c r="K74" s="27">
        <f>IF(K72=0,0,1/K72)</f>
        <v/>
      </c>
      <c r="L74" s="27">
        <f>IF(L72=0,0,1/L72)</f>
        <v/>
      </c>
      <c r="M74" s="27">
        <f>IF(M72=0,0,1/M72)</f>
        <v/>
      </c>
    </row>
    <row r="75">
      <c r="A75" s="22" t="inlineStr">
        <is>
          <t>Taux dégressif</t>
        </is>
      </c>
      <c r="B75" s="22" t="inlineStr">
        <is>
          <t>%</t>
        </is>
      </c>
      <c r="H75" s="27">
        <f>IF(H72=0,0,IF($C$29*1/$C$28&gt;H74,$C$29*1/$C$28,H74))</f>
        <v/>
      </c>
      <c r="I75" s="27">
        <f>IF(I72=0,0,IF($C$29*1/$C$28&gt;I74,$C$29*1/$C$28,I74))</f>
        <v/>
      </c>
      <c r="J75" s="27">
        <f>IF(J72=0,0,IF($C$29*1/$C$28&gt;J74,$C$29*1/$C$28,J74))</f>
        <v/>
      </c>
      <c r="K75" s="27">
        <f>IF(K72=0,0,IF($C$29*1/$C$28&gt;K74,$C$29*1/$C$28,K74))</f>
        <v/>
      </c>
      <c r="L75" s="27">
        <f>IF(L72=0,0,IF($C$29*1/$C$28&gt;L74,$C$29*1/$C$28,L74))</f>
        <v/>
      </c>
      <c r="M75" s="27">
        <f>IF(M72=0,0,IF($C$29*1/$C$28&gt;M74,$C$29*1/$C$28,M74))</f>
        <v/>
      </c>
    </row>
    <row r="76">
      <c r="A76" s="22" t="inlineStr">
        <is>
          <t>Charge d'amortissement</t>
        </is>
      </c>
      <c r="B76" s="22" t="inlineStr">
        <is>
          <t>USD</t>
        </is>
      </c>
      <c r="H76" s="8">
        <f>H73*H75</f>
        <v/>
      </c>
      <c r="I76" s="8">
        <f>I73*I75</f>
        <v/>
      </c>
      <c r="J76" s="8">
        <f>J73*J75</f>
        <v/>
      </c>
      <c r="K76" s="8">
        <f>K73*K75</f>
        <v/>
      </c>
      <c r="L76" s="8">
        <f>L73*L75</f>
        <v/>
      </c>
      <c r="M76" s="8">
        <f>M73*M75</f>
        <v/>
      </c>
    </row>
    <row r="77">
      <c r="A77" s="22" t="inlineStr">
        <is>
          <t>Amortissement restant</t>
        </is>
      </c>
      <c r="B77" s="22" t="inlineStr">
        <is>
          <t>USD</t>
        </is>
      </c>
      <c r="H77" s="8">
        <f>H73-H76</f>
        <v/>
      </c>
      <c r="I77" s="8">
        <f>I73-I76</f>
        <v/>
      </c>
      <c r="J77" s="8">
        <f>J73-J76</f>
        <v/>
      </c>
      <c r="K77" s="8">
        <f>K73-K76</f>
        <v/>
      </c>
      <c r="L77" s="8">
        <f>L73-L76</f>
        <v/>
      </c>
      <c r="M77" s="8">
        <f>M73-M76</f>
        <v/>
      </c>
    </row>
    <row r="78">
      <c r="A78" s="22" t="n"/>
      <c r="B78" s="22" t="n"/>
    </row>
    <row r="79">
      <c r="A79" s="2" t="inlineStr">
        <is>
          <t>Immobilisations de l'année A7</t>
        </is>
      </c>
      <c r="B79" s="22" t="n"/>
    </row>
    <row r="80">
      <c r="A80" s="22" t="inlineStr">
        <is>
          <t>Durée restante</t>
        </is>
      </c>
      <c r="B80" s="22" t="inlineStr">
        <is>
          <t>Années</t>
        </is>
      </c>
      <c r="I80" s="23">
        <f>IF($C$28&lt;I$3,$C$28,I$3)</f>
        <v/>
      </c>
      <c r="J80" s="8">
        <f>IF(I80=0,0,IF(I80-1&lt;J$3,I80-1,J$3))</f>
        <v/>
      </c>
      <c r="K80" s="8">
        <f>IF(J80=0,0,IF(J80-1&lt;K$3,J80-1,K$3))</f>
        <v/>
      </c>
      <c r="L80" s="8">
        <f>IF(K80=0,0,IF(K80-1&lt;L$3,K80-1,L$3))</f>
        <v/>
      </c>
      <c r="M80" s="8">
        <f>IF(L80=0,0,IF(L80-1&lt;M$3,L80-1,M$3))</f>
        <v/>
      </c>
    </row>
    <row r="81">
      <c r="A81" s="22" t="inlineStr">
        <is>
          <t>Base amortissable</t>
        </is>
      </c>
      <c r="B81" s="22" t="inlineStr">
        <is>
          <t>USD</t>
        </is>
      </c>
      <c r="I81" s="23">
        <f>Modèle!I$10</f>
        <v/>
      </c>
      <c r="J81" s="8">
        <f>I85</f>
        <v/>
      </c>
      <c r="K81" s="8">
        <f>J85</f>
        <v/>
      </c>
      <c r="L81" s="8">
        <f>K85</f>
        <v/>
      </c>
      <c r="M81" s="8">
        <f>L85</f>
        <v/>
      </c>
    </row>
    <row r="82">
      <c r="A82" s="22" t="inlineStr">
        <is>
          <t>Inverse de la durée restante</t>
        </is>
      </c>
      <c r="B82" s="22" t="inlineStr">
        <is>
          <t>%</t>
        </is>
      </c>
      <c r="I82" s="27">
        <f>IF(I80=0,0,1/I80)</f>
        <v/>
      </c>
      <c r="J82" s="27">
        <f>IF(J80=0,0,1/J80)</f>
        <v/>
      </c>
      <c r="K82" s="27">
        <f>IF(K80=0,0,1/K80)</f>
        <v/>
      </c>
      <c r="L82" s="27">
        <f>IF(L80=0,0,1/L80)</f>
        <v/>
      </c>
      <c r="M82" s="27">
        <f>IF(M80=0,0,1/M80)</f>
        <v/>
      </c>
    </row>
    <row r="83">
      <c r="A83" s="22" t="inlineStr">
        <is>
          <t>Taux dégressif</t>
        </is>
      </c>
      <c r="B83" s="22" t="inlineStr">
        <is>
          <t>%</t>
        </is>
      </c>
      <c r="I83" s="27">
        <f>IF(I80=0,0,IF($C$29*1/$C$28&gt;I82,$C$29*1/$C$28,I82))</f>
        <v/>
      </c>
      <c r="J83" s="27">
        <f>IF(J80=0,0,IF($C$29*1/$C$28&gt;J82,$C$29*1/$C$28,J82))</f>
        <v/>
      </c>
      <c r="K83" s="27">
        <f>IF(K80=0,0,IF($C$29*1/$C$28&gt;K82,$C$29*1/$C$28,K82))</f>
        <v/>
      </c>
      <c r="L83" s="27">
        <f>IF(L80=0,0,IF($C$29*1/$C$28&gt;L82,$C$29*1/$C$28,L82))</f>
        <v/>
      </c>
      <c r="M83" s="27">
        <f>IF(M80=0,0,IF($C$29*1/$C$28&gt;M82,$C$29*1/$C$28,M82))</f>
        <v/>
      </c>
    </row>
    <row r="84">
      <c r="A84" s="22" t="inlineStr">
        <is>
          <t>Charge d'amortissement</t>
        </is>
      </c>
      <c r="B84" s="22" t="inlineStr">
        <is>
          <t>USD</t>
        </is>
      </c>
      <c r="I84" s="8">
        <f>I81*I83</f>
        <v/>
      </c>
      <c r="J84" s="8">
        <f>J81*J83</f>
        <v/>
      </c>
      <c r="K84" s="8">
        <f>K81*K83</f>
        <v/>
      </c>
      <c r="L84" s="8">
        <f>L81*L83</f>
        <v/>
      </c>
      <c r="M84" s="8">
        <f>M81*M83</f>
        <v/>
      </c>
    </row>
    <row r="85">
      <c r="A85" s="22" t="inlineStr">
        <is>
          <t>Amortissement restant</t>
        </is>
      </c>
      <c r="B85" s="22" t="inlineStr">
        <is>
          <t>USD</t>
        </is>
      </c>
      <c r="I85" s="8">
        <f>I81-I84</f>
        <v/>
      </c>
      <c r="J85" s="8">
        <f>J81-J84</f>
        <v/>
      </c>
      <c r="K85" s="8">
        <f>K81-K84</f>
        <v/>
      </c>
      <c r="L85" s="8">
        <f>L81-L84</f>
        <v/>
      </c>
      <c r="M85" s="8">
        <f>M81-M84</f>
        <v/>
      </c>
    </row>
    <row r="86">
      <c r="A86" s="22" t="n"/>
      <c r="B86" s="22" t="n"/>
    </row>
    <row r="87">
      <c r="A87" s="2" t="inlineStr">
        <is>
          <t>Immobilisations de l'année A8</t>
        </is>
      </c>
      <c r="B87" s="22" t="n"/>
    </row>
    <row r="88">
      <c r="A88" s="22" t="inlineStr">
        <is>
          <t>Durée restante</t>
        </is>
      </c>
      <c r="B88" s="22" t="inlineStr">
        <is>
          <t>Années</t>
        </is>
      </c>
      <c r="J88" s="23">
        <f>IF($C$28&lt;J$3,$C$28,J$3)</f>
        <v/>
      </c>
      <c r="K88" s="8">
        <f>IF(J88=0,0,IF(J88-1&lt;K$3,J88-1,K$3))</f>
        <v/>
      </c>
      <c r="L88" s="8">
        <f>IF(K88=0,0,IF(K88-1&lt;L$3,K88-1,L$3))</f>
        <v/>
      </c>
      <c r="M88" s="8">
        <f>IF(L88=0,0,IF(L88-1&lt;M$3,L88-1,M$3))</f>
        <v/>
      </c>
    </row>
    <row r="89">
      <c r="A89" s="22" t="inlineStr">
        <is>
          <t>Base amortissable</t>
        </is>
      </c>
      <c r="B89" s="22" t="inlineStr">
        <is>
          <t>USD</t>
        </is>
      </c>
      <c r="J89" s="23">
        <f>Modèle!J$10</f>
        <v/>
      </c>
      <c r="K89" s="8">
        <f>J93</f>
        <v/>
      </c>
      <c r="L89" s="8">
        <f>K93</f>
        <v/>
      </c>
      <c r="M89" s="8">
        <f>L93</f>
        <v/>
      </c>
    </row>
    <row r="90">
      <c r="A90" s="22" t="inlineStr">
        <is>
          <t>Inverse de la durée restante</t>
        </is>
      </c>
      <c r="B90" s="22" t="inlineStr">
        <is>
          <t>%</t>
        </is>
      </c>
      <c r="J90" s="27">
        <f>IF(J88=0,0,1/J88)</f>
        <v/>
      </c>
      <c r="K90" s="27">
        <f>IF(K88=0,0,1/K88)</f>
        <v/>
      </c>
      <c r="L90" s="27">
        <f>IF(L88=0,0,1/L88)</f>
        <v/>
      </c>
      <c r="M90" s="27">
        <f>IF(M88=0,0,1/M88)</f>
        <v/>
      </c>
    </row>
    <row r="91">
      <c r="A91" s="22" t="inlineStr">
        <is>
          <t>Taux dégressif</t>
        </is>
      </c>
      <c r="B91" s="22" t="inlineStr">
        <is>
          <t>%</t>
        </is>
      </c>
      <c r="J91" s="27">
        <f>IF(J88=0,0,IF($C$29*1/$C$28&gt;J90,$C$29*1/$C$28,J90))</f>
        <v/>
      </c>
      <c r="K91" s="27">
        <f>IF(K88=0,0,IF($C$29*1/$C$28&gt;K90,$C$29*1/$C$28,K90))</f>
        <v/>
      </c>
      <c r="L91" s="27">
        <f>IF(L88=0,0,IF($C$29*1/$C$28&gt;L90,$C$29*1/$C$28,L90))</f>
        <v/>
      </c>
      <c r="M91" s="27">
        <f>IF(M88=0,0,IF($C$29*1/$C$28&gt;M90,$C$29*1/$C$28,M90))</f>
        <v/>
      </c>
    </row>
    <row r="92">
      <c r="A92" s="22" t="inlineStr">
        <is>
          <t>Charge d'amortissement</t>
        </is>
      </c>
      <c r="B92" s="22" t="inlineStr">
        <is>
          <t>USD</t>
        </is>
      </c>
      <c r="J92" s="8">
        <f>J89*J91</f>
        <v/>
      </c>
      <c r="K92" s="8">
        <f>K89*K91</f>
        <v/>
      </c>
      <c r="L92" s="8">
        <f>L89*L91</f>
        <v/>
      </c>
      <c r="M92" s="8">
        <f>M89*M91</f>
        <v/>
      </c>
    </row>
    <row r="93">
      <c r="A93" s="22" t="inlineStr">
        <is>
          <t>Amortissement restant</t>
        </is>
      </c>
      <c r="B93" s="22" t="inlineStr">
        <is>
          <t>USD</t>
        </is>
      </c>
      <c r="J93" s="8">
        <f>J89-J92</f>
        <v/>
      </c>
      <c r="K93" s="8">
        <f>K89-K92</f>
        <v/>
      </c>
      <c r="L93" s="8">
        <f>L89-L92</f>
        <v/>
      </c>
      <c r="M93" s="8">
        <f>M89-M92</f>
        <v/>
      </c>
    </row>
    <row r="94">
      <c r="A94" s="22" t="n"/>
      <c r="B94" s="22" t="n"/>
    </row>
    <row r="95">
      <c r="A95" s="2" t="inlineStr">
        <is>
          <t>Immobilisations de l'année A9</t>
        </is>
      </c>
      <c r="B95" s="22" t="n"/>
    </row>
    <row r="96">
      <c r="A96" s="22" t="inlineStr">
        <is>
          <t>Durée restante</t>
        </is>
      </c>
      <c r="B96" s="22" t="inlineStr">
        <is>
          <t>Années</t>
        </is>
      </c>
      <c r="K96" s="23">
        <f>IF($C$28&lt;K$3,$C$28,K$3)</f>
        <v/>
      </c>
      <c r="L96" s="8">
        <f>IF(K96=0,0,IF(K96-1&lt;L$3,K96-1,L$3))</f>
        <v/>
      </c>
      <c r="M96" s="8">
        <f>IF(L96=0,0,IF(L96-1&lt;M$3,L96-1,M$3))</f>
        <v/>
      </c>
    </row>
    <row r="97">
      <c r="A97" s="22" t="inlineStr">
        <is>
          <t>Base amortissable</t>
        </is>
      </c>
      <c r="B97" s="22" t="inlineStr">
        <is>
          <t>USD</t>
        </is>
      </c>
      <c r="K97" s="23">
        <f>Modèle!K$10</f>
        <v/>
      </c>
      <c r="L97" s="8">
        <f>K101</f>
        <v/>
      </c>
      <c r="M97" s="8">
        <f>L101</f>
        <v/>
      </c>
    </row>
    <row r="98">
      <c r="A98" s="22" t="inlineStr">
        <is>
          <t>Inverse de la durée restante</t>
        </is>
      </c>
      <c r="B98" s="22" t="inlineStr">
        <is>
          <t>%</t>
        </is>
      </c>
      <c r="K98" s="27">
        <f>IF(K96=0,0,1/K96)</f>
        <v/>
      </c>
      <c r="L98" s="27">
        <f>IF(L96=0,0,1/L96)</f>
        <v/>
      </c>
      <c r="M98" s="27">
        <f>IF(M96=0,0,1/M96)</f>
        <v/>
      </c>
    </row>
    <row r="99">
      <c r="A99" s="22" t="inlineStr">
        <is>
          <t>Taux dégressif</t>
        </is>
      </c>
      <c r="B99" s="22" t="inlineStr">
        <is>
          <t>%</t>
        </is>
      </c>
      <c r="K99" s="27">
        <f>IF(K96=0,0,IF($C$29*1/$C$28&gt;K98,$C$29*1/$C$28,K98))</f>
        <v/>
      </c>
      <c r="L99" s="27">
        <f>IF(L96=0,0,IF($C$29*1/$C$28&gt;L98,$C$29*1/$C$28,L98))</f>
        <v/>
      </c>
      <c r="M99" s="27">
        <f>IF(M96=0,0,IF($C$29*1/$C$28&gt;M98,$C$29*1/$C$28,M98))</f>
        <v/>
      </c>
    </row>
    <row r="100">
      <c r="A100" s="22" t="inlineStr">
        <is>
          <t>Charge d'amortissement</t>
        </is>
      </c>
      <c r="B100" s="22" t="inlineStr">
        <is>
          <t>USD</t>
        </is>
      </c>
      <c r="K100" s="8">
        <f>K97*K99</f>
        <v/>
      </c>
      <c r="L100" s="8">
        <f>L97*L99</f>
        <v/>
      </c>
      <c r="M100" s="8">
        <f>M97*M99</f>
        <v/>
      </c>
    </row>
    <row r="101">
      <c r="A101" s="22" t="inlineStr">
        <is>
          <t>Amortissement restant</t>
        </is>
      </c>
      <c r="B101" s="22" t="inlineStr">
        <is>
          <t>USD</t>
        </is>
      </c>
      <c r="K101" s="8">
        <f>K97-K100</f>
        <v/>
      </c>
      <c r="L101" s="8">
        <f>L97-L100</f>
        <v/>
      </c>
      <c r="M101" s="8">
        <f>M97-M100</f>
        <v/>
      </c>
    </row>
    <row r="102">
      <c r="A102" s="22" t="n"/>
      <c r="B102" s="22" t="n"/>
    </row>
    <row r="103">
      <c r="A103" s="2" t="inlineStr">
        <is>
          <t>Immobilisations de l'année A10</t>
        </is>
      </c>
      <c r="B103" s="22" t="n"/>
    </row>
    <row r="104">
      <c r="A104" s="22" t="inlineStr">
        <is>
          <t>Durée restante</t>
        </is>
      </c>
      <c r="B104" s="22" t="inlineStr">
        <is>
          <t>Années</t>
        </is>
      </c>
      <c r="L104" s="23">
        <f>IF($C$28&lt;L$3,$C$28,L$3)</f>
        <v/>
      </c>
      <c r="M104" s="8">
        <f>IF(L104=0,0,IF(L104-1&lt;M$3,L104-1,M$3))</f>
        <v/>
      </c>
    </row>
    <row r="105">
      <c r="A105" s="22" t="inlineStr">
        <is>
          <t>Base amortissable</t>
        </is>
      </c>
      <c r="B105" s="22" t="inlineStr">
        <is>
          <t>USD</t>
        </is>
      </c>
      <c r="L105" s="23">
        <f>Modèle!L$10</f>
        <v/>
      </c>
      <c r="M105" s="8">
        <f>L109</f>
        <v/>
      </c>
    </row>
    <row r="106">
      <c r="A106" s="22" t="inlineStr">
        <is>
          <t>Inverse de la durée restante</t>
        </is>
      </c>
      <c r="B106" s="22" t="inlineStr">
        <is>
          <t>%</t>
        </is>
      </c>
      <c r="L106" s="27">
        <f>IF(L104=0,0,1/L104)</f>
        <v/>
      </c>
      <c r="M106" s="27">
        <f>IF(M104=0,0,1/M104)</f>
        <v/>
      </c>
    </row>
    <row r="107">
      <c r="A107" s="22" t="inlineStr">
        <is>
          <t>Taux dégressif</t>
        </is>
      </c>
      <c r="B107" s="22" t="inlineStr">
        <is>
          <t>%</t>
        </is>
      </c>
      <c r="L107" s="27">
        <f>IF(L104=0,0,IF($C$29*1/$C$28&gt;L106,$C$29*1/$C$28,L106))</f>
        <v/>
      </c>
      <c r="M107" s="27">
        <f>IF(M104=0,0,IF($C$29*1/$C$28&gt;M106,$C$29*1/$C$28,M106))</f>
        <v/>
      </c>
    </row>
    <row r="108">
      <c r="A108" s="22" t="inlineStr">
        <is>
          <t>Charge d'amortissement</t>
        </is>
      </c>
      <c r="B108" s="22" t="inlineStr">
        <is>
          <t>USD</t>
        </is>
      </c>
      <c r="L108" s="8">
        <f>L105*L107</f>
        <v/>
      </c>
      <c r="M108" s="8">
        <f>M105*M107</f>
        <v/>
      </c>
    </row>
    <row r="109">
      <c r="A109" s="22" t="inlineStr">
        <is>
          <t>Amortissement restant</t>
        </is>
      </c>
      <c r="B109" s="22" t="inlineStr">
        <is>
          <t>USD</t>
        </is>
      </c>
      <c r="L109" s="8">
        <f>L105-L108</f>
        <v/>
      </c>
      <c r="M109" s="8">
        <f>M105-M108</f>
        <v/>
      </c>
    </row>
    <row r="110">
      <c r="A110" s="22" t="n"/>
      <c r="B110" s="22" t="n"/>
    </row>
    <row r="111">
      <c r="A111" s="2" t="inlineStr">
        <is>
          <t>Immobilisations de l'année A11</t>
        </is>
      </c>
      <c r="B111" s="22" t="n"/>
    </row>
    <row r="112">
      <c r="A112" s="22" t="inlineStr">
        <is>
          <t>Durée restante</t>
        </is>
      </c>
      <c r="B112" s="22" t="inlineStr">
        <is>
          <t>Années</t>
        </is>
      </c>
      <c r="M112" s="23">
        <f>IF($C$28&lt;M$3,$C$28,M$3)</f>
        <v/>
      </c>
    </row>
    <row r="113">
      <c r="A113" s="22" t="inlineStr">
        <is>
          <t>Base amortissable</t>
        </is>
      </c>
      <c r="B113" s="22" t="inlineStr">
        <is>
          <t>USD</t>
        </is>
      </c>
      <c r="M113" s="23">
        <f>Modèle!M$10</f>
        <v/>
      </c>
    </row>
    <row r="114">
      <c r="A114" s="22" t="inlineStr">
        <is>
          <t>Inverse de la durée restante</t>
        </is>
      </c>
      <c r="B114" s="22" t="inlineStr">
        <is>
          <t>%</t>
        </is>
      </c>
      <c r="M114" s="27">
        <f>IF(M112=0,0,1/M112)</f>
        <v/>
      </c>
    </row>
    <row r="115">
      <c r="A115" s="22" t="inlineStr">
        <is>
          <t>Taux dégressif</t>
        </is>
      </c>
      <c r="B115" s="22" t="inlineStr">
        <is>
          <t>%</t>
        </is>
      </c>
      <c r="M115" s="27">
        <f>IF(M112=0,0,IF($C$29*1/$C$28&gt;M114,$C$29*1/$C$28,M114))</f>
        <v/>
      </c>
    </row>
    <row r="116">
      <c r="A116" s="22" t="inlineStr">
        <is>
          <t>Charge d'amortissement</t>
        </is>
      </c>
      <c r="B116" s="22" t="inlineStr">
        <is>
          <t>USD</t>
        </is>
      </c>
      <c r="M116" s="8">
        <f>M113*M115</f>
        <v/>
      </c>
    </row>
    <row r="117">
      <c r="A117" s="22" t="inlineStr">
        <is>
          <t>Amortissement restant</t>
        </is>
      </c>
      <c r="B117" s="22" t="inlineStr">
        <is>
          <t>USD</t>
        </is>
      </c>
      <c r="M117" s="8">
        <f>M113-M116</f>
        <v/>
      </c>
    </row>
    <row r="118">
      <c r="A118" s="22" t="n"/>
      <c r="B118" s="22" t="n"/>
    </row>
    <row r="119">
      <c r="A119" s="2" t="inlineStr">
        <is>
          <t>Amortissements des biens d'équipement</t>
        </is>
      </c>
      <c r="B119" s="22" t="inlineStr">
        <is>
          <t>USD</t>
        </is>
      </c>
      <c r="C119" s="8">
        <f>C$36+C$44+C$52+C$60+C$68+C$76+C$84+C$92+C$100+C$108+C$116</f>
        <v/>
      </c>
      <c r="D119" s="8">
        <f>D$36+D$44+D$52+D$60+D$68+D$76+D$84+D$92+D$100+D$108+D$116</f>
        <v/>
      </c>
      <c r="E119" s="8">
        <f>E$36+E$44+E$52+E$60+E$68+E$76+E$84+E$92+E$100+E$108+E$116</f>
        <v/>
      </c>
      <c r="F119" s="8">
        <f>F$36+F$44+F$52+F$60+F$68+F$76+F$84+F$92+F$100+F$108+F$116</f>
        <v/>
      </c>
      <c r="G119" s="8">
        <f>G$36+G$44+G$52+G$60+G$68+G$76+G$84+G$92+G$100+G$108+G$116</f>
        <v/>
      </c>
      <c r="H119" s="8">
        <f>H$36+H$44+H$52+H$60+H$68+H$76+H$84+H$92+H$100+H$108+H$116</f>
        <v/>
      </c>
      <c r="I119" s="8">
        <f>I$36+I$44+I$52+I$60+I$68+I$76+I$84+I$92+I$100+I$108+I$116</f>
        <v/>
      </c>
      <c r="J119" s="8">
        <f>J$36+J$44+J$52+J$60+J$68+J$76+J$84+J$92+J$100+J$108+J$116</f>
        <v/>
      </c>
      <c r="K119" s="8">
        <f>K$36+K$44+K$52+K$60+K$68+K$76+K$84+K$92+K$100+K$108+K$116</f>
        <v/>
      </c>
      <c r="L119" s="8">
        <f>L$36+L$44+L$52+L$60+L$68+L$76+L$84+L$92+L$100+L$108+L$116</f>
        <v/>
      </c>
      <c r="M119" s="8">
        <f>M$36+M$44+M$52+M$60+M$68+M$76+M$84+M$92+M$100+M$108+M$116</f>
        <v/>
      </c>
    </row>
    <row r="120">
      <c r="A120" s="22" t="n"/>
      <c r="B120" s="22" t="n"/>
    </row>
    <row r="121">
      <c r="A121" s="5" t="inlineStr">
        <is>
          <t>III. AMORTISSEMENTS DES DEPENSES DE REHABILITATION</t>
        </is>
      </c>
      <c r="B121" s="24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</row>
    <row r="122">
      <c r="A122" s="2" t="inlineStr">
        <is>
          <t>Durée d'amortissement linéaire</t>
        </is>
      </c>
      <c r="B122" s="22" t="inlineStr">
        <is>
          <t>Années</t>
        </is>
      </c>
      <c r="C122" s="19" t="n">
        <v>1</v>
      </c>
    </row>
    <row r="123">
      <c r="A123" s="2" t="inlineStr">
        <is>
          <t>Coefficient d'amortissement dégressif</t>
        </is>
      </c>
      <c r="B123" s="22" t="inlineStr">
        <is>
          <t>Coefficient</t>
        </is>
      </c>
      <c r="C123" s="19" t="n">
        <v>1</v>
      </c>
    </row>
    <row r="124">
      <c r="A124" s="22" t="n"/>
      <c r="B124" s="22" t="n"/>
    </row>
    <row r="125">
      <c r="A125" s="2" t="inlineStr">
        <is>
          <t>Immobilisations de l'année A11</t>
        </is>
      </c>
      <c r="B125" s="22" t="n"/>
    </row>
    <row r="126">
      <c r="A126" s="22" t="inlineStr">
        <is>
          <t>Durée restante</t>
        </is>
      </c>
      <c r="B126" s="22" t="inlineStr">
        <is>
          <t>Années</t>
        </is>
      </c>
      <c r="M126" s="23">
        <f>IF($C$122&lt;M$3,$C$122,M$3)</f>
        <v/>
      </c>
    </row>
    <row r="127">
      <c r="A127" s="22" t="inlineStr">
        <is>
          <t>Base amortissable</t>
        </is>
      </c>
      <c r="B127" s="22" t="inlineStr">
        <is>
          <t>USD</t>
        </is>
      </c>
      <c r="M127" s="23">
        <f>Modèle!M$11</f>
        <v/>
      </c>
    </row>
    <row r="128">
      <c r="A128" s="22" t="inlineStr">
        <is>
          <t>Inverse de la durée restante</t>
        </is>
      </c>
      <c r="B128" s="22" t="inlineStr">
        <is>
          <t>%</t>
        </is>
      </c>
      <c r="M128" s="27">
        <f>IF(M126=0,0,1/M126)</f>
        <v/>
      </c>
    </row>
    <row r="129">
      <c r="A129" s="22" t="inlineStr">
        <is>
          <t>Taux dégressif</t>
        </is>
      </c>
      <c r="B129" s="22" t="inlineStr">
        <is>
          <t>%</t>
        </is>
      </c>
      <c r="M129" s="27">
        <f>IF(M126=0,0,IF($C$123*1/$C$122&gt;M128,$C$123*1/$C$122,M128))</f>
        <v/>
      </c>
    </row>
    <row r="130">
      <c r="A130" s="22" t="inlineStr">
        <is>
          <t>Charge d'amortissement</t>
        </is>
      </c>
      <c r="B130" s="22" t="inlineStr">
        <is>
          <t>USD</t>
        </is>
      </c>
      <c r="M130" s="8">
        <f>M127*M129</f>
        <v/>
      </c>
    </row>
    <row r="131">
      <c r="A131" s="22" t="inlineStr">
        <is>
          <t>Amortissement restant</t>
        </is>
      </c>
      <c r="B131" s="22" t="inlineStr">
        <is>
          <t>USD</t>
        </is>
      </c>
      <c r="M131" s="8">
        <f>M127-M130</f>
        <v/>
      </c>
    </row>
    <row r="132">
      <c r="A132" s="22" t="n"/>
      <c r="B132" s="22" t="n"/>
    </row>
    <row r="133">
      <c r="A133" s="2" t="inlineStr">
        <is>
          <t>Amortissements des dépenses de réhabilitation</t>
        </is>
      </c>
      <c r="B133" s="22" t="inlineStr">
        <is>
          <t>USD</t>
        </is>
      </c>
      <c r="C133" s="8">
        <f>C130</f>
        <v/>
      </c>
      <c r="D133" s="8">
        <f>D130</f>
        <v/>
      </c>
      <c r="E133" s="8">
        <f>E130</f>
        <v/>
      </c>
      <c r="F133" s="8">
        <f>F130</f>
        <v/>
      </c>
      <c r="G133" s="8">
        <f>G130</f>
        <v/>
      </c>
      <c r="H133" s="8">
        <f>H130</f>
        <v/>
      </c>
      <c r="I133" s="8">
        <f>I130</f>
        <v/>
      </c>
      <c r="J133" s="8">
        <f>J130</f>
        <v/>
      </c>
      <c r="K133" s="8">
        <f>K130</f>
        <v/>
      </c>
      <c r="L133" s="8">
        <f>L130</f>
        <v/>
      </c>
      <c r="M133" s="8">
        <f>M130</f>
        <v/>
      </c>
    </row>
    <row r="134">
      <c r="A134" s="22" t="n"/>
      <c r="B134" s="22" t="n"/>
    </row>
    <row r="135">
      <c r="A135" s="5" t="inlineStr">
        <is>
          <t>IV. CHARGES FINANCIERES</t>
        </is>
      </c>
      <c r="B135" s="24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</row>
    <row r="136">
      <c r="A136" s="2" t="inlineStr">
        <is>
          <t>Emprunt</t>
        </is>
      </c>
      <c r="B136" s="22" t="n"/>
    </row>
    <row r="137">
      <c r="A137" s="22" t="inlineStr">
        <is>
          <t>Durée de l'emprunt</t>
        </is>
      </c>
      <c r="B137" s="22" t="inlineStr">
        <is>
          <t>Années</t>
        </is>
      </c>
      <c r="C137" s="19" t="n">
        <v>5</v>
      </c>
    </row>
    <row r="138">
      <c r="A138" s="22" t="inlineStr">
        <is>
          <t>Taux d'intérêt de l'emprunt</t>
        </is>
      </c>
      <c r="B138" s="22" t="inlineStr">
        <is>
          <t>%</t>
        </is>
      </c>
      <c r="C138" s="21" t="n">
        <v>0.1</v>
      </c>
    </row>
    <row r="139">
      <c r="A139" s="2" t="inlineStr">
        <is>
          <t>Régle de sous-capitalisation</t>
        </is>
      </c>
      <c r="B139" s="22" t="n"/>
    </row>
    <row r="140">
      <c r="A140" s="22" t="inlineStr">
        <is>
          <t>Taux d'intérêt légal maximum</t>
        </is>
      </c>
      <c r="B140" s="22" t="inlineStr">
        <is>
          <t>%</t>
        </is>
      </c>
      <c r="C140" s="21" t="n">
        <v>0.05</v>
      </c>
    </row>
    <row r="141">
      <c r="A141" s="22" t="n"/>
      <c r="B141" s="22" t="n"/>
    </row>
    <row r="142">
      <c r="A142" s="2" t="inlineStr">
        <is>
          <t>Emprunt de l'année A1</t>
        </is>
      </c>
      <c r="B142" s="22" t="n"/>
    </row>
    <row r="143">
      <c r="A143" s="22" t="inlineStr">
        <is>
          <t>Durée restante</t>
        </is>
      </c>
      <c r="B143" s="22" t="inlineStr">
        <is>
          <t>Années</t>
        </is>
      </c>
      <c r="C143" s="23">
        <f>IF($C$137+1&lt;C$3,$C$137+1,C$3)</f>
        <v/>
      </c>
      <c r="D143" s="8">
        <f>IF(C143=0,0,IF(C143-1&lt;D$3,C143-1,D$3))</f>
        <v/>
      </c>
      <c r="E143" s="8">
        <f>IF(D143=0,0,IF(D143-1&lt;E$3,D143-1,E$3))</f>
        <v/>
      </c>
      <c r="F143" s="8">
        <f>IF(E143=0,0,IF(E143-1&lt;F$3,E143-1,F$3))</f>
        <v/>
      </c>
      <c r="G143" s="8">
        <f>IF(F143=0,0,IF(F143-1&lt;G$3,F143-1,G$3))</f>
        <v/>
      </c>
      <c r="H143" s="8">
        <f>IF(G143=0,0,IF(G143-1&lt;H$3,G143-1,H$3))</f>
        <v/>
      </c>
      <c r="I143" s="8">
        <f>IF(H143=0,0,IF(H143-1&lt;I$3,H143-1,I$3))</f>
        <v/>
      </c>
      <c r="J143" s="8">
        <f>IF(I143=0,0,IF(I143-1&lt;J$3,I143-1,J$3))</f>
        <v/>
      </c>
      <c r="K143" s="8">
        <f>IF(J143=0,0,IF(J143-1&lt;K$3,J143-1,K$3))</f>
        <v/>
      </c>
      <c r="L143" s="8">
        <f>IF(K143=0,0,IF(K143-1&lt;L$3,K143-1,L$3))</f>
        <v/>
      </c>
      <c r="M143" s="8">
        <f>IF(L143=0,0,IF(L143-1&lt;M$3,L143-1,M$3))</f>
        <v/>
      </c>
    </row>
    <row r="144">
      <c r="A144" s="22" t="inlineStr">
        <is>
          <t>Emprunt restant</t>
        </is>
      </c>
      <c r="B144" s="22" t="inlineStr">
        <is>
          <t>USD</t>
        </is>
      </c>
      <c r="C144" s="23">
        <f>Modèle!C$12</f>
        <v/>
      </c>
      <c r="D144" s="8">
        <f>C144-D145</f>
        <v/>
      </c>
      <c r="E144" s="8">
        <f>D144-E145</f>
        <v/>
      </c>
      <c r="F144" s="8">
        <f>E144-F145</f>
        <v/>
      </c>
      <c r="G144" s="8">
        <f>F144-G145</f>
        <v/>
      </c>
      <c r="H144" s="8">
        <f>G144-H145</f>
        <v/>
      </c>
      <c r="I144" s="8">
        <f>H144-I145</f>
        <v/>
      </c>
      <c r="J144" s="8">
        <f>I144-J145</f>
        <v/>
      </c>
      <c r="K144" s="8">
        <f>J144-K145</f>
        <v/>
      </c>
      <c r="L144" s="8">
        <f>K144-L145</f>
        <v/>
      </c>
      <c r="M144" s="8">
        <f>L144-M145</f>
        <v/>
      </c>
    </row>
    <row r="145">
      <c r="A145" s="22" t="inlineStr">
        <is>
          <t>Remboursement du principal</t>
        </is>
      </c>
      <c r="B145" s="22" t="inlineStr">
        <is>
          <t>USD</t>
        </is>
      </c>
      <c r="C145" s="24" t="n"/>
      <c r="D145" s="28">
        <f>IF(D143=0,0,C144/D143)</f>
        <v/>
      </c>
      <c r="E145" s="28">
        <f>IF(E143=0,0,D144/E143)</f>
        <v/>
      </c>
      <c r="F145" s="28">
        <f>IF(F143=0,0,E144/F143)</f>
        <v/>
      </c>
      <c r="G145" s="28">
        <f>IF(G143=0,0,F144/G143)</f>
        <v/>
      </c>
      <c r="H145" s="28">
        <f>IF(H143=0,0,G144/H143)</f>
        <v/>
      </c>
      <c r="I145" s="28">
        <f>IF(I143=0,0,H144/I143)</f>
        <v/>
      </c>
      <c r="J145" s="28">
        <f>IF(J143=0,0,I144/J143)</f>
        <v/>
      </c>
      <c r="K145" s="28">
        <f>IF(K143=0,0,J144/K143)</f>
        <v/>
      </c>
      <c r="L145" s="28">
        <f>IF(L143=0,0,K144/L143)</f>
        <v/>
      </c>
      <c r="M145" s="28">
        <f>IF(M143=0,0,L144/M143)</f>
        <v/>
      </c>
    </row>
    <row r="146">
      <c r="A146" s="22" t="inlineStr">
        <is>
          <t>Intérêts versés</t>
        </is>
      </c>
      <c r="B146" s="22" t="inlineStr">
        <is>
          <t>USD</t>
        </is>
      </c>
      <c r="C146" s="28">
        <f>C144*$C$138</f>
        <v/>
      </c>
      <c r="D146" s="28">
        <f>D144*$C$138</f>
        <v/>
      </c>
      <c r="E146" s="28">
        <f>E144*$C$138</f>
        <v/>
      </c>
      <c r="F146" s="28">
        <f>F144*$C$138</f>
        <v/>
      </c>
      <c r="G146" s="28">
        <f>G144*$C$138</f>
        <v/>
      </c>
      <c r="H146" s="28">
        <f>H144*$C$138</f>
        <v/>
      </c>
      <c r="I146" s="28">
        <f>I144*$C$138</f>
        <v/>
      </c>
      <c r="J146" s="28">
        <f>J144*$C$138</f>
        <v/>
      </c>
      <c r="K146" s="28">
        <f>K144*$C$138</f>
        <v/>
      </c>
      <c r="L146" s="28">
        <f>L144*$C$138</f>
        <v/>
      </c>
      <c r="M146" s="28">
        <f>M144*$C$138</f>
        <v/>
      </c>
    </row>
    <row r="147">
      <c r="A147" s="22" t="inlineStr">
        <is>
          <t>Intérêts déductibles</t>
        </is>
      </c>
      <c r="B147" s="22" t="inlineStr">
        <is>
          <t>USD</t>
        </is>
      </c>
      <c r="C147" s="28">
        <f>IF(C144*$C$140&lt;C146,C144*$C$140,C146)</f>
        <v/>
      </c>
      <c r="D147" s="28">
        <f>IF(D144*$C$140&lt;D146,D144*$C$140,D146)</f>
        <v/>
      </c>
      <c r="E147" s="28">
        <f>IF(E144*$C$140&lt;E146,E144*$C$140,E146)</f>
        <v/>
      </c>
      <c r="F147" s="28">
        <f>IF(F144*$C$140&lt;F146,F144*$C$140,F146)</f>
        <v/>
      </c>
      <c r="G147" s="28">
        <f>IF(G144*$C$140&lt;G146,G144*$C$140,G146)</f>
        <v/>
      </c>
      <c r="H147" s="28">
        <f>IF(H144*$C$140&lt;H146,H144*$C$140,H146)</f>
        <v/>
      </c>
      <c r="I147" s="28">
        <f>IF(I144*$C$140&lt;I146,I144*$C$140,I146)</f>
        <v/>
      </c>
      <c r="J147" s="28">
        <f>IF(J144*$C$140&lt;J146,J144*$C$140,J146)</f>
        <v/>
      </c>
      <c r="K147" s="28">
        <f>IF(K144*$C$140&lt;K146,K144*$C$140,K146)</f>
        <v/>
      </c>
      <c r="L147" s="28">
        <f>IF(L144*$C$140&lt;L146,L144*$C$140,L146)</f>
        <v/>
      </c>
      <c r="M147" s="28">
        <f>IF(M144*$C$140&lt;M146,M144*$C$140,M146)</f>
        <v/>
      </c>
    </row>
    <row r="148">
      <c r="A148" s="22" t="n"/>
      <c r="B148" s="22" t="n"/>
    </row>
    <row r="149">
      <c r="A149" s="2" t="inlineStr">
        <is>
          <t>Emprunt de l'année A2</t>
        </is>
      </c>
      <c r="B149" s="22" t="n"/>
    </row>
    <row r="150">
      <c r="A150" s="22" t="inlineStr">
        <is>
          <t>Durée restante</t>
        </is>
      </c>
      <c r="B150" s="22" t="inlineStr">
        <is>
          <t>Années</t>
        </is>
      </c>
      <c r="D150" s="23">
        <f>IF($C$137+1&lt;D$3,$C$137+1,D$3)</f>
        <v/>
      </c>
      <c r="E150" s="8">
        <f>IF(D150=0,0,IF(D150-1&lt;E$3,D150-1,E$3))</f>
        <v/>
      </c>
      <c r="F150" s="8">
        <f>IF(E150=0,0,IF(E150-1&lt;F$3,E150-1,F$3))</f>
        <v/>
      </c>
      <c r="G150" s="8">
        <f>IF(F150=0,0,IF(F150-1&lt;G$3,F150-1,G$3))</f>
        <v/>
      </c>
      <c r="H150" s="8">
        <f>IF(G150=0,0,IF(G150-1&lt;H$3,G150-1,H$3))</f>
        <v/>
      </c>
      <c r="I150" s="8">
        <f>IF(H150=0,0,IF(H150-1&lt;I$3,H150-1,I$3))</f>
        <v/>
      </c>
      <c r="J150" s="8">
        <f>IF(I150=0,0,IF(I150-1&lt;J$3,I150-1,J$3))</f>
        <v/>
      </c>
      <c r="K150" s="8">
        <f>IF(J150=0,0,IF(J150-1&lt;K$3,J150-1,K$3))</f>
        <v/>
      </c>
      <c r="L150" s="8">
        <f>IF(K150=0,0,IF(K150-1&lt;L$3,K150-1,L$3))</f>
        <v/>
      </c>
      <c r="M150" s="8">
        <f>IF(L150=0,0,IF(L150-1&lt;M$3,L150-1,M$3))</f>
        <v/>
      </c>
    </row>
    <row r="151">
      <c r="A151" s="22" t="inlineStr">
        <is>
          <t>Emprunt restant</t>
        </is>
      </c>
      <c r="B151" s="22" t="inlineStr">
        <is>
          <t>USD</t>
        </is>
      </c>
      <c r="D151" s="23">
        <f>Modèle!D$12</f>
        <v/>
      </c>
      <c r="E151" s="8">
        <f>D151-E152</f>
        <v/>
      </c>
      <c r="F151" s="8">
        <f>E151-F152</f>
        <v/>
      </c>
      <c r="G151" s="8">
        <f>F151-G152</f>
        <v/>
      </c>
      <c r="H151" s="8">
        <f>G151-H152</f>
        <v/>
      </c>
      <c r="I151" s="8">
        <f>H151-I152</f>
        <v/>
      </c>
      <c r="J151" s="8">
        <f>I151-J152</f>
        <v/>
      </c>
      <c r="K151" s="8">
        <f>J151-K152</f>
        <v/>
      </c>
      <c r="L151" s="8">
        <f>K151-L152</f>
        <v/>
      </c>
      <c r="M151" s="8">
        <f>L151-M152</f>
        <v/>
      </c>
    </row>
    <row r="152">
      <c r="A152" s="22" t="inlineStr">
        <is>
          <t>Remboursement du principal</t>
        </is>
      </c>
      <c r="B152" s="22" t="inlineStr">
        <is>
          <t>USD</t>
        </is>
      </c>
      <c r="D152" s="24" t="n"/>
      <c r="E152" s="28">
        <f>IF(E150=0,0,D151/E150)</f>
        <v/>
      </c>
      <c r="F152" s="28">
        <f>IF(F150=0,0,E151/F150)</f>
        <v/>
      </c>
      <c r="G152" s="28">
        <f>IF(G150=0,0,F151/G150)</f>
        <v/>
      </c>
      <c r="H152" s="28">
        <f>IF(H150=0,0,G151/H150)</f>
        <v/>
      </c>
      <c r="I152" s="28">
        <f>IF(I150=0,0,H151/I150)</f>
        <v/>
      </c>
      <c r="J152" s="28">
        <f>IF(J150=0,0,I151/J150)</f>
        <v/>
      </c>
      <c r="K152" s="28">
        <f>IF(K150=0,0,J151/K150)</f>
        <v/>
      </c>
      <c r="L152" s="28">
        <f>IF(L150=0,0,K151/L150)</f>
        <v/>
      </c>
      <c r="M152" s="28">
        <f>IF(M150=0,0,L151/M150)</f>
        <v/>
      </c>
    </row>
    <row r="153">
      <c r="A153" s="22" t="inlineStr">
        <is>
          <t>Intérêts versés</t>
        </is>
      </c>
      <c r="B153" s="22" t="inlineStr">
        <is>
          <t>USD</t>
        </is>
      </c>
      <c r="D153" s="28">
        <f>D151*$C$138</f>
        <v/>
      </c>
      <c r="E153" s="28">
        <f>E151*$C$138</f>
        <v/>
      </c>
      <c r="F153" s="28">
        <f>F151*$C$138</f>
        <v/>
      </c>
      <c r="G153" s="28">
        <f>G151*$C$138</f>
        <v/>
      </c>
      <c r="H153" s="28">
        <f>H151*$C$138</f>
        <v/>
      </c>
      <c r="I153" s="28">
        <f>I151*$C$138</f>
        <v/>
      </c>
      <c r="J153" s="28">
        <f>J151*$C$138</f>
        <v/>
      </c>
      <c r="K153" s="28">
        <f>K151*$C$138</f>
        <v/>
      </c>
      <c r="L153" s="28">
        <f>L151*$C$138</f>
        <v/>
      </c>
      <c r="M153" s="28">
        <f>M151*$C$138</f>
        <v/>
      </c>
    </row>
    <row r="154">
      <c r="A154" s="22" t="inlineStr">
        <is>
          <t>Intérêts déductibles</t>
        </is>
      </c>
      <c r="B154" s="22" t="inlineStr">
        <is>
          <t>USD</t>
        </is>
      </c>
      <c r="D154" s="28">
        <f>IF(D151*$C$140&lt;D153,D151*$C$140,D153)</f>
        <v/>
      </c>
      <c r="E154" s="28">
        <f>IF(E151*$C$140&lt;E153,E151*$C$140,E153)</f>
        <v/>
      </c>
      <c r="F154" s="28">
        <f>IF(F151*$C$140&lt;F153,F151*$C$140,F153)</f>
        <v/>
      </c>
      <c r="G154" s="28">
        <f>IF(G151*$C$140&lt;G153,G151*$C$140,G153)</f>
        <v/>
      </c>
      <c r="H154" s="28">
        <f>IF(H151*$C$140&lt;H153,H151*$C$140,H153)</f>
        <v/>
      </c>
      <c r="I154" s="28">
        <f>IF(I151*$C$140&lt;I153,I151*$C$140,I153)</f>
        <v/>
      </c>
      <c r="J154" s="28">
        <f>IF(J151*$C$140&lt;J153,J151*$C$140,J153)</f>
        <v/>
      </c>
      <c r="K154" s="28">
        <f>IF(K151*$C$140&lt;K153,K151*$C$140,K153)</f>
        <v/>
      </c>
      <c r="L154" s="28">
        <f>IF(L151*$C$140&lt;L153,L151*$C$140,L153)</f>
        <v/>
      </c>
      <c r="M154" s="28">
        <f>IF(M151*$C$140&lt;M153,M151*$C$140,M153)</f>
        <v/>
      </c>
    </row>
    <row r="155">
      <c r="A155" s="22" t="n"/>
      <c r="B155" s="22" t="n"/>
    </row>
    <row r="156">
      <c r="A156" s="2" t="inlineStr">
        <is>
          <t>Total des intérêts versés</t>
        </is>
      </c>
      <c r="B156" s="22" t="inlineStr">
        <is>
          <t>USD</t>
        </is>
      </c>
      <c r="C156" s="8">
        <f>C$146+C$153</f>
        <v/>
      </c>
      <c r="D156" s="8">
        <f>D$146+D$153</f>
        <v/>
      </c>
      <c r="E156" s="8">
        <f>E$146+E$153</f>
        <v/>
      </c>
      <c r="F156" s="8">
        <f>F$146+F$153</f>
        <v/>
      </c>
      <c r="G156" s="8">
        <f>G$146+G$153</f>
        <v/>
      </c>
      <c r="H156" s="8">
        <f>H$146+H$153</f>
        <v/>
      </c>
      <c r="I156" s="8">
        <f>I$146+I$153</f>
        <v/>
      </c>
      <c r="J156" s="8">
        <f>J$146+J$153</f>
        <v/>
      </c>
      <c r="K156" s="8">
        <f>K$146+K$153</f>
        <v/>
      </c>
      <c r="L156" s="8">
        <f>L$146+L$153</f>
        <v/>
      </c>
      <c r="M156" s="8">
        <f>M$146+M$153</f>
        <v/>
      </c>
    </row>
    <row r="157">
      <c r="A157" s="2" t="inlineStr">
        <is>
          <t>Total des intérêts déductibles</t>
        </is>
      </c>
      <c r="B157" s="22" t="inlineStr">
        <is>
          <t>USD</t>
        </is>
      </c>
      <c r="C157" s="8">
        <f>C$147+C$154</f>
        <v/>
      </c>
      <c r="D157" s="8">
        <f>D$147+D$154</f>
        <v/>
      </c>
      <c r="E157" s="8">
        <f>E$147+E$154</f>
        <v/>
      </c>
      <c r="F157" s="8">
        <f>F$147+F$154</f>
        <v/>
      </c>
      <c r="G157" s="8">
        <f>G$147+G$154</f>
        <v/>
      </c>
      <c r="H157" s="8">
        <f>H$147+H$154</f>
        <v/>
      </c>
      <c r="I157" s="8">
        <f>I$147+I$154</f>
        <v/>
      </c>
      <c r="J157" s="8">
        <f>J$147+J$154</f>
        <v/>
      </c>
      <c r="K157" s="8">
        <f>K$147+K$154</f>
        <v/>
      </c>
      <c r="L157" s="8">
        <f>L$147+L$154</f>
        <v/>
      </c>
      <c r="M157" s="8">
        <f>M$147+M$154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selection activeCell="A1" sqref="A1"/>
    </sheetView>
  </sheetViews>
  <sheetFormatPr baseColWidth="8" defaultRowHeight="15"/>
  <cols>
    <col width="40.83203125" customWidth="1" min="1" max="1"/>
    <col width="10.83203125" customWidth="1" min="2" max="2"/>
    <col width="15.83203125" customWidth="1" min="3" max="3"/>
    <col width="10.83203125" customWidth="1" min="16" max="16"/>
  </cols>
  <sheetData>
    <row r="1">
      <c r="A1" s="1" t="inlineStr">
        <is>
          <t>Nom</t>
        </is>
      </c>
      <c r="B1" s="1" t="inlineStr">
        <is>
          <t>Unité</t>
        </is>
      </c>
      <c r="C1" s="1" t="inlineStr">
        <is>
          <t>Année 1</t>
        </is>
      </c>
      <c r="D1" s="1" t="inlineStr">
        <is>
          <t>Année 2</t>
        </is>
      </c>
      <c r="E1" s="1" t="inlineStr">
        <is>
          <t>Année 3</t>
        </is>
      </c>
      <c r="F1" s="1" t="inlineStr">
        <is>
          <t>Année 4</t>
        </is>
      </c>
      <c r="G1" s="1" t="inlineStr">
        <is>
          <t>Année 5</t>
        </is>
      </c>
      <c r="H1" s="1" t="inlineStr">
        <is>
          <t>Année 6</t>
        </is>
      </c>
      <c r="I1" s="1" t="inlineStr">
        <is>
          <t>Année 7</t>
        </is>
      </c>
      <c r="J1" s="1" t="inlineStr">
        <is>
          <t>Année 8</t>
        </is>
      </c>
      <c r="K1" s="1" t="inlineStr">
        <is>
          <t>Année 9</t>
        </is>
      </c>
      <c r="L1" s="1" t="inlineStr">
        <is>
          <t>Année 10</t>
        </is>
      </c>
      <c r="M1" s="1" t="inlineStr">
        <is>
          <t>Année 11</t>
        </is>
      </c>
      <c r="N1" s="1" t="inlineStr">
        <is>
          <t>SOMME</t>
        </is>
      </c>
      <c r="O1" s="1" t="inlineStr">
        <is>
          <t>VAN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5" t="inlineStr">
        <is>
          <t>I. PRODUCTION</t>
        </is>
      </c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</row>
    <row r="4">
      <c r="A4" s="2" t="inlineStr">
        <is>
          <t>Production d'or</t>
        </is>
      </c>
      <c r="B4" s="3" t="inlineStr">
        <is>
          <t>oz</t>
        </is>
      </c>
      <c r="C4" s="8" t="n"/>
      <c r="D4" s="8" t="n"/>
      <c r="E4" s="8" t="n">
        <v>250000</v>
      </c>
      <c r="F4" s="8" t="n">
        <v>250000</v>
      </c>
      <c r="G4" s="8" t="n">
        <v>250000</v>
      </c>
      <c r="H4" s="8" t="n">
        <v>250000</v>
      </c>
      <c r="I4" s="8" t="n">
        <v>250000</v>
      </c>
      <c r="J4" s="8" t="n">
        <v>250000</v>
      </c>
      <c r="K4" s="8" t="n">
        <v>250000</v>
      </c>
      <c r="L4" s="8" t="n">
        <v>250000</v>
      </c>
      <c r="M4" s="8" t="n"/>
      <c r="N4" s="9">
        <f>SUM($C4:$M4)</f>
        <v/>
      </c>
      <c r="O4" s="9" t="n"/>
    </row>
    <row r="5">
      <c r="A5" s="2" t="inlineStr">
        <is>
          <t>Cours de l'or</t>
        </is>
      </c>
      <c r="B5" s="3" t="inlineStr">
        <is>
          <t>USD/oz</t>
        </is>
      </c>
      <c r="C5" s="8" t="n"/>
      <c r="D5" s="8" t="n"/>
      <c r="E5" s="8" t="n">
        <v>1300</v>
      </c>
      <c r="F5" s="8" t="n">
        <v>1300</v>
      </c>
      <c r="G5" s="8" t="n">
        <v>1300</v>
      </c>
      <c r="H5" s="8" t="n">
        <v>1300</v>
      </c>
      <c r="I5" s="8" t="n">
        <v>1300</v>
      </c>
      <c r="J5" s="8" t="n">
        <v>1300</v>
      </c>
      <c r="K5" s="8" t="n">
        <v>1300</v>
      </c>
      <c r="L5" s="8" t="n">
        <v>1300</v>
      </c>
      <c r="M5" s="8" t="n"/>
      <c r="N5" s="9" t="n"/>
      <c r="O5" s="9" t="n"/>
    </row>
    <row r="6">
      <c r="A6" s="2" t="inlineStr">
        <is>
          <t>Chiffre d'affaires</t>
        </is>
      </c>
      <c r="B6" s="3" t="inlineStr">
        <is>
          <t>USD</t>
        </is>
      </c>
      <c r="C6" s="10">
        <f>C$4*C$5</f>
        <v/>
      </c>
      <c r="D6" s="10">
        <f>D$4*D$5</f>
        <v/>
      </c>
      <c r="E6" s="10">
        <f>E$4*E$5</f>
        <v/>
      </c>
      <c r="F6" s="10">
        <f>F$4*F$5</f>
        <v/>
      </c>
      <c r="G6" s="10">
        <f>G$4*G$5</f>
        <v/>
      </c>
      <c r="H6" s="10">
        <f>H$4*H$5</f>
        <v/>
      </c>
      <c r="I6" s="10">
        <f>I$4*I$5</f>
        <v/>
      </c>
      <c r="J6" s="10">
        <f>J$4*J$5</f>
        <v/>
      </c>
      <c r="K6" s="10">
        <f>K$4*K$5</f>
        <v/>
      </c>
      <c r="L6" s="10">
        <f>L$4*L$5</f>
        <v/>
      </c>
      <c r="M6" s="10">
        <f>M$4*M$5</f>
        <v/>
      </c>
      <c r="N6" s="10">
        <f>SUM($C6:$M6)</f>
        <v/>
      </c>
      <c r="O6" s="10">
        <f>$C6+NPV(10%,$D6:$M6)</f>
        <v/>
      </c>
    </row>
    <row r="7">
      <c r="A7" s="2" t="n"/>
      <c r="B7" s="3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5" t="inlineStr">
        <is>
          <t>II. DEPENSES D'INVESTISSEMENT (CAPEX)</t>
        </is>
      </c>
      <c r="B8" s="6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</row>
    <row r="9">
      <c r="A9" s="2" t="inlineStr">
        <is>
          <t>Coûts des construction industrielles</t>
        </is>
      </c>
      <c r="B9" s="3" t="inlineStr">
        <is>
          <t>USD</t>
        </is>
      </c>
      <c r="C9" s="8" t="n">
        <v>50000000</v>
      </c>
      <c r="D9" s="8" t="n">
        <v>100000000</v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9">
        <f>SUM($C9:$M9)</f>
        <v/>
      </c>
      <c r="O9" s="9">
        <f>$C9+NPV(10%,$D9:$M9)</f>
        <v/>
      </c>
    </row>
    <row r="10">
      <c r="A10" s="2" t="inlineStr">
        <is>
          <t>Coûts des biens d'équipement</t>
        </is>
      </c>
      <c r="B10" s="3" t="inlineStr">
        <is>
          <t>USD</t>
        </is>
      </c>
      <c r="C10" s="8" t="n"/>
      <c r="D10" s="8" t="n">
        <v>50000000</v>
      </c>
      <c r="E10" s="8" t="n">
        <v>5000000</v>
      </c>
      <c r="F10" s="8" t="n">
        <v>5000000</v>
      </c>
      <c r="G10" s="8" t="n">
        <v>5000000</v>
      </c>
      <c r="H10" s="8" t="n">
        <v>5000000</v>
      </c>
      <c r="I10" s="8" t="n">
        <v>5000000</v>
      </c>
      <c r="J10" s="8" t="n">
        <v>5000000</v>
      </c>
      <c r="K10" s="8" t="n">
        <v>5000000</v>
      </c>
      <c r="L10" s="8" t="n">
        <v>5000000</v>
      </c>
      <c r="M10" s="8" t="n"/>
      <c r="N10" s="9">
        <f>SUM($C10:$M10)</f>
        <v/>
      </c>
      <c r="O10" s="9">
        <f>$C10+NPV(10%,$D10:$M10)</f>
        <v/>
      </c>
    </row>
    <row r="11">
      <c r="A11" s="2" t="inlineStr">
        <is>
          <t>Coûts de réhabilitation du site</t>
        </is>
      </c>
      <c r="B11" s="3" t="inlineStr">
        <is>
          <t>USD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>
        <v>10000000</v>
      </c>
      <c r="N11" s="9">
        <f>SUM($C11:$M11)</f>
        <v/>
      </c>
      <c r="O11" s="9">
        <f>$C11+NPV(10%,$D11:$M11)</f>
        <v/>
      </c>
    </row>
    <row r="12">
      <c r="A12" s="2" t="inlineStr">
        <is>
          <t>Total des dépenses d'investissement</t>
        </is>
      </c>
      <c r="B12" s="3" t="inlineStr">
        <is>
          <t>USD</t>
        </is>
      </c>
      <c r="C12" s="10">
        <f>SUM(C$9:C$11)</f>
        <v/>
      </c>
      <c r="D12" s="10">
        <f>SUM(D$9:D$11)</f>
        <v/>
      </c>
      <c r="E12" s="10">
        <f>SUM(E$9:E$11)</f>
        <v/>
      </c>
      <c r="F12" s="10">
        <f>SUM(F$9:F$11)</f>
        <v/>
      </c>
      <c r="G12" s="10">
        <f>SUM(G$9:G$11)</f>
        <v/>
      </c>
      <c r="H12" s="10">
        <f>SUM(H$9:H$11)</f>
        <v/>
      </c>
      <c r="I12" s="10">
        <f>SUM(I$9:I$11)</f>
        <v/>
      </c>
      <c r="J12" s="10">
        <f>SUM(J$9:J$11)</f>
        <v/>
      </c>
      <c r="K12" s="10">
        <f>SUM(K$9:K$11)</f>
        <v/>
      </c>
      <c r="L12" s="10">
        <f>SUM(L$9:L$11)</f>
        <v/>
      </c>
      <c r="M12" s="10">
        <f>SUM(M$9:M$11)</f>
        <v/>
      </c>
      <c r="N12" s="10">
        <f>SUM($C12:$M12)</f>
        <v/>
      </c>
      <c r="O12" s="10">
        <f>$C12+NPV(10%,$D12:$M12)</f>
        <v/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5" t="inlineStr">
        <is>
          <t>III. COÛTS D'EXPLOITATION (OPEX)</t>
        </is>
      </c>
      <c r="B14" s="6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</row>
    <row r="15">
      <c r="A15" s="2" t="inlineStr">
        <is>
          <t>Coût moyen d'exploitation</t>
        </is>
      </c>
      <c r="B15" s="3" t="inlineStr">
        <is>
          <t>USD/oz</t>
        </is>
      </c>
      <c r="C15" s="8" t="n"/>
      <c r="D15" s="8" t="n"/>
      <c r="E15" s="8" t="n">
        <v>700</v>
      </c>
      <c r="F15" s="8" t="n">
        <v>700</v>
      </c>
      <c r="G15" s="8" t="n">
        <v>700</v>
      </c>
      <c r="H15" s="8" t="n">
        <v>700</v>
      </c>
      <c r="I15" s="8" t="n">
        <v>700</v>
      </c>
      <c r="J15" s="8" t="n">
        <v>700</v>
      </c>
      <c r="K15" s="8" t="n">
        <v>700</v>
      </c>
      <c r="L15" s="8" t="n">
        <v>700</v>
      </c>
      <c r="M15" s="8" t="n"/>
      <c r="N15" s="12" t="n"/>
      <c r="O15" s="12" t="n"/>
    </row>
    <row r="16">
      <c r="A16" s="2" t="inlineStr">
        <is>
          <t>Total des coûts d'exploitation</t>
        </is>
      </c>
      <c r="B16" s="3" t="inlineStr">
        <is>
          <t>USD</t>
        </is>
      </c>
      <c r="C16" s="10">
        <f>C$4*C$15</f>
        <v/>
      </c>
      <c r="D16" s="10">
        <f>D$4*D$15</f>
        <v/>
      </c>
      <c r="E16" s="10">
        <f>E$4*E$15</f>
        <v/>
      </c>
      <c r="F16" s="10">
        <f>F$4*F$15</f>
        <v/>
      </c>
      <c r="G16" s="10">
        <f>G$4*G$15</f>
        <v/>
      </c>
      <c r="H16" s="10">
        <f>H$4*H$15</f>
        <v/>
      </c>
      <c r="I16" s="10">
        <f>I$4*I$15</f>
        <v/>
      </c>
      <c r="J16" s="10">
        <f>J$4*J$15</f>
        <v/>
      </c>
      <c r="K16" s="10">
        <f>K$4*K$15</f>
        <v/>
      </c>
      <c r="L16" s="10">
        <f>L$4*L$15</f>
        <v/>
      </c>
      <c r="M16" s="10">
        <f>M$4*M$15</f>
        <v/>
      </c>
      <c r="N16" s="10">
        <f>SUM($C16:$M16)</f>
        <v/>
      </c>
      <c r="O16" s="10">
        <f>$C16+NPV(10%,$D16:$M16)</f>
        <v/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5" t="inlineStr">
        <is>
          <t>IV. FLUX NETS DE TRESORERIE AVANT IMPÔTS</t>
        </is>
      </c>
      <c r="B18" s="6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</row>
    <row r="19">
      <c r="A19" s="2" t="inlineStr">
        <is>
          <t>Flux nets de trésorerie avant impôts</t>
        </is>
      </c>
      <c r="B19" s="3" t="inlineStr">
        <is>
          <t>USD</t>
        </is>
      </c>
      <c r="C19" s="10">
        <f>C$6-C$12-C$16</f>
        <v/>
      </c>
      <c r="D19" s="10">
        <f>D$6-D$12-D$16</f>
        <v/>
      </c>
      <c r="E19" s="10">
        <f>E$6-E$12-E$16</f>
        <v/>
      </c>
      <c r="F19" s="10">
        <f>F$6-F$12-F$16</f>
        <v/>
      </c>
      <c r="G19" s="10">
        <f>G$6-G$12-G$16</f>
        <v/>
      </c>
      <c r="H19" s="10">
        <f>H$6-H$12-H$16</f>
        <v/>
      </c>
      <c r="I19" s="10">
        <f>I$6-I$12-I$16</f>
        <v/>
      </c>
      <c r="J19" s="10">
        <f>J$6-J$12-J$16</f>
        <v/>
      </c>
      <c r="K19" s="10">
        <f>K$6-K$12-K$16</f>
        <v/>
      </c>
      <c r="L19" s="10">
        <f>L$6-L$12-L$16</f>
        <v/>
      </c>
      <c r="M19" s="10">
        <f>M$6-M$12-M$16</f>
        <v/>
      </c>
      <c r="N19" s="10">
        <f>SUM($C19:$M19)</f>
        <v/>
      </c>
      <c r="O19" s="10">
        <f>$C19+NPV(10%,$D19:$M19)</f>
        <v/>
      </c>
    </row>
    <row r="20">
      <c r="A20" s="2" t="inlineStr">
        <is>
          <t>Taux de rendement interne avant impôts</t>
        </is>
      </c>
      <c r="B20" s="3" t="inlineStr">
        <is>
          <t>%</t>
        </is>
      </c>
      <c r="C20" s="14">
        <f>IF(ISNUMBER(IRR($C19:C19)),IF(IRR($C19:C19)&gt;0,IRR($C19:C19),""),"")</f>
        <v/>
      </c>
      <c r="D20" s="14">
        <f>IF(ISNUMBER(IRR($C19:D19)),IF(IRR($C19:D19)&gt;0,IRR($C19:D19),""),"")</f>
        <v/>
      </c>
      <c r="E20" s="14">
        <f>IF(ISNUMBER(IRR($C19:E19)),IF(IRR($C19:E19)&gt;0,IRR($C19:E19),""),"")</f>
        <v/>
      </c>
      <c r="F20" s="14">
        <f>IF(ISNUMBER(IRR($C19:F19)),IF(IRR($C19:F19)&gt;0,IRR($C19:F19),""),"")</f>
        <v/>
      </c>
      <c r="G20" s="14">
        <f>IF(ISNUMBER(IRR($C19:G19)),IF(IRR($C19:G19)&gt;0,IRR($C19:G19),""),"")</f>
        <v/>
      </c>
      <c r="H20" s="14">
        <f>IF(ISNUMBER(IRR($C19:H19)),IF(IRR($C19:H19)&gt;0,IRR($C19:H19),""),"")</f>
        <v/>
      </c>
      <c r="I20" s="14">
        <f>IF(ISNUMBER(IRR($C19:I19)),IF(IRR($C19:I19)&gt;0,IRR($C19:I19),""),"")</f>
        <v/>
      </c>
      <c r="J20" s="14">
        <f>IF(ISNUMBER(IRR($C19:J19)),IF(IRR($C19:J19)&gt;0,IRR($C19:J19),""),"")</f>
        <v/>
      </c>
      <c r="K20" s="14">
        <f>IF(ISNUMBER(IRR($C19:K19)),IF(IRR($C19:K19)&gt;0,IRR($C19:K19),""),"")</f>
        <v/>
      </c>
      <c r="L20" s="14">
        <f>IF(ISNUMBER(IRR($C19:L19)),IF(IRR($C19:L19)&gt;0,IRR($C19:L19),""),"")</f>
        <v/>
      </c>
      <c r="M20" s="14">
        <f>IF(ISNUMBER(IRR($C19:M19)),IF(IRR($C19:M19)&gt;0,IRR($C19:M19),""),"")</f>
        <v/>
      </c>
      <c r="N20" s="15" t="n"/>
      <c r="O20" s="15" t="n"/>
    </row>
    <row r="21">
      <c r="A21" s="2" t="n"/>
      <c r="B21" s="3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7" t="n"/>
      <c r="O21" s="17" t="n"/>
    </row>
    <row r="22">
      <c r="A22" s="5" t="inlineStr">
        <is>
          <t>V. DROITS FIXES</t>
        </is>
      </c>
      <c r="B22" s="18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</row>
    <row r="23">
      <c r="A23" s="2" t="inlineStr">
        <is>
          <t>Droits fixes</t>
        </is>
      </c>
      <c r="B23" s="3" t="inlineStr">
        <is>
          <t>USD</t>
        </is>
      </c>
      <c r="C23" s="19" t="n">
        <v>100000</v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0">
        <f>SUM($C23:$M23)</f>
        <v/>
      </c>
      <c r="O23" s="10">
        <f>$C23+NPV(10%,$D23:$M23)</f>
        <v/>
      </c>
    </row>
    <row r="24">
      <c r="A24" s="2" t="n"/>
      <c r="B24" s="3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7" t="n"/>
      <c r="O24" s="17" t="n"/>
    </row>
    <row r="25">
      <c r="A25" s="5" t="inlineStr">
        <is>
          <t>VI. REDEVANCE SUPERFICAIRE</t>
        </is>
      </c>
      <c r="B25" s="6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>
      <c r="A26" s="2" t="inlineStr">
        <is>
          <t>Superficie de la mine</t>
        </is>
      </c>
      <c r="B26" s="3" t="inlineStr">
        <is>
          <t>km²</t>
        </is>
      </c>
      <c r="C26" s="8" t="n">
        <v>100</v>
      </c>
      <c r="D26" s="8" t="n">
        <v>100</v>
      </c>
      <c r="E26" s="8" t="n">
        <v>100</v>
      </c>
      <c r="F26" s="8" t="n">
        <v>100</v>
      </c>
      <c r="G26" s="8" t="n">
        <v>100</v>
      </c>
      <c r="H26" s="8" t="n">
        <v>100</v>
      </c>
      <c r="I26" s="8" t="n">
        <v>100</v>
      </c>
      <c r="J26" s="8" t="n">
        <v>100</v>
      </c>
      <c r="K26" s="8" t="n">
        <v>100</v>
      </c>
      <c r="L26" s="8" t="n">
        <v>100</v>
      </c>
      <c r="M26" s="8" t="n">
        <v>100</v>
      </c>
      <c r="N26" s="12" t="n"/>
      <c r="O26" s="12" t="n"/>
    </row>
    <row r="27">
      <c r="A27" s="2" t="inlineStr">
        <is>
          <t>Montant de la redevance superfiaire</t>
        </is>
      </c>
      <c r="B27" s="3" t="inlineStr">
        <is>
          <t>USD/km²</t>
        </is>
      </c>
      <c r="C27" s="19" t="n">
        <v>100</v>
      </c>
      <c r="D27" s="19" t="n">
        <v>100</v>
      </c>
      <c r="E27" s="19" t="n">
        <v>100</v>
      </c>
      <c r="F27" s="19" t="n">
        <v>100</v>
      </c>
      <c r="G27" s="19" t="n">
        <v>100</v>
      </c>
      <c r="H27" s="19" t="n">
        <v>100</v>
      </c>
      <c r="I27" s="19" t="n">
        <v>100</v>
      </c>
      <c r="J27" s="19" t="n">
        <v>100</v>
      </c>
      <c r="K27" s="19" t="n">
        <v>100</v>
      </c>
      <c r="L27" s="19" t="n">
        <v>100</v>
      </c>
      <c r="M27" s="19" t="n">
        <v>100</v>
      </c>
      <c r="N27" s="12" t="n"/>
      <c r="O27" s="12" t="n"/>
    </row>
    <row r="28">
      <c r="A28" s="2" t="inlineStr">
        <is>
          <t>Redevance superficiaire</t>
        </is>
      </c>
      <c r="B28" s="3" t="inlineStr">
        <is>
          <t>USD</t>
        </is>
      </c>
      <c r="C28" s="10">
        <f>C$26*C$27</f>
        <v/>
      </c>
      <c r="D28" s="10">
        <f>D$26*D$27</f>
        <v/>
      </c>
      <c r="E28" s="10">
        <f>E$26*E$27</f>
        <v/>
      </c>
      <c r="F28" s="10">
        <f>F$26*F$27</f>
        <v/>
      </c>
      <c r="G28" s="10">
        <f>G$26*G$27</f>
        <v/>
      </c>
      <c r="H28" s="10">
        <f>H$26*H$27</f>
        <v/>
      </c>
      <c r="I28" s="10">
        <f>I$26*I$27</f>
        <v/>
      </c>
      <c r="J28" s="10">
        <f>J$26*J$27</f>
        <v/>
      </c>
      <c r="K28" s="10">
        <f>K$26*K$27</f>
        <v/>
      </c>
      <c r="L28" s="10">
        <f>L$26*L$27</f>
        <v/>
      </c>
      <c r="M28" s="10">
        <f>M$26*M$27</f>
        <v/>
      </c>
      <c r="N28" s="10">
        <f>SUM($C28:$M28)</f>
        <v/>
      </c>
      <c r="O28" s="10">
        <f>$C28+NPV(10%,$D28:$M28)</f>
        <v/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5" t="inlineStr">
        <is>
          <t>VII. REDEVANCE MINIERE</t>
        </is>
      </c>
      <c r="B30" s="6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  <row r="31">
      <c r="A31" s="2" t="inlineStr">
        <is>
          <t>Taux de la redevance minière</t>
        </is>
      </c>
      <c r="B31" s="3" t="inlineStr">
        <is>
          <t>%</t>
        </is>
      </c>
      <c r="C31" s="21">
        <f>IF(ISNUMBER(C5),IF(C$5&lt;1300,3%,IF(C$5&lt;1500,4%,5%)),"")</f>
        <v/>
      </c>
      <c r="D31" s="21">
        <f>IF(ISNUMBER(D5),IF(D$5&lt;1300,3%,IF(D$5&lt;1500,4%,5%)),"")</f>
        <v/>
      </c>
      <c r="E31" s="21">
        <f>IF(ISNUMBER(E5),IF(E$5&lt;1300,3%,IF(E$5&lt;1500,4%,5%)),"")</f>
        <v/>
      </c>
      <c r="F31" s="21">
        <f>IF(ISNUMBER(F5),IF(F$5&lt;1300,3%,IF(F$5&lt;1500,4%,5%)),"")</f>
        <v/>
      </c>
      <c r="G31" s="21">
        <f>IF(ISNUMBER(G5),IF(G$5&lt;1300,3%,IF(G$5&lt;1500,4%,5%)),"")</f>
        <v/>
      </c>
      <c r="H31" s="21">
        <f>IF(ISNUMBER(H5),IF(H$5&lt;1300,3%,IF(H$5&lt;1500,4%,5%)),"")</f>
        <v/>
      </c>
      <c r="I31" s="21">
        <f>IF(ISNUMBER(I5),IF(I$5&lt;1300,3%,IF(I$5&lt;1500,4%,5%)),"")</f>
        <v/>
      </c>
      <c r="J31" s="21">
        <f>IF(ISNUMBER(J5),IF(J$5&lt;1300,3%,IF(J$5&lt;1500,4%,5%)),"")</f>
        <v/>
      </c>
      <c r="K31" s="21">
        <f>IF(ISNUMBER(K5),IF(K$5&lt;1300,3%,IF(K$5&lt;1500,4%,5%)),"")</f>
        <v/>
      </c>
      <c r="L31" s="21">
        <f>IF(ISNUMBER(L5),IF(L$5&lt;1300,3%,IF(L$5&lt;1500,4%,5%)),"")</f>
        <v/>
      </c>
      <c r="M31" s="21">
        <f>IF(ISNUMBER(M5),IF(M$5&lt;1300,3%,IF(M$5&lt;1500,4%,5%)),"")</f>
        <v/>
      </c>
      <c r="N31" s="12" t="n"/>
      <c r="O31" s="12" t="n"/>
    </row>
    <row r="32">
      <c r="A32" s="2" t="inlineStr">
        <is>
          <t>Redevance minière</t>
        </is>
      </c>
      <c r="B32" s="3" t="inlineStr">
        <is>
          <t>USD</t>
        </is>
      </c>
      <c r="C32" s="10">
        <f>IF(ISNUMBER(C31),C$6*C$31,0)</f>
        <v/>
      </c>
      <c r="D32" s="10">
        <f>IF(ISNUMBER(D31),D$6*D$31,0)</f>
        <v/>
      </c>
      <c r="E32" s="10">
        <f>IF(ISNUMBER(E31),E$6*E$31,0)</f>
        <v/>
      </c>
      <c r="F32" s="10">
        <f>IF(ISNUMBER(F31),F$6*F$31,0)</f>
        <v/>
      </c>
      <c r="G32" s="10">
        <f>IF(ISNUMBER(G31),G$6*G$31,0)</f>
        <v/>
      </c>
      <c r="H32" s="10">
        <f>IF(ISNUMBER(H31),H$6*H$31,0)</f>
        <v/>
      </c>
      <c r="I32" s="10">
        <f>IF(ISNUMBER(I31),I$6*I$31,0)</f>
        <v/>
      </c>
      <c r="J32" s="10">
        <f>IF(ISNUMBER(J31),J$6*J$31,0)</f>
        <v/>
      </c>
      <c r="K32" s="10">
        <f>IF(ISNUMBER(K31),K$6*K$31,0)</f>
        <v/>
      </c>
      <c r="L32" s="10">
        <f>IF(ISNUMBER(L31),L$6*L$31,0)</f>
        <v/>
      </c>
      <c r="M32" s="10">
        <f>IF(ISNUMBER(M31),M$6*M$31,0)</f>
        <v/>
      </c>
      <c r="N32" s="10">
        <f>SUM($C32:$M32)</f>
        <v/>
      </c>
      <c r="O32" s="10">
        <f>$C32+NPV(10%,$D32:$M32)</f>
        <v/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5" t="inlineStr">
        <is>
          <t>+. LA TAXE SUR LA RENTE</t>
        </is>
      </c>
      <c r="B34" s="6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</row>
    <row r="35">
      <c r="A35" s="2" t="inlineStr">
        <is>
          <t>Taux de revalorisation des pertes</t>
        </is>
      </c>
      <c r="B35" s="3" t="inlineStr">
        <is>
          <t>%</t>
        </is>
      </c>
      <c r="C35" s="21" t="n">
        <v>0.02</v>
      </c>
      <c r="D35" s="21" t="n">
        <v>0.02</v>
      </c>
      <c r="E35" s="21" t="n">
        <v>0.02</v>
      </c>
      <c r="F35" s="21" t="n">
        <v>0.02</v>
      </c>
      <c r="G35" s="21" t="n">
        <v>0.02</v>
      </c>
      <c r="H35" s="21" t="n">
        <v>0.02</v>
      </c>
      <c r="I35" s="21" t="n">
        <v>0.02</v>
      </c>
      <c r="J35" s="21" t="n">
        <v>0.02</v>
      </c>
      <c r="K35" s="21" t="n">
        <v>0.02</v>
      </c>
      <c r="L35" s="21" t="n">
        <v>0.02</v>
      </c>
      <c r="M35" s="21" t="n">
        <v>0.02</v>
      </c>
      <c r="N35" s="9" t="n"/>
      <c r="O35" s="9" t="n"/>
    </row>
    <row r="36">
      <c r="A36" s="2" t="inlineStr">
        <is>
          <t>Flux nets de trésorerie revalorisés</t>
        </is>
      </c>
      <c r="B36" s="3" t="inlineStr">
        <is>
          <t>USD</t>
        </is>
      </c>
      <c r="C36" s="9">
        <f>IF(C19&lt;0,C19*(1+C35),C19)</f>
        <v/>
      </c>
      <c r="D36" s="9">
        <f>IF(D19&lt;0,D19*(1+D35),D19)</f>
        <v/>
      </c>
      <c r="E36" s="9">
        <f>IF(E19&lt;0,E19*(1+E35),E19)</f>
        <v/>
      </c>
      <c r="F36" s="9">
        <f>IF(F19&lt;0,F19*(1+F35),F19)</f>
        <v/>
      </c>
      <c r="G36" s="9">
        <f>IF(G19&lt;0,G19*(1+G35),G19)</f>
        <v/>
      </c>
      <c r="H36" s="9">
        <f>IF(H19&lt;0,H19*(1+H35),H19)</f>
        <v/>
      </c>
      <c r="I36" s="9">
        <f>IF(I19&lt;0,I19*(1+I35),I19)</f>
        <v/>
      </c>
      <c r="J36" s="9">
        <f>IF(J19&lt;0,J19*(1+J35),J19)</f>
        <v/>
      </c>
      <c r="K36" s="9">
        <f>IF(K19&lt;0,K19*(1+K35),K19)</f>
        <v/>
      </c>
      <c r="L36" s="9">
        <f>IF(L19&lt;0,L19*(1+L35),L19)</f>
        <v/>
      </c>
      <c r="M36" s="9">
        <f>IF(M19&lt;0,M19*(1+M35),M19)</f>
        <v/>
      </c>
      <c r="N36" s="9">
        <f>SUM($C36:$M36)</f>
        <v/>
      </c>
      <c r="O36" s="9">
        <f>$C36+NPV(10%,$D36:$M36)</f>
        <v/>
      </c>
    </row>
    <row r="37">
      <c r="A37" s="2" t="inlineStr">
        <is>
          <t>Taux de rendement interne</t>
        </is>
      </c>
      <c r="B37" s="3" t="inlineStr">
        <is>
          <t>%</t>
        </is>
      </c>
      <c r="C37" s="33">
        <f>IF(ISNUMBER(IRR($C36:C36)),IF(IRR($C36:C36)&gt;0,IRR($C36:C36),""),"")</f>
        <v/>
      </c>
      <c r="D37" s="33">
        <f>IF(ISNUMBER(IRR($C36:D36)),IF(IRR($C36:D36)&gt;0,IRR($C36:D36),""),"")</f>
        <v/>
      </c>
      <c r="E37" s="33">
        <f>IF(ISNUMBER(IRR($C36:E36)),IF(IRR($C36:E36)&gt;0,IRR($C36:E36),""),"")</f>
        <v/>
      </c>
      <c r="F37" s="33">
        <f>IF(ISNUMBER(IRR($C36:F36)),IF(IRR($C36:F36)&gt;0,IRR($C36:F36),""),"")</f>
        <v/>
      </c>
      <c r="G37" s="33">
        <f>IF(ISNUMBER(IRR($C36:G36)),IF(IRR($C36:G36)&gt;0,IRR($C36:G36),""),"")</f>
        <v/>
      </c>
      <c r="H37" s="33">
        <f>IF(ISNUMBER(IRR($C36:H36)),IF(IRR($C36:H36)&gt;0,IRR($C36:H36),""),"")</f>
        <v/>
      </c>
      <c r="I37" s="33">
        <f>IF(ISNUMBER(IRR($C36:I36)),IF(IRR($C36:I36)&gt;0,IRR($C36:I36),""),"")</f>
        <v/>
      </c>
      <c r="J37" s="33">
        <f>IF(ISNUMBER(IRR($C36:J36)),IF(IRR($C36:J36)&gt;0,IRR($C36:J36),""),"")</f>
        <v/>
      </c>
      <c r="K37" s="33">
        <f>IF(ISNUMBER(IRR($C36:K36)),IF(IRR($C36:K36)&gt;0,IRR($C36:K36),""),"")</f>
        <v/>
      </c>
      <c r="L37" s="33">
        <f>IF(ISNUMBER(IRR($C36:L36)),IF(IRR($C36:L36)&gt;0,IRR($C36:L36),""),"")</f>
        <v/>
      </c>
      <c r="M37" s="33">
        <f>IF(ISNUMBER(IRR($C36:M36)),IF(IRR($C36:M36)&gt;0,IRR($C36:M36),""),"")</f>
        <v/>
      </c>
      <c r="N37" s="9" t="n"/>
      <c r="O37" s="9" t="n"/>
    </row>
    <row r="38">
      <c r="A38" s="2" t="inlineStr">
        <is>
          <t>Seuil de déclenchement de la taxe sur la rente</t>
        </is>
      </c>
      <c r="B38" s="3" t="inlineStr">
        <is>
          <t>%</t>
        </is>
      </c>
      <c r="C38" s="21" t="n">
        <v>0.15</v>
      </c>
      <c r="D38" s="21" t="n">
        <v>0.15</v>
      </c>
      <c r="E38" s="21" t="n">
        <v>0.15</v>
      </c>
      <c r="F38" s="21" t="n">
        <v>0.15</v>
      </c>
      <c r="G38" s="21" t="n">
        <v>0.15</v>
      </c>
      <c r="H38" s="21" t="n">
        <v>0.15</v>
      </c>
      <c r="I38" s="21" t="n">
        <v>0.15</v>
      </c>
      <c r="J38" s="21" t="n">
        <v>0.15</v>
      </c>
      <c r="K38" s="21" t="n">
        <v>0.15</v>
      </c>
      <c r="L38" s="21" t="n">
        <v>0.15</v>
      </c>
      <c r="M38" s="21" t="n">
        <v>0.15</v>
      </c>
      <c r="N38" s="9" t="n"/>
      <c r="O38" s="9" t="n"/>
    </row>
    <row r="39">
      <c r="A39" s="2" t="inlineStr">
        <is>
          <t>Report des pertes revalorisées</t>
        </is>
      </c>
      <c r="B39" s="3" t="n"/>
      <c r="C39" s="9" t="n"/>
      <c r="D39" s="9">
        <f>IF(C40&lt;0,C40,0)</f>
        <v/>
      </c>
      <c r="E39" s="9">
        <f>IF(D40&lt;0,D40,0)</f>
        <v/>
      </c>
      <c r="F39" s="9">
        <f>IF(E40&lt;0,E40,0)</f>
        <v/>
      </c>
      <c r="G39" s="9">
        <f>IF(F40&lt;0,F40,0)</f>
        <v/>
      </c>
      <c r="H39" s="9">
        <f>IF(G40&lt;0,G40,0)</f>
        <v/>
      </c>
      <c r="I39" s="9">
        <f>IF(H40&lt;0,H40,0)</f>
        <v/>
      </c>
      <c r="J39" s="9">
        <f>IF(I40&lt;0,I40,0)</f>
        <v/>
      </c>
      <c r="K39" s="9">
        <f>IF(J40&lt;0,J40,0)</f>
        <v/>
      </c>
      <c r="L39" s="9">
        <f>IF(K40&lt;0,K40,0)</f>
        <v/>
      </c>
      <c r="M39" s="9">
        <f>IF(L40&lt;0,L40,0)</f>
        <v/>
      </c>
      <c r="N39" s="9" t="n"/>
      <c r="O39" s="9" t="n"/>
    </row>
    <row r="40">
      <c r="A40" s="2" t="inlineStr">
        <is>
          <t>Flux nets de trésorerie après report des pertes revalorisées</t>
        </is>
      </c>
      <c r="B40" s="3" t="inlineStr">
        <is>
          <t>USD</t>
        </is>
      </c>
      <c r="C40" s="9">
        <f>C36+C39</f>
        <v/>
      </c>
      <c r="D40" s="9">
        <f>D36+D39</f>
        <v/>
      </c>
      <c r="E40" s="9">
        <f>E36+E39</f>
        <v/>
      </c>
      <c r="F40" s="9">
        <f>F36+F39</f>
        <v/>
      </c>
      <c r="G40" s="9">
        <f>G36+G39</f>
        <v/>
      </c>
      <c r="H40" s="9">
        <f>H36+H39</f>
        <v/>
      </c>
      <c r="I40" s="9">
        <f>I36+I39</f>
        <v/>
      </c>
      <c r="J40" s="9">
        <f>J36+J39</f>
        <v/>
      </c>
      <c r="K40" s="9">
        <f>K36+K39</f>
        <v/>
      </c>
      <c r="L40" s="9">
        <f>L36+L39</f>
        <v/>
      </c>
      <c r="M40" s="9">
        <f>M36+M39</f>
        <v/>
      </c>
      <c r="N40" s="9">
        <f>SUM($C40:$M40)</f>
        <v/>
      </c>
      <c r="O40" s="9">
        <f>$C40+NPV(10%,$D40:$M40)</f>
        <v/>
      </c>
    </row>
    <row r="41">
      <c r="A41" s="2" t="inlineStr">
        <is>
          <t>Taux de la taxe sur la rente</t>
        </is>
      </c>
      <c r="B41" s="3" t="inlineStr">
        <is>
          <t>%</t>
        </is>
      </c>
      <c r="C41" s="21" t="n">
        <v>0.2</v>
      </c>
      <c r="D41" s="21" t="n">
        <v>0.2</v>
      </c>
      <c r="E41" s="21" t="n">
        <v>0.2</v>
      </c>
      <c r="F41" s="21" t="n">
        <v>0.2</v>
      </c>
      <c r="G41" s="21" t="n">
        <v>0.2</v>
      </c>
      <c r="H41" s="21" t="n">
        <v>0.2</v>
      </c>
      <c r="I41" s="21" t="n">
        <v>0.2</v>
      </c>
      <c r="J41" s="21" t="n">
        <v>0.2</v>
      </c>
      <c r="K41" s="21" t="n">
        <v>0.2</v>
      </c>
      <c r="L41" s="21" t="n">
        <v>0.2</v>
      </c>
      <c r="M41" s="21" t="n">
        <v>0.2</v>
      </c>
      <c r="N41" s="9" t="n"/>
      <c r="O41" s="9" t="n"/>
    </row>
    <row r="42">
      <c r="A42" s="2" t="inlineStr">
        <is>
          <t>Taxe sur la rente</t>
        </is>
      </c>
      <c r="B42" s="3" t="inlineStr">
        <is>
          <t>USD</t>
        </is>
      </c>
      <c r="C42" s="10">
        <f>IF(C37&lt;C38,0,IF(C40&lt;0,0,C40*C41))</f>
        <v/>
      </c>
      <c r="D42" s="10">
        <f>IF(D37&lt;D38,0,IF(D40&lt;0,0,D40*D41))</f>
        <v/>
      </c>
      <c r="E42" s="10">
        <f>IF(E37&lt;E38,0,IF(E40&lt;0,0,E40*E41))</f>
        <v/>
      </c>
      <c r="F42" s="10">
        <f>IF(F37&lt;F38,0,IF(F40&lt;0,0,F40*F41))</f>
        <v/>
      </c>
      <c r="G42" s="10">
        <f>IF(G37&lt;G38,0,IF(G40&lt;0,0,G40*G41))</f>
        <v/>
      </c>
      <c r="H42" s="10">
        <f>IF(H37&lt;H38,0,IF(H40&lt;0,0,H40*H41))</f>
        <v/>
      </c>
      <c r="I42" s="10">
        <f>IF(I37&lt;I38,0,IF(I40&lt;0,0,I40*I41))</f>
        <v/>
      </c>
      <c r="J42" s="10">
        <f>IF(J37&lt;J38,0,IF(J40&lt;0,0,J40*J41))</f>
        <v/>
      </c>
      <c r="K42" s="10">
        <f>IF(K37&lt;K38,0,IF(K40&lt;0,0,K40*K41))</f>
        <v/>
      </c>
      <c r="L42" s="10">
        <f>IF(L37&lt;L38,0,IF(L40&lt;0,0,L40*L41))</f>
        <v/>
      </c>
      <c r="M42" s="10">
        <f>IF(M37&lt;M38,0,IF(M40&lt;0,0,M40*M41))</f>
        <v/>
      </c>
      <c r="N42" s="10">
        <f>SUM($C42:$M42)</f>
        <v/>
      </c>
      <c r="O42" s="10">
        <f>$C42+NPV(10%,$D42:$M42)</f>
        <v/>
      </c>
    </row>
    <row r="43">
      <c r="A43" s="2" t="n"/>
      <c r="B43" s="3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5" t="inlineStr">
        <is>
          <t>VIII. IMPÔT SUR LES SOCIETES (IS)</t>
        </is>
      </c>
      <c r="B44" s="6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</row>
    <row r="45">
      <c r="A45" s="2" t="inlineStr">
        <is>
          <t>Bénéfice avant report des pertes</t>
        </is>
      </c>
      <c r="B45" s="3" t="inlineStr">
        <is>
          <t>USD</t>
        </is>
      </c>
      <c r="C45" s="9">
        <f>C$6-C$16-C$23-C$28-C$32-C$42-'Amortissements et Emprunt'!C$25-'Amortissements et Emprunt'!C$119-'Amortissements et Emprunt'!C133-'Amortissements et Emprunt'!C$157</f>
        <v/>
      </c>
      <c r="D45" s="9">
        <f>D$6-D$16-D$23-D$28-D$32-D$42-'Amortissements et Emprunt'!D$25-'Amortissements et Emprunt'!D$119-'Amortissements et Emprunt'!D133-'Amortissements et Emprunt'!D$157</f>
        <v/>
      </c>
      <c r="E45" s="9">
        <f>E$6-E$16-E$23-E$28-E$32-E$42-'Amortissements et Emprunt'!E$25-'Amortissements et Emprunt'!E$119-'Amortissements et Emprunt'!E133-'Amortissements et Emprunt'!E$157</f>
        <v/>
      </c>
      <c r="F45" s="9">
        <f>F$6-F$16-F$23-F$28-F$32-F$42-'Amortissements et Emprunt'!F$25-'Amortissements et Emprunt'!F$119-'Amortissements et Emprunt'!F133-'Amortissements et Emprunt'!F$157</f>
        <v/>
      </c>
      <c r="G45" s="9">
        <f>G$6-G$16-G$23-G$28-G$32-G$42-'Amortissements et Emprunt'!G$25-'Amortissements et Emprunt'!G$119-'Amortissements et Emprunt'!G133-'Amortissements et Emprunt'!G$157</f>
        <v/>
      </c>
      <c r="H45" s="9">
        <f>H$6-H$16-H$23-H$28-H$32-H$42-'Amortissements et Emprunt'!H$25-'Amortissements et Emprunt'!H$119-'Amortissements et Emprunt'!H133-'Amortissements et Emprunt'!H$157</f>
        <v/>
      </c>
      <c r="I45" s="9">
        <f>I$6-I$16-I$23-I$28-I$32-I$42-'Amortissements et Emprunt'!I$25-'Amortissements et Emprunt'!I$119-'Amortissements et Emprunt'!I133-'Amortissements et Emprunt'!I$157</f>
        <v/>
      </c>
      <c r="J45" s="9">
        <f>J$6-J$16-J$23-J$28-J$32-J$42-'Amortissements et Emprunt'!J$25-'Amortissements et Emprunt'!J$119-'Amortissements et Emprunt'!J133-'Amortissements et Emprunt'!J$157</f>
        <v/>
      </c>
      <c r="K45" s="9">
        <f>K$6-K$16-K$23-K$28-K$32-K$42-'Amortissements et Emprunt'!K$25-'Amortissements et Emprunt'!K$119-'Amortissements et Emprunt'!K133-'Amortissements et Emprunt'!K$157</f>
        <v/>
      </c>
      <c r="L45" s="9">
        <f>L$6-L$16-L$23-L$28-L$32-L$42-'Amortissements et Emprunt'!L$25-'Amortissements et Emprunt'!L$119-'Amortissements et Emprunt'!L133-'Amortissements et Emprunt'!L$157</f>
        <v/>
      </c>
      <c r="M45" s="9">
        <f>M$6-M$16-M$23-M$28-M$32-M$42-'Amortissements et Emprunt'!M$25-'Amortissements et Emprunt'!M$119-'Amortissements et Emprunt'!M133-'Amortissements et Emprunt'!M$157</f>
        <v/>
      </c>
      <c r="N45" s="9">
        <f>SUM($C45:$M45)</f>
        <v/>
      </c>
      <c r="O45" s="9">
        <f>$C45+NPV(10%,$D45:$M45)</f>
        <v/>
      </c>
    </row>
    <row r="46">
      <c r="A46" s="2" t="inlineStr">
        <is>
          <t>Report des pertes</t>
        </is>
      </c>
      <c r="B46" s="3" t="inlineStr">
        <is>
          <t>USD</t>
        </is>
      </c>
      <c r="C46" s="9" t="n"/>
      <c r="D46" s="9">
        <f>IF(C47&lt;0,C47,0)</f>
        <v/>
      </c>
      <c r="E46" s="9">
        <f>IF(D47&lt;0,D47,0)</f>
        <v/>
      </c>
      <c r="F46" s="9">
        <f>IF(E47&lt;0,E47,0)</f>
        <v/>
      </c>
      <c r="G46" s="9">
        <f>IF(F47&lt;0,F47,0)</f>
        <v/>
      </c>
      <c r="H46" s="9">
        <f>IF(G47&lt;0,G47,0)</f>
        <v/>
      </c>
      <c r="I46" s="9">
        <f>IF(H47&lt;0,H47,0)</f>
        <v/>
      </c>
      <c r="J46" s="9">
        <f>IF(I47&lt;0,I47,0)</f>
        <v/>
      </c>
      <c r="K46" s="9">
        <f>IF(J47&lt;0,J47,0)</f>
        <v/>
      </c>
      <c r="L46" s="9">
        <f>IF(K47&lt;0,K47,0)</f>
        <v/>
      </c>
      <c r="M46" s="9">
        <f>IF(L47&lt;0,L47,0)</f>
        <v/>
      </c>
      <c r="N46" s="12" t="n"/>
      <c r="O46" s="12" t="n"/>
    </row>
    <row r="47">
      <c r="A47" s="2" t="inlineStr">
        <is>
          <t>Bénéfice fiscal</t>
        </is>
      </c>
      <c r="B47" s="3" t="inlineStr">
        <is>
          <t>USD</t>
        </is>
      </c>
      <c r="C47" s="9">
        <f>C$45+C$46</f>
        <v/>
      </c>
      <c r="D47" s="9">
        <f>D$45+D$46</f>
        <v/>
      </c>
      <c r="E47" s="9">
        <f>E$45+E$46</f>
        <v/>
      </c>
      <c r="F47" s="9">
        <f>F$45+F$46</f>
        <v/>
      </c>
      <c r="G47" s="9">
        <f>G$45+G$46</f>
        <v/>
      </c>
      <c r="H47" s="9">
        <f>H$45+H$46</f>
        <v/>
      </c>
      <c r="I47" s="9">
        <f>I$45+I$46</f>
        <v/>
      </c>
      <c r="J47" s="9">
        <f>J$45+J$46</f>
        <v/>
      </c>
      <c r="K47" s="9">
        <f>K$45+K$46</f>
        <v/>
      </c>
      <c r="L47" s="9">
        <f>L$45+L$46</f>
        <v/>
      </c>
      <c r="M47" s="9">
        <f>M$45+M$46</f>
        <v/>
      </c>
      <c r="N47" s="9">
        <f>SUM($C47:$M47)</f>
        <v/>
      </c>
      <c r="O47" s="9">
        <f>$C47+NPV(10%,$D47:$M47)</f>
        <v/>
      </c>
    </row>
    <row r="48">
      <c r="A48" s="2" t="inlineStr">
        <is>
          <t>Taux de l'impôt sur les sociétés</t>
        </is>
      </c>
      <c r="B48" s="3" t="inlineStr">
        <is>
          <t>%</t>
        </is>
      </c>
      <c r="C48" s="21" t="n">
        <v>0.3</v>
      </c>
      <c r="D48" s="21" t="n">
        <v>0.3</v>
      </c>
      <c r="E48" s="21" t="n">
        <v>0.3</v>
      </c>
      <c r="F48" s="21" t="n">
        <v>0.3</v>
      </c>
      <c r="G48" s="21" t="n">
        <v>0.3</v>
      </c>
      <c r="H48" s="21" t="n">
        <v>0.3</v>
      </c>
      <c r="I48" s="21" t="n">
        <v>0.3</v>
      </c>
      <c r="J48" s="21" t="n">
        <v>0.3</v>
      </c>
      <c r="K48" s="21" t="n">
        <v>0.3</v>
      </c>
      <c r="L48" s="21" t="n">
        <v>0.3</v>
      </c>
      <c r="M48" s="21" t="n">
        <v>0.3</v>
      </c>
      <c r="N48" s="12" t="n"/>
      <c r="O48" s="12" t="n"/>
    </row>
    <row r="49">
      <c r="A49" s="2" t="inlineStr">
        <is>
          <t>Impôt sur les sociétés</t>
        </is>
      </c>
      <c r="B49" s="3" t="inlineStr">
        <is>
          <t>USD</t>
        </is>
      </c>
      <c r="C49" s="10">
        <f>IF(C$47&gt;0,C$47*C$48,0)</f>
        <v/>
      </c>
      <c r="D49" s="10">
        <f>IF(D$47&gt;0,D$47*D$48,0)</f>
        <v/>
      </c>
      <c r="E49" s="10">
        <f>IF(E$47&gt;0,E$47*E$48,0)</f>
        <v/>
      </c>
      <c r="F49" s="10">
        <f>IF(F$47&gt;0,F$47*F$48,0)</f>
        <v/>
      </c>
      <c r="G49" s="10">
        <f>IF(G$47&gt;0,G$47*G$48,0)</f>
        <v/>
      </c>
      <c r="H49" s="10">
        <f>IF(H$47&gt;0,H$47*H$48,0)</f>
        <v/>
      </c>
      <c r="I49" s="10">
        <f>IF(I$47&gt;0,I$47*I$48,0)</f>
        <v/>
      </c>
      <c r="J49" s="10">
        <f>IF(J$47&gt;0,J$47*J$48,0)</f>
        <v/>
      </c>
      <c r="K49" s="10">
        <f>IF(K$47&gt;0,K$47*K$48,0)</f>
        <v/>
      </c>
      <c r="L49" s="10">
        <f>IF(L$47&gt;0,L$47*L$48,0)</f>
        <v/>
      </c>
      <c r="M49" s="10">
        <f>IF(M$47&gt;0,M$47*M$48,0)</f>
        <v/>
      </c>
      <c r="N49" s="10">
        <f>SUM($C49:$M49)</f>
        <v/>
      </c>
      <c r="O49" s="10">
        <f>$C49+NPV(10%,$D49:$M49)</f>
        <v/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5" t="inlineStr">
        <is>
          <t>IX. IMPÔT MINIMUM FORFAITAIRE (IMF)</t>
        </is>
      </c>
      <c r="B51" s="6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</row>
    <row r="52">
      <c r="A52" s="2" t="inlineStr">
        <is>
          <t>Montant minimum</t>
        </is>
      </c>
      <c r="B52" s="3" t="inlineStr">
        <is>
          <t>USD</t>
        </is>
      </c>
      <c r="C52" s="19" t="n">
        <v>2000</v>
      </c>
      <c r="D52" s="19" t="n">
        <v>2000</v>
      </c>
      <c r="E52" s="19" t="n">
        <v>2000</v>
      </c>
      <c r="F52" s="19" t="n">
        <v>2000</v>
      </c>
      <c r="G52" s="19" t="n">
        <v>2000</v>
      </c>
      <c r="H52" s="19" t="n">
        <v>2000</v>
      </c>
      <c r="I52" s="19" t="n">
        <v>2000</v>
      </c>
      <c r="J52" s="19" t="n">
        <v>2000</v>
      </c>
      <c r="K52" s="19" t="n">
        <v>2000</v>
      </c>
      <c r="L52" s="19" t="n">
        <v>2000</v>
      </c>
      <c r="M52" s="19" t="n">
        <v>2000</v>
      </c>
      <c r="N52" s="12" t="n"/>
      <c r="O52" s="12" t="n"/>
    </row>
    <row r="53">
      <c r="A53" s="2" t="inlineStr">
        <is>
          <t>Taux de l'impôt minimum forfaitaire</t>
        </is>
      </c>
      <c r="B53" s="3" t="inlineStr">
        <is>
          <t>%</t>
        </is>
      </c>
      <c r="C53" s="21" t="n">
        <v>0.01</v>
      </c>
      <c r="D53" s="21" t="n">
        <v>0.01</v>
      </c>
      <c r="E53" s="21" t="n">
        <v>0.01</v>
      </c>
      <c r="F53" s="21" t="n">
        <v>0.01</v>
      </c>
      <c r="G53" s="21" t="n">
        <v>0.01</v>
      </c>
      <c r="H53" s="21" t="n">
        <v>0.01</v>
      </c>
      <c r="I53" s="21" t="n">
        <v>0.01</v>
      </c>
      <c r="J53" s="21" t="n">
        <v>0.01</v>
      </c>
      <c r="K53" s="21" t="n">
        <v>0.01</v>
      </c>
      <c r="L53" s="21" t="n">
        <v>0.01</v>
      </c>
      <c r="M53" s="21" t="n">
        <v>0.01</v>
      </c>
      <c r="N53" s="12" t="n"/>
      <c r="O53" s="12" t="n"/>
    </row>
    <row r="54">
      <c r="A54" s="2" t="inlineStr">
        <is>
          <t>Impôt minimum forfaitaire</t>
        </is>
      </c>
      <c r="B54" s="3" t="inlineStr">
        <is>
          <t>USD</t>
        </is>
      </c>
      <c r="C54" s="10">
        <f>IF(C$6*C$53&gt;C$52,C$6*C$53,C$52)</f>
        <v/>
      </c>
      <c r="D54" s="10">
        <f>IF(D$6*D$53&gt;D$52,D$6*D$53,D$52)</f>
        <v/>
      </c>
      <c r="E54" s="10">
        <f>IF(E$6*E$53&gt;E$52,E$6*E$53,E$52)</f>
        <v/>
      </c>
      <c r="F54" s="10">
        <f>IF(F$6*F$53&gt;F$52,F$6*F$53,F$52)</f>
        <v/>
      </c>
      <c r="G54" s="10">
        <f>IF(G$6*G$53&gt;G$52,G$6*G$53,G$52)</f>
        <v/>
      </c>
      <c r="H54" s="10">
        <f>IF(H$6*H$53&gt;H$52,H$6*H$53,H$52)</f>
        <v/>
      </c>
      <c r="I54" s="10">
        <f>IF(I$6*I$53&gt;I$52,I$6*I$53,I$52)</f>
        <v/>
      </c>
      <c r="J54" s="10">
        <f>IF(J$6*J$53&gt;J$52,J$6*J$53,J$52)</f>
        <v/>
      </c>
      <c r="K54" s="10">
        <f>IF(K$6*K$53&gt;K$52,K$6*K$53,K$52)</f>
        <v/>
      </c>
      <c r="L54" s="10">
        <f>IF(L$6*L$53&gt;L$52,L$6*L$53,L$52)</f>
        <v/>
      </c>
      <c r="M54" s="10">
        <f>IF(M$6*M$53&gt;M$52,M$6*M$53,M$52)</f>
        <v/>
      </c>
      <c r="N54" s="10">
        <f>SUM($C54:$M54)</f>
        <v/>
      </c>
      <c r="O54" s="10">
        <f>$C54+NPV(10%,$D54:$M54)</f>
        <v/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5" t="inlineStr">
        <is>
          <t>X. IMPÔT SUR LES SOCIETES (IS) / IMPÔT MINIMUM FORFAITAIRE (IMF)</t>
        </is>
      </c>
      <c r="B56" s="6" t="n"/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</row>
    <row r="57">
      <c r="A57" s="2" t="inlineStr">
        <is>
          <t>Impôt sur les sociétés / Impôt minimum forfaitaire</t>
        </is>
      </c>
      <c r="B57" s="3" t="inlineStr">
        <is>
          <t>USD</t>
        </is>
      </c>
      <c r="C57" s="10">
        <f>IF(C$54&gt;C$49,C$54,C$49)</f>
        <v/>
      </c>
      <c r="D57" s="10">
        <f>IF(D$54&gt;D$49,D$54,D$49)</f>
        <v/>
      </c>
      <c r="E57" s="10">
        <f>IF(E$54&gt;E$49,E$54,E$49)</f>
        <v/>
      </c>
      <c r="F57" s="10">
        <f>IF(F$54&gt;F$49,F$54,F$49)</f>
        <v/>
      </c>
      <c r="G57" s="10">
        <f>IF(G$54&gt;G$49,G$54,G$49)</f>
        <v/>
      </c>
      <c r="H57" s="10">
        <f>IF(H$54&gt;H$49,H$54,H$49)</f>
        <v/>
      </c>
      <c r="I57" s="10">
        <f>IF(I$54&gt;I$49,I$54,I$49)</f>
        <v/>
      </c>
      <c r="J57" s="10">
        <f>IF(J$54&gt;J$49,J$54,J$49)</f>
        <v/>
      </c>
      <c r="K57" s="10">
        <f>IF(K$54&gt;K$49,K$54,K$49)</f>
        <v/>
      </c>
      <c r="L57" s="10">
        <f>IF(L$54&gt;L$49,L$54,L$49)</f>
        <v/>
      </c>
      <c r="M57" s="10">
        <f>IF(M$54&gt;M$49,M$54,M$49)</f>
        <v/>
      </c>
      <c r="N57" s="10">
        <f>SUM($C57:$M57)</f>
        <v/>
      </c>
      <c r="O57" s="10">
        <f>$C57+NPV(10%,$D57:$M57)</f>
        <v/>
      </c>
    </row>
    <row r="58">
      <c r="A58" s="29" t="n"/>
      <c r="B58" s="29" t="n"/>
      <c r="C58" s="30" t="n"/>
      <c r="D58" s="30" t="n"/>
      <c r="E58" s="30" t="n"/>
      <c r="F58" s="30" t="n"/>
      <c r="G58" s="30" t="n"/>
      <c r="H58" s="30" t="n"/>
      <c r="I58" s="30" t="n"/>
      <c r="J58" s="30" t="n"/>
      <c r="K58" s="30" t="n"/>
      <c r="L58" s="30" t="n"/>
      <c r="M58" s="30" t="n"/>
      <c r="N58" s="30" t="n"/>
      <c r="O58" s="30" t="n"/>
    </row>
    <row r="59">
      <c r="A59" s="5" t="inlineStr">
        <is>
          <t>XI. PRELEVEMENTS PUBLICS</t>
        </is>
      </c>
      <c r="B59" s="6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</row>
    <row r="60">
      <c r="A60" s="2" t="inlineStr">
        <is>
          <t>Total des prélèvements publics</t>
        </is>
      </c>
      <c r="B60" s="3" t="inlineStr">
        <is>
          <t>USD</t>
        </is>
      </c>
      <c r="C60" s="10">
        <f>C$23+C$28+C$32+C$42+C$57</f>
        <v/>
      </c>
      <c r="D60" s="10">
        <f>D$23+D$28+D$32+D$42+D$57</f>
        <v/>
      </c>
      <c r="E60" s="10">
        <f>E$23+E$28+E$32+E$42+E$57</f>
        <v/>
      </c>
      <c r="F60" s="10">
        <f>F$23+F$28+F$32+F$42+F$57</f>
        <v/>
      </c>
      <c r="G60" s="10">
        <f>G$23+G$28+G$32+G$42+G$57</f>
        <v/>
      </c>
      <c r="H60" s="10">
        <f>H$23+H$28+H$32+H$42+H$57</f>
        <v/>
      </c>
      <c r="I60" s="10">
        <f>I$23+I$28+I$32+I$42+I$57</f>
        <v/>
      </c>
      <c r="J60" s="10">
        <f>J$23+J$28+J$32+J$42+J$57</f>
        <v/>
      </c>
      <c r="K60" s="10">
        <f>K$23+K$28+K$32+K$42+K$57</f>
        <v/>
      </c>
      <c r="L60" s="10">
        <f>L$23+L$28+L$32+L$42+L$57</f>
        <v/>
      </c>
      <c r="M60" s="10">
        <f>M$23+M$28+M$32+M$42+M$57</f>
        <v/>
      </c>
      <c r="N60" s="10">
        <f>SUM($C60:$M60)</f>
        <v/>
      </c>
      <c r="O60" s="10">
        <f>$C60+NPV(10%,$D60:$M60)</f>
        <v/>
      </c>
    </row>
    <row r="61">
      <c r="A61" s="29" t="n"/>
      <c r="B61" s="29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</row>
    <row r="62">
      <c r="A62" s="5" t="inlineStr">
        <is>
          <t>XII. FLUX NETS DE TRESORERIE APRES IMPÔTS</t>
        </is>
      </c>
      <c r="B62" s="6" t="n"/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</row>
    <row r="63">
      <c r="A63" s="2" t="inlineStr">
        <is>
          <t>Flux nets de trésorerie après impôts</t>
        </is>
      </c>
      <c r="B63" s="3" t="inlineStr">
        <is>
          <t>USD</t>
        </is>
      </c>
      <c r="C63" s="10">
        <f>C$19-C$60</f>
        <v/>
      </c>
      <c r="D63" s="10">
        <f>D$19-D$60</f>
        <v/>
      </c>
      <c r="E63" s="10">
        <f>E$19-E$60</f>
        <v/>
      </c>
      <c r="F63" s="10">
        <f>F$19-F$60</f>
        <v/>
      </c>
      <c r="G63" s="10">
        <f>G$19-G$60</f>
        <v/>
      </c>
      <c r="H63" s="10">
        <f>H$19-H$60</f>
        <v/>
      </c>
      <c r="I63" s="10">
        <f>I$19-I$60</f>
        <v/>
      </c>
      <c r="J63" s="10">
        <f>J$19-J$60</f>
        <v/>
      </c>
      <c r="K63" s="10">
        <f>K$19-K$60</f>
        <v/>
      </c>
      <c r="L63" s="10">
        <f>L$19-L$60</f>
        <v/>
      </c>
      <c r="M63" s="10">
        <f>M$19-M$60</f>
        <v/>
      </c>
      <c r="N63" s="10">
        <f>SUM($C63:$M63)</f>
        <v/>
      </c>
      <c r="O63" s="10">
        <f>$C63+NPV(10%,$D63:$M63)</f>
        <v/>
      </c>
    </row>
    <row r="64">
      <c r="A64" s="2" t="inlineStr">
        <is>
          <t>Taux de rendement interne après impôts</t>
        </is>
      </c>
      <c r="B64" s="3" t="inlineStr">
        <is>
          <t>%</t>
        </is>
      </c>
      <c r="C64" s="14">
        <f>IF(ISNUMBER(IRR($C63:C63)),IF(IRR($C63:C63)&gt;0,IRR($C63:C63),""),"")</f>
        <v/>
      </c>
      <c r="D64" s="14">
        <f>IF(ISNUMBER(IRR($C63:D63)),IF(IRR($C63:D63)&gt;0,IRR($C63:D63),""),"")</f>
        <v/>
      </c>
      <c r="E64" s="14">
        <f>IF(ISNUMBER(IRR($C63:E63)),IF(IRR($C63:E63)&gt;0,IRR($C63:E63),""),"")</f>
        <v/>
      </c>
      <c r="F64" s="14">
        <f>IF(ISNUMBER(IRR($C63:F63)),IF(IRR($C63:F63)&gt;0,IRR($C63:F63),""),"")</f>
        <v/>
      </c>
      <c r="G64" s="14">
        <f>IF(ISNUMBER(IRR($C63:G63)),IF(IRR($C63:G63)&gt;0,IRR($C63:G63),""),"")</f>
        <v/>
      </c>
      <c r="H64" s="14">
        <f>IF(ISNUMBER(IRR($C63:H63)),IF(IRR($C63:H63)&gt;0,IRR($C63:H63),""),"")</f>
        <v/>
      </c>
      <c r="I64" s="14">
        <f>IF(ISNUMBER(IRR($C63:I63)),IF(IRR($C63:I63)&gt;0,IRR($C63:I63),""),"")</f>
        <v/>
      </c>
      <c r="J64" s="14">
        <f>IF(ISNUMBER(IRR($C63:J63)),IF(IRR($C63:J63)&gt;0,IRR($C63:J63),""),"")</f>
        <v/>
      </c>
      <c r="K64" s="14">
        <f>IF(ISNUMBER(IRR($C63:K63)),IF(IRR($C63:K63)&gt;0,IRR($C63:K63),""),"")</f>
        <v/>
      </c>
      <c r="L64" s="14">
        <f>IF(ISNUMBER(IRR($C63:L63)),IF(IRR($C63:L63)&gt;0,IRR($C63:L63),""),"")</f>
        <v/>
      </c>
      <c r="M64" s="14">
        <f>IF(ISNUMBER(IRR($C63:M63)),IF(IRR($C63:M63)&gt;0,IRR($C63:M63),""),"")</f>
        <v/>
      </c>
      <c r="N64" s="15" t="n"/>
      <c r="O64" s="15" t="n"/>
    </row>
    <row r="65">
      <c r="A65" s="29" t="n"/>
      <c r="B65" s="29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</row>
    <row r="66">
      <c r="A66" s="5" t="inlineStr">
        <is>
          <t>XIII. PARTAGE DE LA RENTE MINIERE</t>
        </is>
      </c>
      <c r="B66" s="6" t="n"/>
      <c r="C66" s="20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</row>
    <row r="67">
      <c r="A67" s="2" t="inlineStr">
        <is>
          <t>Rente minière</t>
        </is>
      </c>
      <c r="B67" s="3" t="inlineStr">
        <is>
          <t>USD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>
        <f>N$19</f>
        <v/>
      </c>
      <c r="O67" s="10">
        <f>O$19</f>
        <v/>
      </c>
    </row>
    <row r="68">
      <c r="A68" s="2" t="inlineStr">
        <is>
          <t>Part de l'Etat</t>
        </is>
      </c>
      <c r="B68" s="3" t="inlineStr">
        <is>
          <t>%</t>
        </is>
      </c>
      <c r="C68" s="31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2">
        <f>N$60/N$67</f>
        <v/>
      </c>
      <c r="O68" s="32">
        <f>O$60/O$67</f>
        <v/>
      </c>
    </row>
    <row r="69">
      <c r="A69" s="2" t="inlineStr">
        <is>
          <t>Part de l'investisseur</t>
        </is>
      </c>
      <c r="B69" s="3" t="inlineStr">
        <is>
          <t>%</t>
        </is>
      </c>
      <c r="C69" s="31" t="n"/>
      <c r="D69" s="31" t="n"/>
      <c r="E69" s="31" t="n"/>
      <c r="F69" s="31" t="n"/>
      <c r="G69" s="31" t="n"/>
      <c r="H69" s="31" t="n"/>
      <c r="I69" s="31" t="n"/>
      <c r="J69" s="31" t="n"/>
      <c r="K69" s="31" t="n"/>
      <c r="L69" s="31" t="n"/>
      <c r="M69" s="31" t="n"/>
      <c r="N69" s="32">
        <f>N$63/N$67</f>
        <v/>
      </c>
      <c r="O69" s="32">
        <f>O$63/O$67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57"/>
  <sheetViews>
    <sheetView workbookViewId="0">
      <selection activeCell="A1" sqref="A1"/>
    </sheetView>
  </sheetViews>
  <sheetFormatPr baseColWidth="8" defaultRowHeight="15"/>
  <cols>
    <col width="40.83203125" customWidth="1" min="1" max="1"/>
    <col width="10.83203125" customWidth="1" min="2" max="2"/>
    <col width="15.83203125" customWidth="1" min="3" max="3"/>
    <col width="10.83203125" customWidth="1" min="14" max="14"/>
  </cols>
  <sheetData>
    <row r="1">
      <c r="A1" s="1" t="inlineStr">
        <is>
          <t>Nom</t>
        </is>
      </c>
      <c r="B1" s="1" t="inlineStr">
        <is>
          <t>Unité</t>
        </is>
      </c>
      <c r="C1" s="1" t="inlineStr">
        <is>
          <t>Année 1</t>
        </is>
      </c>
      <c r="D1" s="1" t="inlineStr">
        <is>
          <t>Année 2</t>
        </is>
      </c>
      <c r="E1" s="1" t="inlineStr">
        <is>
          <t>Année 3</t>
        </is>
      </c>
      <c r="F1" s="1" t="inlineStr">
        <is>
          <t>Année 4</t>
        </is>
      </c>
      <c r="G1" s="1" t="inlineStr">
        <is>
          <t>Année 5</t>
        </is>
      </c>
      <c r="H1" s="1" t="inlineStr">
        <is>
          <t>Année 6</t>
        </is>
      </c>
      <c r="I1" s="1" t="inlineStr">
        <is>
          <t>Année 7</t>
        </is>
      </c>
      <c r="J1" s="1" t="inlineStr">
        <is>
          <t>Année 8</t>
        </is>
      </c>
      <c r="K1" s="1" t="inlineStr">
        <is>
          <t>Année 9</t>
        </is>
      </c>
      <c r="L1" s="1" t="inlineStr">
        <is>
          <t>Année 10</t>
        </is>
      </c>
      <c r="M1" s="1" t="inlineStr">
        <is>
          <t>Année 11</t>
        </is>
      </c>
    </row>
    <row r="2"/>
    <row r="3">
      <c r="A3" s="2" t="inlineStr">
        <is>
          <t>Durée restante maximum</t>
        </is>
      </c>
      <c r="B3" s="22" t="inlineStr">
        <is>
          <t>Années</t>
        </is>
      </c>
      <c r="C3" s="23" t="n">
        <v>11</v>
      </c>
      <c r="D3" s="23" t="n">
        <v>10</v>
      </c>
      <c r="E3" s="23" t="n">
        <v>9</v>
      </c>
      <c r="F3" s="23" t="n">
        <v>8</v>
      </c>
      <c r="G3" s="23" t="n">
        <v>7</v>
      </c>
      <c r="H3" s="23" t="n">
        <v>6</v>
      </c>
      <c r="I3" s="23" t="n">
        <v>5</v>
      </c>
      <c r="J3" s="23" t="n">
        <v>4</v>
      </c>
      <c r="K3" s="23" t="n">
        <v>3</v>
      </c>
      <c r="L3" s="23" t="n">
        <v>2</v>
      </c>
      <c r="M3" s="23" t="n">
        <v>1</v>
      </c>
    </row>
    <row r="4">
      <c r="A4" s="22" t="n"/>
      <c r="B4" s="22" t="n"/>
    </row>
    <row r="5">
      <c r="A5" s="5" t="inlineStr">
        <is>
          <t>I. AMORTISSEMENTS DES CONSTRUCTIONS INDUSTRIELLES</t>
        </is>
      </c>
      <c r="B5" s="24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</row>
    <row r="6">
      <c r="A6" s="2" t="inlineStr">
        <is>
          <t>Durée d'amortissement linéaire</t>
        </is>
      </c>
      <c r="B6" s="22" t="inlineStr">
        <is>
          <t>Années</t>
        </is>
      </c>
      <c r="C6" s="19" t="n">
        <v>10</v>
      </c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</row>
    <row r="7">
      <c r="A7" s="2" t="inlineStr">
        <is>
          <t>Coefficient d'amortissement dégressif</t>
        </is>
      </c>
      <c r="B7" s="22" t="inlineStr">
        <is>
          <t>Coefficient</t>
        </is>
      </c>
      <c r="C7" s="19" t="n">
        <v>1</v>
      </c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</row>
    <row r="8">
      <c r="A8" s="22" t="n"/>
      <c r="B8" s="22" t="n"/>
    </row>
    <row r="9">
      <c r="A9" s="2" t="inlineStr">
        <is>
          <t>Immobilisations de l'année A1</t>
        </is>
      </c>
      <c r="B9" s="22" t="n"/>
    </row>
    <row r="10">
      <c r="A10" s="22" t="inlineStr">
        <is>
          <t>Durée restante</t>
        </is>
      </c>
      <c r="B10" s="22" t="inlineStr">
        <is>
          <t>Années</t>
        </is>
      </c>
      <c r="C10" s="23">
        <f>IF($C$6&lt;C$3,$C$6,C$3)</f>
        <v/>
      </c>
      <c r="D10" s="8">
        <f>IF(C10=0,0,IF(C10-1&lt;D$3,C10-1,D$3))</f>
        <v/>
      </c>
      <c r="E10" s="8">
        <f>IF(D10=0,0,IF(D10-1&lt;E$3,D10-1,E$3))</f>
        <v/>
      </c>
      <c r="F10" s="8">
        <f>IF(E10=0,0,IF(E10-1&lt;F$3,E10-1,F$3))</f>
        <v/>
      </c>
      <c r="G10" s="8">
        <f>IF(F10=0,0,IF(F10-1&lt;G$3,F10-1,G$3))</f>
        <v/>
      </c>
      <c r="H10" s="8">
        <f>IF(G10=0,0,IF(G10-1&lt;H$3,G10-1,H$3))</f>
        <v/>
      </c>
      <c r="I10" s="8">
        <f>IF(H10=0,0,IF(H10-1&lt;I$3,H10-1,I$3))</f>
        <v/>
      </c>
      <c r="J10" s="8">
        <f>IF(I10=0,0,IF(I10-1&lt;J$3,I10-1,J$3))</f>
        <v/>
      </c>
      <c r="K10" s="8">
        <f>IF(J10=0,0,IF(J10-1&lt;K$3,J10-1,K$3))</f>
        <v/>
      </c>
      <c r="L10" s="8">
        <f>IF(K10=0,0,IF(K10-1&lt;L$3,K10-1,L$3))</f>
        <v/>
      </c>
      <c r="M10" s="8">
        <f>IF(L10=0,0,IF(L10-1&lt;M$3,L10-1,M$3))</f>
        <v/>
      </c>
    </row>
    <row r="11">
      <c r="A11" s="22" t="inlineStr">
        <is>
          <t>Base amortissable</t>
        </is>
      </c>
      <c r="B11" s="22" t="inlineStr">
        <is>
          <t>USD</t>
        </is>
      </c>
      <c r="C11" s="23">
        <f>Modèle!C$9</f>
        <v/>
      </c>
      <c r="D11" s="8">
        <f>C15</f>
        <v/>
      </c>
      <c r="E11" s="8">
        <f>D15</f>
        <v/>
      </c>
      <c r="F11" s="8">
        <f>E15</f>
        <v/>
      </c>
      <c r="G11" s="8">
        <f>F15</f>
        <v/>
      </c>
      <c r="H11" s="8">
        <f>G15</f>
        <v/>
      </c>
      <c r="I11" s="8">
        <f>H15</f>
        <v/>
      </c>
      <c r="J11" s="8">
        <f>I15</f>
        <v/>
      </c>
      <c r="K11" s="8">
        <f>J15</f>
        <v/>
      </c>
      <c r="L11" s="8">
        <f>K15</f>
        <v/>
      </c>
      <c r="M11" s="8">
        <f>L15</f>
        <v/>
      </c>
    </row>
    <row r="12">
      <c r="A12" s="22" t="inlineStr">
        <is>
          <t>Inverse de la durée restante</t>
        </is>
      </c>
      <c r="B12" s="22" t="inlineStr">
        <is>
          <t>%</t>
        </is>
      </c>
      <c r="C12" s="27">
        <f>IF(C10=0,0,1/C10)</f>
        <v/>
      </c>
      <c r="D12" s="27">
        <f>IF(D10=0,0,1/D10)</f>
        <v/>
      </c>
      <c r="E12" s="27">
        <f>IF(E10=0,0,1/E10)</f>
        <v/>
      </c>
      <c r="F12" s="27">
        <f>IF(F10=0,0,1/F10)</f>
        <v/>
      </c>
      <c r="G12" s="27">
        <f>IF(G10=0,0,1/G10)</f>
        <v/>
      </c>
      <c r="H12" s="27">
        <f>IF(H10=0,0,1/H10)</f>
        <v/>
      </c>
      <c r="I12" s="27">
        <f>IF(I10=0,0,1/I10)</f>
        <v/>
      </c>
      <c r="J12" s="27">
        <f>IF(J10=0,0,1/J10)</f>
        <v/>
      </c>
      <c r="K12" s="27">
        <f>IF(K10=0,0,1/K10)</f>
        <v/>
      </c>
      <c r="L12" s="27">
        <f>IF(L10=0,0,1/L10)</f>
        <v/>
      </c>
      <c r="M12" s="27">
        <f>IF(M10=0,0,1/M10)</f>
        <v/>
      </c>
    </row>
    <row r="13">
      <c r="A13" s="22" t="inlineStr">
        <is>
          <t>Taux dégressif</t>
        </is>
      </c>
      <c r="B13" s="22" t="inlineStr">
        <is>
          <t>%</t>
        </is>
      </c>
      <c r="C13" s="27">
        <f>IF(C10=0,0,IF($C$7*1/$C$6&gt;C12,$C$7*1/$C$6,C12))</f>
        <v/>
      </c>
      <c r="D13" s="27">
        <f>IF(D10=0,0,IF($C$7*1/$C$6&gt;D12,$C$7*1/$C$6,D12))</f>
        <v/>
      </c>
      <c r="E13" s="27">
        <f>IF(E10=0,0,IF($C$7*1/$C$6&gt;E12,$C$7*1/$C$6,E12))</f>
        <v/>
      </c>
      <c r="F13" s="27">
        <f>IF(F10=0,0,IF($C$7*1/$C$6&gt;F12,$C$7*1/$C$6,F12))</f>
        <v/>
      </c>
      <c r="G13" s="27">
        <f>IF(G10=0,0,IF($C$7*1/$C$6&gt;G12,$C$7*1/$C$6,G12))</f>
        <v/>
      </c>
      <c r="H13" s="27">
        <f>IF(H10=0,0,IF($C$7*1/$C$6&gt;H12,$C$7*1/$C$6,H12))</f>
        <v/>
      </c>
      <c r="I13" s="27">
        <f>IF(I10=0,0,IF($C$7*1/$C$6&gt;I12,$C$7*1/$C$6,I12))</f>
        <v/>
      </c>
      <c r="J13" s="27">
        <f>IF(J10=0,0,IF($C$7*1/$C$6&gt;J12,$C$7*1/$C$6,J12))</f>
        <v/>
      </c>
      <c r="K13" s="27">
        <f>IF(K10=0,0,IF($C$7*1/$C$6&gt;K12,$C$7*1/$C$6,K12))</f>
        <v/>
      </c>
      <c r="L13" s="27">
        <f>IF(L10=0,0,IF($C$7*1/$C$6&gt;L12,$C$7*1/$C$6,L12))</f>
        <v/>
      </c>
      <c r="M13" s="27">
        <f>IF(M10=0,0,IF($C$7*1/$C$6&gt;M12,$C$7*1/$C$6,M12))</f>
        <v/>
      </c>
    </row>
    <row r="14">
      <c r="A14" s="22" t="inlineStr">
        <is>
          <t>Charge d'amortissement</t>
        </is>
      </c>
      <c r="B14" s="22" t="inlineStr">
        <is>
          <t>USD</t>
        </is>
      </c>
      <c r="C14" s="8">
        <f>C11*C13</f>
        <v/>
      </c>
      <c r="D14" s="8">
        <f>D11*D13</f>
        <v/>
      </c>
      <c r="E14" s="8">
        <f>E11*E13</f>
        <v/>
      </c>
      <c r="F14" s="8">
        <f>F11*F13</f>
        <v/>
      </c>
      <c r="G14" s="8">
        <f>G11*G13</f>
        <v/>
      </c>
      <c r="H14" s="8">
        <f>H11*H13</f>
        <v/>
      </c>
      <c r="I14" s="8">
        <f>I11*I13</f>
        <v/>
      </c>
      <c r="J14" s="8">
        <f>J11*J13</f>
        <v/>
      </c>
      <c r="K14" s="8">
        <f>K11*K13</f>
        <v/>
      </c>
      <c r="L14" s="8">
        <f>L11*L13</f>
        <v/>
      </c>
      <c r="M14" s="8">
        <f>M11*M13</f>
        <v/>
      </c>
    </row>
    <row r="15">
      <c r="A15" s="22" t="inlineStr">
        <is>
          <t>Amortissement restant</t>
        </is>
      </c>
      <c r="B15" s="22" t="inlineStr">
        <is>
          <t>USD</t>
        </is>
      </c>
      <c r="C15" s="8">
        <f>C11-C14</f>
        <v/>
      </c>
      <c r="D15" s="8">
        <f>D11-D14</f>
        <v/>
      </c>
      <c r="E15" s="8">
        <f>E11-E14</f>
        <v/>
      </c>
      <c r="F15" s="8">
        <f>F11-F14</f>
        <v/>
      </c>
      <c r="G15" s="8">
        <f>G11-G14</f>
        <v/>
      </c>
      <c r="H15" s="8">
        <f>H11-H14</f>
        <v/>
      </c>
      <c r="I15" s="8">
        <f>I11-I14</f>
        <v/>
      </c>
      <c r="J15" s="8">
        <f>J11-J14</f>
        <v/>
      </c>
      <c r="K15" s="8">
        <f>K11-K14</f>
        <v/>
      </c>
      <c r="L15" s="8">
        <f>L11-L14</f>
        <v/>
      </c>
      <c r="M15" s="8">
        <f>M11-M14</f>
        <v/>
      </c>
    </row>
    <row r="16">
      <c r="A16" s="22" t="n"/>
      <c r="B16" s="22" t="n"/>
    </row>
    <row r="17">
      <c r="A17" s="2" t="inlineStr">
        <is>
          <t>Immobilisations de l'année A2</t>
        </is>
      </c>
      <c r="B17" s="22" t="n"/>
    </row>
    <row r="18">
      <c r="A18" s="22" t="inlineStr">
        <is>
          <t>Durée restante</t>
        </is>
      </c>
      <c r="B18" s="22" t="inlineStr">
        <is>
          <t>Années</t>
        </is>
      </c>
      <c r="D18" s="23">
        <f>IF($C$6&lt;D$3,$C$6,D$3)</f>
        <v/>
      </c>
      <c r="E18" s="8">
        <f>IF(D18=0,0,IF(D18-1&lt;E$3,D18-1,E$3))</f>
        <v/>
      </c>
      <c r="F18" s="8">
        <f>IF(E18=0,0,IF(E18-1&lt;F$3,E18-1,F$3))</f>
        <v/>
      </c>
      <c r="G18" s="8">
        <f>IF(F18=0,0,IF(F18-1&lt;G$3,F18-1,G$3))</f>
        <v/>
      </c>
      <c r="H18" s="8">
        <f>IF(G18=0,0,IF(G18-1&lt;H$3,G18-1,H$3))</f>
        <v/>
      </c>
      <c r="I18" s="8">
        <f>IF(H18=0,0,IF(H18-1&lt;I$3,H18-1,I$3))</f>
        <v/>
      </c>
      <c r="J18" s="8">
        <f>IF(I18=0,0,IF(I18-1&lt;J$3,I18-1,J$3))</f>
        <v/>
      </c>
      <c r="K18" s="8">
        <f>IF(J18=0,0,IF(J18-1&lt;K$3,J18-1,K$3))</f>
        <v/>
      </c>
      <c r="L18" s="8">
        <f>IF(K18=0,0,IF(K18-1&lt;L$3,K18-1,L$3))</f>
        <v/>
      </c>
      <c r="M18" s="8">
        <f>IF(L18=0,0,IF(L18-1&lt;M$3,L18-1,M$3))</f>
        <v/>
      </c>
    </row>
    <row r="19">
      <c r="A19" s="22" t="inlineStr">
        <is>
          <t>Base amortissable</t>
        </is>
      </c>
      <c r="B19" s="22" t="inlineStr">
        <is>
          <t>USD</t>
        </is>
      </c>
      <c r="D19" s="23">
        <f>Modèle!D$9</f>
        <v/>
      </c>
      <c r="E19" s="8">
        <f>D23</f>
        <v/>
      </c>
      <c r="F19" s="8">
        <f>E23</f>
        <v/>
      </c>
      <c r="G19" s="8">
        <f>F23</f>
        <v/>
      </c>
      <c r="H19" s="8">
        <f>G23</f>
        <v/>
      </c>
      <c r="I19" s="8">
        <f>H23</f>
        <v/>
      </c>
      <c r="J19" s="8">
        <f>I23</f>
        <v/>
      </c>
      <c r="K19" s="8">
        <f>J23</f>
        <v/>
      </c>
      <c r="L19" s="8">
        <f>K23</f>
        <v/>
      </c>
      <c r="M19" s="8">
        <f>L23</f>
        <v/>
      </c>
    </row>
    <row r="20">
      <c r="A20" s="22" t="inlineStr">
        <is>
          <t>Inverse de la durée restante</t>
        </is>
      </c>
      <c r="B20" s="22" t="inlineStr">
        <is>
          <t>%</t>
        </is>
      </c>
      <c r="D20" s="27">
        <f>IF(D18=0,0,1/D18)</f>
        <v/>
      </c>
      <c r="E20" s="27">
        <f>IF(E18=0,0,1/E18)</f>
        <v/>
      </c>
      <c r="F20" s="27">
        <f>IF(F18=0,0,1/F18)</f>
        <v/>
      </c>
      <c r="G20" s="27">
        <f>IF(G18=0,0,1/G18)</f>
        <v/>
      </c>
      <c r="H20" s="27">
        <f>IF(H18=0,0,1/H18)</f>
        <v/>
      </c>
      <c r="I20" s="27">
        <f>IF(I18=0,0,1/I18)</f>
        <v/>
      </c>
      <c r="J20" s="27">
        <f>IF(J18=0,0,1/J18)</f>
        <v/>
      </c>
      <c r="K20" s="27">
        <f>IF(K18=0,0,1/K18)</f>
        <v/>
      </c>
      <c r="L20" s="27">
        <f>IF(L18=0,0,1/L18)</f>
        <v/>
      </c>
      <c r="M20" s="27">
        <f>IF(M18=0,0,1/M18)</f>
        <v/>
      </c>
    </row>
    <row r="21">
      <c r="A21" s="22" t="inlineStr">
        <is>
          <t>Taux dégressif</t>
        </is>
      </c>
      <c r="B21" s="22" t="inlineStr">
        <is>
          <t>%</t>
        </is>
      </c>
      <c r="D21" s="27">
        <f>IF(D18=0,0,IF($C$7*1/$C$6&gt;D20,$C$7*1/$C$6,D20))</f>
        <v/>
      </c>
      <c r="E21" s="27">
        <f>IF(E18=0,0,IF($C$7*1/$C$6&gt;E20,$C$7*1/$C$6,E20))</f>
        <v/>
      </c>
      <c r="F21" s="27">
        <f>IF(F18=0,0,IF($C$7*1/$C$6&gt;F20,$C$7*1/$C$6,F20))</f>
        <v/>
      </c>
      <c r="G21" s="27">
        <f>IF(G18=0,0,IF($C$7*1/$C$6&gt;G20,$C$7*1/$C$6,G20))</f>
        <v/>
      </c>
      <c r="H21" s="27">
        <f>IF(H18=0,0,IF($C$7*1/$C$6&gt;H20,$C$7*1/$C$6,H20))</f>
        <v/>
      </c>
      <c r="I21" s="27">
        <f>IF(I18=0,0,IF($C$7*1/$C$6&gt;I20,$C$7*1/$C$6,I20))</f>
        <v/>
      </c>
      <c r="J21" s="27">
        <f>IF(J18=0,0,IF($C$7*1/$C$6&gt;J20,$C$7*1/$C$6,J20))</f>
        <v/>
      </c>
      <c r="K21" s="27">
        <f>IF(K18=0,0,IF($C$7*1/$C$6&gt;K20,$C$7*1/$C$6,K20))</f>
        <v/>
      </c>
      <c r="L21" s="27">
        <f>IF(L18=0,0,IF($C$7*1/$C$6&gt;L20,$C$7*1/$C$6,L20))</f>
        <v/>
      </c>
      <c r="M21" s="27">
        <f>IF(M18=0,0,IF($C$7*1/$C$6&gt;M20,$C$7*1/$C$6,M20))</f>
        <v/>
      </c>
    </row>
    <row r="22">
      <c r="A22" s="22" t="inlineStr">
        <is>
          <t>Charge d'amortissement</t>
        </is>
      </c>
      <c r="B22" s="22" t="inlineStr">
        <is>
          <t>USD</t>
        </is>
      </c>
      <c r="D22" s="8">
        <f>D19*D21</f>
        <v/>
      </c>
      <c r="E22" s="8">
        <f>E19*E21</f>
        <v/>
      </c>
      <c r="F22" s="8">
        <f>F19*F21</f>
        <v/>
      </c>
      <c r="G22" s="8">
        <f>G19*G21</f>
        <v/>
      </c>
      <c r="H22" s="8">
        <f>H19*H21</f>
        <v/>
      </c>
      <c r="I22" s="8">
        <f>I19*I21</f>
        <v/>
      </c>
      <c r="J22" s="8">
        <f>J19*J21</f>
        <v/>
      </c>
      <c r="K22" s="8">
        <f>K19*K21</f>
        <v/>
      </c>
      <c r="L22" s="8">
        <f>L19*L21</f>
        <v/>
      </c>
      <c r="M22" s="8">
        <f>M19*M21</f>
        <v/>
      </c>
    </row>
    <row r="23">
      <c r="A23" s="22" t="inlineStr">
        <is>
          <t>Amortissement restant</t>
        </is>
      </c>
      <c r="B23" s="22" t="inlineStr">
        <is>
          <t>USD</t>
        </is>
      </c>
      <c r="D23" s="8">
        <f>D19-D22</f>
        <v/>
      </c>
      <c r="E23" s="8">
        <f>E19-E22</f>
        <v/>
      </c>
      <c r="F23" s="8">
        <f>F19-F22</f>
        <v/>
      </c>
      <c r="G23" s="8">
        <f>G19-G22</f>
        <v/>
      </c>
      <c r="H23" s="8">
        <f>H19-H22</f>
        <v/>
      </c>
      <c r="I23" s="8">
        <f>I19-I22</f>
        <v/>
      </c>
      <c r="J23" s="8">
        <f>J19-J22</f>
        <v/>
      </c>
      <c r="K23" s="8">
        <f>K19-K22</f>
        <v/>
      </c>
      <c r="L23" s="8">
        <f>L19-L22</f>
        <v/>
      </c>
      <c r="M23" s="8">
        <f>M19-M22</f>
        <v/>
      </c>
    </row>
    <row r="24">
      <c r="A24" s="22" t="n"/>
      <c r="B24" s="22" t="n"/>
    </row>
    <row r="25">
      <c r="A25" s="2" t="inlineStr">
        <is>
          <t>Amortissements des constructions industrielles</t>
        </is>
      </c>
      <c r="B25" s="22" t="inlineStr">
        <is>
          <t>USD</t>
        </is>
      </c>
      <c r="C25" s="8">
        <f>C$14+C$22</f>
        <v/>
      </c>
      <c r="D25" s="8">
        <f>D$14+D$22</f>
        <v/>
      </c>
      <c r="E25" s="8">
        <f>E$14+E$22</f>
        <v/>
      </c>
      <c r="F25" s="8">
        <f>F$14+F$22</f>
        <v/>
      </c>
      <c r="G25" s="8">
        <f>G$14+G$22</f>
        <v/>
      </c>
      <c r="H25" s="8">
        <f>H$14+H$22</f>
        <v/>
      </c>
      <c r="I25" s="8">
        <f>I$14+I$22</f>
        <v/>
      </c>
      <c r="J25" s="8">
        <f>J$14+J$22</f>
        <v/>
      </c>
      <c r="K25" s="8">
        <f>K$14+K$22</f>
        <v/>
      </c>
      <c r="L25" s="8">
        <f>L$14+L$22</f>
        <v/>
      </c>
      <c r="M25" s="8">
        <f>M$14+M$22</f>
        <v/>
      </c>
    </row>
    <row r="26">
      <c r="A26" s="22" t="n"/>
      <c r="B26" s="22" t="n"/>
    </row>
    <row r="27">
      <c r="A27" s="5" t="inlineStr">
        <is>
          <t>II. AMORTISSEMENTS DES BIENS D'EQUIPEMENT</t>
        </is>
      </c>
      <c r="B27" s="24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</row>
    <row r="28">
      <c r="A28" s="2" t="inlineStr">
        <is>
          <t>Durée d'amortissement linéaire</t>
        </is>
      </c>
      <c r="B28" s="22" t="inlineStr">
        <is>
          <t>Années</t>
        </is>
      </c>
      <c r="C28" s="19" t="n">
        <v>5</v>
      </c>
    </row>
    <row r="29">
      <c r="A29" s="2" t="inlineStr">
        <is>
          <t>Coefficient d'amortissement dégressif</t>
        </is>
      </c>
      <c r="B29" s="22" t="inlineStr">
        <is>
          <t>Coefficient</t>
        </is>
      </c>
      <c r="C29" s="19" t="n">
        <v>2</v>
      </c>
    </row>
    <row r="30">
      <c r="A30" s="22" t="n"/>
      <c r="B30" s="22" t="n"/>
    </row>
    <row r="31">
      <c r="A31" s="2" t="inlineStr">
        <is>
          <t>Immobilisations de l'année A1</t>
        </is>
      </c>
      <c r="B31" s="22" t="n"/>
    </row>
    <row r="32">
      <c r="A32" s="22" t="inlineStr">
        <is>
          <t>Durée restante</t>
        </is>
      </c>
      <c r="B32" s="22" t="inlineStr">
        <is>
          <t>Années</t>
        </is>
      </c>
      <c r="C32" s="23">
        <f>IF($C$28&lt;C$3,$C$28,C$3)</f>
        <v/>
      </c>
      <c r="D32" s="8">
        <f>IF(C32=0,0,IF(C32-1&lt;D$3,C32-1,D$3))</f>
        <v/>
      </c>
      <c r="E32" s="8">
        <f>IF(D32=0,0,IF(D32-1&lt;E$3,D32-1,E$3))</f>
        <v/>
      </c>
      <c r="F32" s="8">
        <f>IF(E32=0,0,IF(E32-1&lt;F$3,E32-1,F$3))</f>
        <v/>
      </c>
      <c r="G32" s="8">
        <f>IF(F32=0,0,IF(F32-1&lt;G$3,F32-1,G$3))</f>
        <v/>
      </c>
      <c r="H32" s="8">
        <f>IF(G32=0,0,IF(G32-1&lt;H$3,G32-1,H$3))</f>
        <v/>
      </c>
      <c r="I32" s="8">
        <f>IF(H32=0,0,IF(H32-1&lt;I$3,H32-1,I$3))</f>
        <v/>
      </c>
      <c r="J32" s="8">
        <f>IF(I32=0,0,IF(I32-1&lt;J$3,I32-1,J$3))</f>
        <v/>
      </c>
      <c r="K32" s="8">
        <f>IF(J32=0,0,IF(J32-1&lt;K$3,J32-1,K$3))</f>
        <v/>
      </c>
      <c r="L32" s="8">
        <f>IF(K32=0,0,IF(K32-1&lt;L$3,K32-1,L$3))</f>
        <v/>
      </c>
      <c r="M32" s="8">
        <f>IF(L32=0,0,IF(L32-1&lt;M$3,L32-1,M$3))</f>
        <v/>
      </c>
    </row>
    <row r="33">
      <c r="A33" s="22" t="inlineStr">
        <is>
          <t>Base amortissable</t>
        </is>
      </c>
      <c r="B33" s="22" t="inlineStr">
        <is>
          <t>USD</t>
        </is>
      </c>
      <c r="C33" s="23">
        <f>Modèle!C$10</f>
        <v/>
      </c>
      <c r="D33" s="8">
        <f>C37</f>
        <v/>
      </c>
      <c r="E33" s="8">
        <f>D37</f>
        <v/>
      </c>
      <c r="F33" s="8">
        <f>E37</f>
        <v/>
      </c>
      <c r="G33" s="8">
        <f>F37</f>
        <v/>
      </c>
      <c r="H33" s="8">
        <f>G37</f>
        <v/>
      </c>
      <c r="I33" s="8">
        <f>H37</f>
        <v/>
      </c>
      <c r="J33" s="8">
        <f>I37</f>
        <v/>
      </c>
      <c r="K33" s="8">
        <f>J37</f>
        <v/>
      </c>
      <c r="L33" s="8">
        <f>K37</f>
        <v/>
      </c>
      <c r="M33" s="8">
        <f>L37</f>
        <v/>
      </c>
    </row>
    <row r="34">
      <c r="A34" s="22" t="inlineStr">
        <is>
          <t>Inverse de la durée restante</t>
        </is>
      </c>
      <c r="B34" s="22" t="inlineStr">
        <is>
          <t>%</t>
        </is>
      </c>
      <c r="C34" s="27">
        <f>IF(C32=0,0,1/C32)</f>
        <v/>
      </c>
      <c r="D34" s="27">
        <f>IF(D32=0,0,1/D32)</f>
        <v/>
      </c>
      <c r="E34" s="27">
        <f>IF(E32=0,0,1/E32)</f>
        <v/>
      </c>
      <c r="F34" s="27">
        <f>IF(F32=0,0,1/F32)</f>
        <v/>
      </c>
      <c r="G34" s="27">
        <f>IF(G32=0,0,1/G32)</f>
        <v/>
      </c>
      <c r="H34" s="27">
        <f>IF(H32=0,0,1/H32)</f>
        <v/>
      </c>
      <c r="I34" s="27">
        <f>IF(I32=0,0,1/I32)</f>
        <v/>
      </c>
      <c r="J34" s="27">
        <f>IF(J32=0,0,1/J32)</f>
        <v/>
      </c>
      <c r="K34" s="27">
        <f>IF(K32=0,0,1/K32)</f>
        <v/>
      </c>
      <c r="L34" s="27">
        <f>IF(L32=0,0,1/L32)</f>
        <v/>
      </c>
      <c r="M34" s="27">
        <f>IF(M32=0,0,1/M32)</f>
        <v/>
      </c>
    </row>
    <row r="35">
      <c r="A35" s="22" t="inlineStr">
        <is>
          <t>Taux dégressif</t>
        </is>
      </c>
      <c r="B35" s="22" t="inlineStr">
        <is>
          <t>%</t>
        </is>
      </c>
      <c r="C35" s="27">
        <f>IF(C32=0,0,IF($C$29*1/$C$28&gt;C34,$C$29*1/$C$28,C34))</f>
        <v/>
      </c>
      <c r="D35" s="27">
        <f>IF(D32=0,0,IF($C$29*1/$C$28&gt;D34,$C$29*1/$C$28,D34))</f>
        <v/>
      </c>
      <c r="E35" s="27">
        <f>IF(E32=0,0,IF($C$29*1/$C$28&gt;E34,$C$29*1/$C$28,E34))</f>
        <v/>
      </c>
      <c r="F35" s="27">
        <f>IF(F32=0,0,IF($C$29*1/$C$28&gt;F34,$C$29*1/$C$28,F34))</f>
        <v/>
      </c>
      <c r="G35" s="27">
        <f>IF(G32=0,0,IF($C$29*1/$C$28&gt;G34,$C$29*1/$C$28,G34))</f>
        <v/>
      </c>
      <c r="H35" s="27">
        <f>IF(H32=0,0,IF($C$29*1/$C$28&gt;H34,$C$29*1/$C$28,H34))</f>
        <v/>
      </c>
      <c r="I35" s="27">
        <f>IF(I32=0,0,IF($C$29*1/$C$28&gt;I34,$C$29*1/$C$28,I34))</f>
        <v/>
      </c>
      <c r="J35" s="27">
        <f>IF(J32=0,0,IF($C$29*1/$C$28&gt;J34,$C$29*1/$C$28,J34))</f>
        <v/>
      </c>
      <c r="K35" s="27">
        <f>IF(K32=0,0,IF($C$29*1/$C$28&gt;K34,$C$29*1/$C$28,K34))</f>
        <v/>
      </c>
      <c r="L35" s="27">
        <f>IF(L32=0,0,IF($C$29*1/$C$28&gt;L34,$C$29*1/$C$28,L34))</f>
        <v/>
      </c>
      <c r="M35" s="27">
        <f>IF(M32=0,0,IF($C$29*1/$C$28&gt;M34,$C$29*1/$C$28,M34))</f>
        <v/>
      </c>
    </row>
    <row r="36">
      <c r="A36" s="22" t="inlineStr">
        <is>
          <t>Charge d'amortissement</t>
        </is>
      </c>
      <c r="B36" s="22" t="inlineStr">
        <is>
          <t>USD</t>
        </is>
      </c>
      <c r="C36" s="8">
        <f>C33*C35</f>
        <v/>
      </c>
      <c r="D36" s="8">
        <f>D33*D35</f>
        <v/>
      </c>
      <c r="E36" s="8">
        <f>E33*E35</f>
        <v/>
      </c>
      <c r="F36" s="8">
        <f>F33*F35</f>
        <v/>
      </c>
      <c r="G36" s="8">
        <f>G33*G35</f>
        <v/>
      </c>
      <c r="H36" s="8">
        <f>H33*H35</f>
        <v/>
      </c>
      <c r="I36" s="8">
        <f>I33*I35</f>
        <v/>
      </c>
      <c r="J36" s="8">
        <f>J33*J35</f>
        <v/>
      </c>
      <c r="K36" s="8">
        <f>K33*K35</f>
        <v/>
      </c>
      <c r="L36" s="8">
        <f>L33*L35</f>
        <v/>
      </c>
      <c r="M36" s="8">
        <f>M33*M35</f>
        <v/>
      </c>
    </row>
    <row r="37">
      <c r="A37" s="22" t="inlineStr">
        <is>
          <t>Amortissement restant</t>
        </is>
      </c>
      <c r="B37" s="22" t="inlineStr">
        <is>
          <t>USD</t>
        </is>
      </c>
      <c r="C37" s="8">
        <f>C33-C36</f>
        <v/>
      </c>
      <c r="D37" s="8">
        <f>D33-D36</f>
        <v/>
      </c>
      <c r="E37" s="8">
        <f>E33-E36</f>
        <v/>
      </c>
      <c r="F37" s="8">
        <f>F33-F36</f>
        <v/>
      </c>
      <c r="G37" s="8">
        <f>G33-G36</f>
        <v/>
      </c>
      <c r="H37" s="8">
        <f>H33-H36</f>
        <v/>
      </c>
      <c r="I37" s="8">
        <f>I33-I36</f>
        <v/>
      </c>
      <c r="J37" s="8">
        <f>J33-J36</f>
        <v/>
      </c>
      <c r="K37" s="8">
        <f>K33-K36</f>
        <v/>
      </c>
      <c r="L37" s="8">
        <f>L33-L36</f>
        <v/>
      </c>
      <c r="M37" s="8">
        <f>M33-M36</f>
        <v/>
      </c>
    </row>
    <row r="38">
      <c r="A38" s="22" t="n"/>
      <c r="B38" s="22" t="n"/>
    </row>
    <row r="39">
      <c r="A39" s="2" t="inlineStr">
        <is>
          <t>Immobilisations de l'année A2</t>
        </is>
      </c>
      <c r="B39" s="22" t="n"/>
    </row>
    <row r="40">
      <c r="A40" s="22" t="inlineStr">
        <is>
          <t>Durée restante</t>
        </is>
      </c>
      <c r="B40" s="22" t="inlineStr">
        <is>
          <t>Années</t>
        </is>
      </c>
      <c r="D40" s="23">
        <f>IF($C$28&lt;D$3,$C$28,D$3)</f>
        <v/>
      </c>
      <c r="E40" s="8">
        <f>IF(D40=0,0,IF(D40-1&lt;E$3,D40-1,E$3))</f>
        <v/>
      </c>
      <c r="F40" s="8">
        <f>IF(E40=0,0,IF(E40-1&lt;F$3,E40-1,F$3))</f>
        <v/>
      </c>
      <c r="G40" s="8">
        <f>IF(F40=0,0,IF(F40-1&lt;G$3,F40-1,G$3))</f>
        <v/>
      </c>
      <c r="H40" s="8">
        <f>IF(G40=0,0,IF(G40-1&lt;H$3,G40-1,H$3))</f>
        <v/>
      </c>
      <c r="I40" s="8">
        <f>IF(H40=0,0,IF(H40-1&lt;I$3,H40-1,I$3))</f>
        <v/>
      </c>
      <c r="J40" s="8">
        <f>IF(I40=0,0,IF(I40-1&lt;J$3,I40-1,J$3))</f>
        <v/>
      </c>
      <c r="K40" s="8">
        <f>IF(J40=0,0,IF(J40-1&lt;K$3,J40-1,K$3))</f>
        <v/>
      </c>
      <c r="L40" s="8">
        <f>IF(K40=0,0,IF(K40-1&lt;L$3,K40-1,L$3))</f>
        <v/>
      </c>
      <c r="M40" s="8">
        <f>IF(L40=0,0,IF(L40-1&lt;M$3,L40-1,M$3))</f>
        <v/>
      </c>
    </row>
    <row r="41">
      <c r="A41" s="22" t="inlineStr">
        <is>
          <t>Base amortissable</t>
        </is>
      </c>
      <c r="B41" s="22" t="inlineStr">
        <is>
          <t>USD</t>
        </is>
      </c>
      <c r="D41" s="23">
        <f>Modèle!D$10</f>
        <v/>
      </c>
      <c r="E41" s="8">
        <f>D45</f>
        <v/>
      </c>
      <c r="F41" s="8">
        <f>E45</f>
        <v/>
      </c>
      <c r="G41" s="8">
        <f>F45</f>
        <v/>
      </c>
      <c r="H41" s="8">
        <f>G45</f>
        <v/>
      </c>
      <c r="I41" s="8">
        <f>H45</f>
        <v/>
      </c>
      <c r="J41" s="8">
        <f>I45</f>
        <v/>
      </c>
      <c r="K41" s="8">
        <f>J45</f>
        <v/>
      </c>
      <c r="L41" s="8">
        <f>K45</f>
        <v/>
      </c>
      <c r="M41" s="8">
        <f>L45</f>
        <v/>
      </c>
    </row>
    <row r="42">
      <c r="A42" s="22" t="inlineStr">
        <is>
          <t>Inverse de la durée restante</t>
        </is>
      </c>
      <c r="B42" s="22" t="inlineStr">
        <is>
          <t>%</t>
        </is>
      </c>
      <c r="D42" s="27">
        <f>IF(D40=0,0,1/D40)</f>
        <v/>
      </c>
      <c r="E42" s="27">
        <f>IF(E40=0,0,1/E40)</f>
        <v/>
      </c>
      <c r="F42" s="27">
        <f>IF(F40=0,0,1/F40)</f>
        <v/>
      </c>
      <c r="G42" s="27">
        <f>IF(G40=0,0,1/G40)</f>
        <v/>
      </c>
      <c r="H42" s="27">
        <f>IF(H40=0,0,1/H40)</f>
        <v/>
      </c>
      <c r="I42" s="27">
        <f>IF(I40=0,0,1/I40)</f>
        <v/>
      </c>
      <c r="J42" s="27">
        <f>IF(J40=0,0,1/J40)</f>
        <v/>
      </c>
      <c r="K42" s="27">
        <f>IF(K40=0,0,1/K40)</f>
        <v/>
      </c>
      <c r="L42" s="27">
        <f>IF(L40=0,0,1/L40)</f>
        <v/>
      </c>
      <c r="M42" s="27">
        <f>IF(M40=0,0,1/M40)</f>
        <v/>
      </c>
    </row>
    <row r="43">
      <c r="A43" s="22" t="inlineStr">
        <is>
          <t>Taux dégressif</t>
        </is>
      </c>
      <c r="B43" s="22" t="inlineStr">
        <is>
          <t>%</t>
        </is>
      </c>
      <c r="D43" s="27">
        <f>IF(D40=0,0,IF($C$29*1/$C$28&gt;D42,$C$29*1/$C$28,D42))</f>
        <v/>
      </c>
      <c r="E43" s="27">
        <f>IF(E40=0,0,IF($C$29*1/$C$28&gt;E42,$C$29*1/$C$28,E42))</f>
        <v/>
      </c>
      <c r="F43" s="27">
        <f>IF(F40=0,0,IF($C$29*1/$C$28&gt;F42,$C$29*1/$C$28,F42))</f>
        <v/>
      </c>
      <c r="G43" s="27">
        <f>IF(G40=0,0,IF($C$29*1/$C$28&gt;G42,$C$29*1/$C$28,G42))</f>
        <v/>
      </c>
      <c r="H43" s="27">
        <f>IF(H40=0,0,IF($C$29*1/$C$28&gt;H42,$C$29*1/$C$28,H42))</f>
        <v/>
      </c>
      <c r="I43" s="27">
        <f>IF(I40=0,0,IF($C$29*1/$C$28&gt;I42,$C$29*1/$C$28,I42))</f>
        <v/>
      </c>
      <c r="J43" s="27">
        <f>IF(J40=0,0,IF($C$29*1/$C$28&gt;J42,$C$29*1/$C$28,J42))</f>
        <v/>
      </c>
      <c r="K43" s="27">
        <f>IF(K40=0,0,IF($C$29*1/$C$28&gt;K42,$C$29*1/$C$28,K42))</f>
        <v/>
      </c>
      <c r="L43" s="27">
        <f>IF(L40=0,0,IF($C$29*1/$C$28&gt;L42,$C$29*1/$C$28,L42))</f>
        <v/>
      </c>
      <c r="M43" s="27">
        <f>IF(M40=0,0,IF($C$29*1/$C$28&gt;M42,$C$29*1/$C$28,M42))</f>
        <v/>
      </c>
    </row>
    <row r="44">
      <c r="A44" s="22" t="inlineStr">
        <is>
          <t>Charge d'amortissement</t>
        </is>
      </c>
      <c r="B44" s="22" t="inlineStr">
        <is>
          <t>USD</t>
        </is>
      </c>
      <c r="D44" s="8">
        <f>D41*D43</f>
        <v/>
      </c>
      <c r="E44" s="8">
        <f>E41*E43</f>
        <v/>
      </c>
      <c r="F44" s="8">
        <f>F41*F43</f>
        <v/>
      </c>
      <c r="G44" s="8">
        <f>G41*G43</f>
        <v/>
      </c>
      <c r="H44" s="8">
        <f>H41*H43</f>
        <v/>
      </c>
      <c r="I44" s="8">
        <f>I41*I43</f>
        <v/>
      </c>
      <c r="J44" s="8">
        <f>J41*J43</f>
        <v/>
      </c>
      <c r="K44" s="8">
        <f>K41*K43</f>
        <v/>
      </c>
      <c r="L44" s="8">
        <f>L41*L43</f>
        <v/>
      </c>
      <c r="M44" s="8">
        <f>M41*M43</f>
        <v/>
      </c>
    </row>
    <row r="45">
      <c r="A45" s="22" t="inlineStr">
        <is>
          <t>Amortissement restant</t>
        </is>
      </c>
      <c r="B45" s="22" t="inlineStr">
        <is>
          <t>USD</t>
        </is>
      </c>
      <c r="D45" s="8">
        <f>D41-D44</f>
        <v/>
      </c>
      <c r="E45" s="8">
        <f>E41-E44</f>
        <v/>
      </c>
      <c r="F45" s="8">
        <f>F41-F44</f>
        <v/>
      </c>
      <c r="G45" s="8">
        <f>G41-G44</f>
        <v/>
      </c>
      <c r="H45" s="8">
        <f>H41-H44</f>
        <v/>
      </c>
      <c r="I45" s="8">
        <f>I41-I44</f>
        <v/>
      </c>
      <c r="J45" s="8">
        <f>J41-J44</f>
        <v/>
      </c>
      <c r="K45" s="8">
        <f>K41-K44</f>
        <v/>
      </c>
      <c r="L45" s="8">
        <f>L41-L44</f>
        <v/>
      </c>
      <c r="M45" s="8">
        <f>M41-M44</f>
        <v/>
      </c>
    </row>
    <row r="46">
      <c r="A46" s="22" t="n"/>
      <c r="B46" s="22" t="n"/>
    </row>
    <row r="47">
      <c r="A47" s="2" t="inlineStr">
        <is>
          <t>Immobilisations de l'année A3</t>
        </is>
      </c>
      <c r="B47" s="22" t="n"/>
    </row>
    <row r="48">
      <c r="A48" s="22" t="inlineStr">
        <is>
          <t>Durée restante</t>
        </is>
      </c>
      <c r="B48" s="22" t="inlineStr">
        <is>
          <t>Années</t>
        </is>
      </c>
      <c r="E48" s="23">
        <f>IF($C$28&lt;E$3,$C$28,E$3)</f>
        <v/>
      </c>
      <c r="F48" s="8">
        <f>IF(E48=0,0,IF(E48-1&lt;F$3,E48-1,F$3))</f>
        <v/>
      </c>
      <c r="G48" s="8">
        <f>IF(F48=0,0,IF(F48-1&lt;G$3,F48-1,G$3))</f>
        <v/>
      </c>
      <c r="H48" s="8">
        <f>IF(G48=0,0,IF(G48-1&lt;H$3,G48-1,H$3))</f>
        <v/>
      </c>
      <c r="I48" s="8">
        <f>IF(H48=0,0,IF(H48-1&lt;I$3,H48-1,I$3))</f>
        <v/>
      </c>
      <c r="J48" s="8">
        <f>IF(I48=0,0,IF(I48-1&lt;J$3,I48-1,J$3))</f>
        <v/>
      </c>
      <c r="K48" s="8">
        <f>IF(J48=0,0,IF(J48-1&lt;K$3,J48-1,K$3))</f>
        <v/>
      </c>
      <c r="L48" s="8">
        <f>IF(K48=0,0,IF(K48-1&lt;L$3,K48-1,L$3))</f>
        <v/>
      </c>
      <c r="M48" s="8">
        <f>IF(L48=0,0,IF(L48-1&lt;M$3,L48-1,M$3))</f>
        <v/>
      </c>
    </row>
    <row r="49">
      <c r="A49" s="22" t="inlineStr">
        <is>
          <t>Base amortissable</t>
        </is>
      </c>
      <c r="B49" s="22" t="inlineStr">
        <is>
          <t>USD</t>
        </is>
      </c>
      <c r="E49" s="23">
        <f>Modèle!E$10</f>
        <v/>
      </c>
      <c r="F49" s="8">
        <f>E53</f>
        <v/>
      </c>
      <c r="G49" s="8">
        <f>F53</f>
        <v/>
      </c>
      <c r="H49" s="8">
        <f>G53</f>
        <v/>
      </c>
      <c r="I49" s="8">
        <f>H53</f>
        <v/>
      </c>
      <c r="J49" s="8">
        <f>I53</f>
        <v/>
      </c>
      <c r="K49" s="8">
        <f>J53</f>
        <v/>
      </c>
      <c r="L49" s="8">
        <f>K53</f>
        <v/>
      </c>
      <c r="M49" s="8">
        <f>L53</f>
        <v/>
      </c>
    </row>
    <row r="50">
      <c r="A50" s="22" t="inlineStr">
        <is>
          <t>Inverse de la durée restante</t>
        </is>
      </c>
      <c r="B50" s="22" t="inlineStr">
        <is>
          <t>%</t>
        </is>
      </c>
      <c r="E50" s="27">
        <f>IF(E48=0,0,1/E48)</f>
        <v/>
      </c>
      <c r="F50" s="27">
        <f>IF(F48=0,0,1/F48)</f>
        <v/>
      </c>
      <c r="G50" s="27">
        <f>IF(G48=0,0,1/G48)</f>
        <v/>
      </c>
      <c r="H50" s="27">
        <f>IF(H48=0,0,1/H48)</f>
        <v/>
      </c>
      <c r="I50" s="27">
        <f>IF(I48=0,0,1/I48)</f>
        <v/>
      </c>
      <c r="J50" s="27">
        <f>IF(J48=0,0,1/J48)</f>
        <v/>
      </c>
      <c r="K50" s="27">
        <f>IF(K48=0,0,1/K48)</f>
        <v/>
      </c>
      <c r="L50" s="27">
        <f>IF(L48=0,0,1/L48)</f>
        <v/>
      </c>
      <c r="M50" s="27">
        <f>IF(M48=0,0,1/M48)</f>
        <v/>
      </c>
    </row>
    <row r="51">
      <c r="A51" s="22" t="inlineStr">
        <is>
          <t>Taux dégressif</t>
        </is>
      </c>
      <c r="B51" s="22" t="inlineStr">
        <is>
          <t>%</t>
        </is>
      </c>
      <c r="E51" s="27">
        <f>IF(E48=0,0,IF($C$29*1/$C$28&gt;E50,$C$29*1/$C$28,E50))</f>
        <v/>
      </c>
      <c r="F51" s="27">
        <f>IF(F48=0,0,IF($C$29*1/$C$28&gt;F50,$C$29*1/$C$28,F50))</f>
        <v/>
      </c>
      <c r="G51" s="27">
        <f>IF(G48=0,0,IF($C$29*1/$C$28&gt;G50,$C$29*1/$C$28,G50))</f>
        <v/>
      </c>
      <c r="H51" s="27">
        <f>IF(H48=0,0,IF($C$29*1/$C$28&gt;H50,$C$29*1/$C$28,H50))</f>
        <v/>
      </c>
      <c r="I51" s="27">
        <f>IF(I48=0,0,IF($C$29*1/$C$28&gt;I50,$C$29*1/$C$28,I50))</f>
        <v/>
      </c>
      <c r="J51" s="27">
        <f>IF(J48=0,0,IF($C$29*1/$C$28&gt;J50,$C$29*1/$C$28,J50))</f>
        <v/>
      </c>
      <c r="K51" s="27">
        <f>IF(K48=0,0,IF($C$29*1/$C$28&gt;K50,$C$29*1/$C$28,K50))</f>
        <v/>
      </c>
      <c r="L51" s="27">
        <f>IF(L48=0,0,IF($C$29*1/$C$28&gt;L50,$C$29*1/$C$28,L50))</f>
        <v/>
      </c>
      <c r="M51" s="27">
        <f>IF(M48=0,0,IF($C$29*1/$C$28&gt;M50,$C$29*1/$C$28,M50))</f>
        <v/>
      </c>
    </row>
    <row r="52">
      <c r="A52" s="22" t="inlineStr">
        <is>
          <t>Charge d'amortissement</t>
        </is>
      </c>
      <c r="B52" s="22" t="inlineStr">
        <is>
          <t>USD</t>
        </is>
      </c>
      <c r="E52" s="8">
        <f>E49*E51</f>
        <v/>
      </c>
      <c r="F52" s="8">
        <f>F49*F51</f>
        <v/>
      </c>
      <c r="G52" s="8">
        <f>G49*G51</f>
        <v/>
      </c>
      <c r="H52" s="8">
        <f>H49*H51</f>
        <v/>
      </c>
      <c r="I52" s="8">
        <f>I49*I51</f>
        <v/>
      </c>
      <c r="J52" s="8">
        <f>J49*J51</f>
        <v/>
      </c>
      <c r="K52" s="8">
        <f>K49*K51</f>
        <v/>
      </c>
      <c r="L52" s="8">
        <f>L49*L51</f>
        <v/>
      </c>
      <c r="M52" s="8">
        <f>M49*M51</f>
        <v/>
      </c>
    </row>
    <row r="53">
      <c r="A53" s="22" t="inlineStr">
        <is>
          <t>Amortissement restant</t>
        </is>
      </c>
      <c r="B53" s="22" t="inlineStr">
        <is>
          <t>USD</t>
        </is>
      </c>
      <c r="E53" s="8">
        <f>E49-E52</f>
        <v/>
      </c>
      <c r="F53" s="8">
        <f>F49-F52</f>
        <v/>
      </c>
      <c r="G53" s="8">
        <f>G49-G52</f>
        <v/>
      </c>
      <c r="H53" s="8">
        <f>H49-H52</f>
        <v/>
      </c>
      <c r="I53" s="8">
        <f>I49-I52</f>
        <v/>
      </c>
      <c r="J53" s="8">
        <f>J49-J52</f>
        <v/>
      </c>
      <c r="K53" s="8">
        <f>K49-K52</f>
        <v/>
      </c>
      <c r="L53" s="8">
        <f>L49-L52</f>
        <v/>
      </c>
      <c r="M53" s="8">
        <f>M49-M52</f>
        <v/>
      </c>
    </row>
    <row r="54">
      <c r="A54" s="22" t="n"/>
      <c r="B54" s="22" t="n"/>
    </row>
    <row r="55">
      <c r="A55" s="2" t="inlineStr">
        <is>
          <t>Immobilisations de l'année A4</t>
        </is>
      </c>
      <c r="B55" s="22" t="n"/>
    </row>
    <row r="56">
      <c r="A56" s="22" t="inlineStr">
        <is>
          <t>Durée restante</t>
        </is>
      </c>
      <c r="B56" s="22" t="inlineStr">
        <is>
          <t>Années</t>
        </is>
      </c>
      <c r="F56" s="23">
        <f>IF($C$28&lt;F$3,$C$28,F$3)</f>
        <v/>
      </c>
      <c r="G56" s="8">
        <f>IF(F56=0,0,IF(F56-1&lt;G$3,F56-1,G$3))</f>
        <v/>
      </c>
      <c r="H56" s="8">
        <f>IF(G56=0,0,IF(G56-1&lt;H$3,G56-1,H$3))</f>
        <v/>
      </c>
      <c r="I56" s="8">
        <f>IF(H56=0,0,IF(H56-1&lt;I$3,H56-1,I$3))</f>
        <v/>
      </c>
      <c r="J56" s="8">
        <f>IF(I56=0,0,IF(I56-1&lt;J$3,I56-1,J$3))</f>
        <v/>
      </c>
      <c r="K56" s="8">
        <f>IF(J56=0,0,IF(J56-1&lt;K$3,J56-1,K$3))</f>
        <v/>
      </c>
      <c r="L56" s="8">
        <f>IF(K56=0,0,IF(K56-1&lt;L$3,K56-1,L$3))</f>
        <v/>
      </c>
      <c r="M56" s="8">
        <f>IF(L56=0,0,IF(L56-1&lt;M$3,L56-1,M$3))</f>
        <v/>
      </c>
    </row>
    <row r="57">
      <c r="A57" s="22" t="inlineStr">
        <is>
          <t>Base amortissable</t>
        </is>
      </c>
      <c r="B57" s="22" t="inlineStr">
        <is>
          <t>USD</t>
        </is>
      </c>
      <c r="F57" s="23">
        <f>Modèle!F$10</f>
        <v/>
      </c>
      <c r="G57" s="8">
        <f>F61</f>
        <v/>
      </c>
      <c r="H57" s="8">
        <f>G61</f>
        <v/>
      </c>
      <c r="I57" s="8">
        <f>H61</f>
        <v/>
      </c>
      <c r="J57" s="8">
        <f>I61</f>
        <v/>
      </c>
      <c r="K57" s="8">
        <f>J61</f>
        <v/>
      </c>
      <c r="L57" s="8">
        <f>K61</f>
        <v/>
      </c>
      <c r="M57" s="8">
        <f>L61</f>
        <v/>
      </c>
    </row>
    <row r="58">
      <c r="A58" s="22" t="inlineStr">
        <is>
          <t>Inverse de la durée restante</t>
        </is>
      </c>
      <c r="B58" s="22" t="inlineStr">
        <is>
          <t>%</t>
        </is>
      </c>
      <c r="F58" s="27">
        <f>IF(F56=0,0,1/F56)</f>
        <v/>
      </c>
      <c r="G58" s="27">
        <f>IF(G56=0,0,1/G56)</f>
        <v/>
      </c>
      <c r="H58" s="27">
        <f>IF(H56=0,0,1/H56)</f>
        <v/>
      </c>
      <c r="I58" s="27">
        <f>IF(I56=0,0,1/I56)</f>
        <v/>
      </c>
      <c r="J58" s="27">
        <f>IF(J56=0,0,1/J56)</f>
        <v/>
      </c>
      <c r="K58" s="27">
        <f>IF(K56=0,0,1/K56)</f>
        <v/>
      </c>
      <c r="L58" s="27">
        <f>IF(L56=0,0,1/L56)</f>
        <v/>
      </c>
      <c r="M58" s="27">
        <f>IF(M56=0,0,1/M56)</f>
        <v/>
      </c>
    </row>
    <row r="59">
      <c r="A59" s="22" t="inlineStr">
        <is>
          <t>Taux dégressif</t>
        </is>
      </c>
      <c r="B59" s="22" t="inlineStr">
        <is>
          <t>%</t>
        </is>
      </c>
      <c r="F59" s="27">
        <f>IF(F56=0,0,IF($C$29*1/$C$28&gt;F58,$C$29*1/$C$28,F58))</f>
        <v/>
      </c>
      <c r="G59" s="27">
        <f>IF(G56=0,0,IF($C$29*1/$C$28&gt;G58,$C$29*1/$C$28,G58))</f>
        <v/>
      </c>
      <c r="H59" s="27">
        <f>IF(H56=0,0,IF($C$29*1/$C$28&gt;H58,$C$29*1/$C$28,H58))</f>
        <v/>
      </c>
      <c r="I59" s="27">
        <f>IF(I56=0,0,IF($C$29*1/$C$28&gt;I58,$C$29*1/$C$28,I58))</f>
        <v/>
      </c>
      <c r="J59" s="27">
        <f>IF(J56=0,0,IF($C$29*1/$C$28&gt;J58,$C$29*1/$C$28,J58))</f>
        <v/>
      </c>
      <c r="K59" s="27">
        <f>IF(K56=0,0,IF($C$29*1/$C$28&gt;K58,$C$29*1/$C$28,K58))</f>
        <v/>
      </c>
      <c r="L59" s="27">
        <f>IF(L56=0,0,IF($C$29*1/$C$28&gt;L58,$C$29*1/$C$28,L58))</f>
        <v/>
      </c>
      <c r="M59" s="27">
        <f>IF(M56=0,0,IF($C$29*1/$C$28&gt;M58,$C$29*1/$C$28,M58))</f>
        <v/>
      </c>
    </row>
    <row r="60">
      <c r="A60" s="22" t="inlineStr">
        <is>
          <t>Charge d'amortissement</t>
        </is>
      </c>
      <c r="B60" s="22" t="inlineStr">
        <is>
          <t>USD</t>
        </is>
      </c>
      <c r="F60" s="8">
        <f>F57*F59</f>
        <v/>
      </c>
      <c r="G60" s="8">
        <f>G57*G59</f>
        <v/>
      </c>
      <c r="H60" s="8">
        <f>H57*H59</f>
        <v/>
      </c>
      <c r="I60" s="8">
        <f>I57*I59</f>
        <v/>
      </c>
      <c r="J60" s="8">
        <f>J57*J59</f>
        <v/>
      </c>
      <c r="K60" s="8">
        <f>K57*K59</f>
        <v/>
      </c>
      <c r="L60" s="8">
        <f>L57*L59</f>
        <v/>
      </c>
      <c r="M60" s="8">
        <f>M57*M59</f>
        <v/>
      </c>
    </row>
    <row r="61">
      <c r="A61" s="22" t="inlineStr">
        <is>
          <t>Amortissement restant</t>
        </is>
      </c>
      <c r="B61" s="22" t="inlineStr">
        <is>
          <t>USD</t>
        </is>
      </c>
      <c r="F61" s="8">
        <f>F57-F60</f>
        <v/>
      </c>
      <c r="G61" s="8">
        <f>G57-G60</f>
        <v/>
      </c>
      <c r="H61" s="8">
        <f>H57-H60</f>
        <v/>
      </c>
      <c r="I61" s="8">
        <f>I57-I60</f>
        <v/>
      </c>
      <c r="J61" s="8">
        <f>J57-J60</f>
        <v/>
      </c>
      <c r="K61" s="8">
        <f>K57-K60</f>
        <v/>
      </c>
      <c r="L61" s="8">
        <f>L57-L60</f>
        <v/>
      </c>
      <c r="M61" s="8">
        <f>M57-M60</f>
        <v/>
      </c>
    </row>
    <row r="62">
      <c r="A62" s="22" t="n"/>
      <c r="B62" s="22" t="n"/>
    </row>
    <row r="63">
      <c r="A63" s="2" t="inlineStr">
        <is>
          <t>Immobilisations de l'année A5</t>
        </is>
      </c>
      <c r="B63" s="22" t="n"/>
    </row>
    <row r="64">
      <c r="A64" s="22" t="inlineStr">
        <is>
          <t>Durée restante</t>
        </is>
      </c>
      <c r="B64" s="22" t="inlineStr">
        <is>
          <t>Années</t>
        </is>
      </c>
      <c r="G64" s="23">
        <f>IF($C$28&lt;G$3,$C$28,G$3)</f>
        <v/>
      </c>
      <c r="H64" s="8">
        <f>IF(G64=0,0,IF(G64-1&lt;H$3,G64-1,H$3))</f>
        <v/>
      </c>
      <c r="I64" s="8">
        <f>IF(H64=0,0,IF(H64-1&lt;I$3,H64-1,I$3))</f>
        <v/>
      </c>
      <c r="J64" s="8">
        <f>IF(I64=0,0,IF(I64-1&lt;J$3,I64-1,J$3))</f>
        <v/>
      </c>
      <c r="K64" s="8">
        <f>IF(J64=0,0,IF(J64-1&lt;K$3,J64-1,K$3))</f>
        <v/>
      </c>
      <c r="L64" s="8">
        <f>IF(K64=0,0,IF(K64-1&lt;L$3,K64-1,L$3))</f>
        <v/>
      </c>
      <c r="M64" s="8">
        <f>IF(L64=0,0,IF(L64-1&lt;M$3,L64-1,M$3))</f>
        <v/>
      </c>
    </row>
    <row r="65">
      <c r="A65" s="22" t="inlineStr">
        <is>
          <t>Base amortissable</t>
        </is>
      </c>
      <c r="B65" s="22" t="inlineStr">
        <is>
          <t>USD</t>
        </is>
      </c>
      <c r="G65" s="23">
        <f>Modèle!G$10</f>
        <v/>
      </c>
      <c r="H65" s="8">
        <f>G69</f>
        <v/>
      </c>
      <c r="I65" s="8">
        <f>H69</f>
        <v/>
      </c>
      <c r="J65" s="8">
        <f>I69</f>
        <v/>
      </c>
      <c r="K65" s="8">
        <f>J69</f>
        <v/>
      </c>
      <c r="L65" s="8">
        <f>K69</f>
        <v/>
      </c>
      <c r="M65" s="8">
        <f>L69</f>
        <v/>
      </c>
    </row>
    <row r="66">
      <c r="A66" s="22" t="inlineStr">
        <is>
          <t>Inverse de la durée restante</t>
        </is>
      </c>
      <c r="B66" s="22" t="inlineStr">
        <is>
          <t>%</t>
        </is>
      </c>
      <c r="G66" s="27">
        <f>IF(G64=0,0,1/G64)</f>
        <v/>
      </c>
      <c r="H66" s="27">
        <f>IF(H64=0,0,1/H64)</f>
        <v/>
      </c>
      <c r="I66" s="27">
        <f>IF(I64=0,0,1/I64)</f>
        <v/>
      </c>
      <c r="J66" s="27">
        <f>IF(J64=0,0,1/J64)</f>
        <v/>
      </c>
      <c r="K66" s="27">
        <f>IF(K64=0,0,1/K64)</f>
        <v/>
      </c>
      <c r="L66" s="27">
        <f>IF(L64=0,0,1/L64)</f>
        <v/>
      </c>
      <c r="M66" s="27">
        <f>IF(M64=0,0,1/M64)</f>
        <v/>
      </c>
    </row>
    <row r="67">
      <c r="A67" s="22" t="inlineStr">
        <is>
          <t>Taux dégressif</t>
        </is>
      </c>
      <c r="B67" s="22" t="inlineStr">
        <is>
          <t>%</t>
        </is>
      </c>
      <c r="G67" s="27">
        <f>IF(G64=0,0,IF($C$29*1/$C$28&gt;G66,$C$29*1/$C$28,G66))</f>
        <v/>
      </c>
      <c r="H67" s="27">
        <f>IF(H64=0,0,IF($C$29*1/$C$28&gt;H66,$C$29*1/$C$28,H66))</f>
        <v/>
      </c>
      <c r="I67" s="27">
        <f>IF(I64=0,0,IF($C$29*1/$C$28&gt;I66,$C$29*1/$C$28,I66))</f>
        <v/>
      </c>
      <c r="J67" s="27">
        <f>IF(J64=0,0,IF($C$29*1/$C$28&gt;J66,$C$29*1/$C$28,J66))</f>
        <v/>
      </c>
      <c r="K67" s="27">
        <f>IF(K64=0,0,IF($C$29*1/$C$28&gt;K66,$C$29*1/$C$28,K66))</f>
        <v/>
      </c>
      <c r="L67" s="27">
        <f>IF(L64=0,0,IF($C$29*1/$C$28&gt;L66,$C$29*1/$C$28,L66))</f>
        <v/>
      </c>
      <c r="M67" s="27">
        <f>IF(M64=0,0,IF($C$29*1/$C$28&gt;M66,$C$29*1/$C$28,M66))</f>
        <v/>
      </c>
    </row>
    <row r="68">
      <c r="A68" s="22" t="inlineStr">
        <is>
          <t>Charge d'amortissement</t>
        </is>
      </c>
      <c r="B68" s="22" t="inlineStr">
        <is>
          <t>USD</t>
        </is>
      </c>
      <c r="G68" s="8">
        <f>G65*G67</f>
        <v/>
      </c>
      <c r="H68" s="8">
        <f>H65*H67</f>
        <v/>
      </c>
      <c r="I68" s="8">
        <f>I65*I67</f>
        <v/>
      </c>
      <c r="J68" s="8">
        <f>J65*J67</f>
        <v/>
      </c>
      <c r="K68" s="8">
        <f>K65*K67</f>
        <v/>
      </c>
      <c r="L68" s="8">
        <f>L65*L67</f>
        <v/>
      </c>
      <c r="M68" s="8">
        <f>M65*M67</f>
        <v/>
      </c>
    </row>
    <row r="69">
      <c r="A69" s="22" t="inlineStr">
        <is>
          <t>Amortissement restant</t>
        </is>
      </c>
      <c r="B69" s="22" t="inlineStr">
        <is>
          <t>USD</t>
        </is>
      </c>
      <c r="G69" s="8">
        <f>G65-G68</f>
        <v/>
      </c>
      <c r="H69" s="8">
        <f>H65-H68</f>
        <v/>
      </c>
      <c r="I69" s="8">
        <f>I65-I68</f>
        <v/>
      </c>
      <c r="J69" s="8">
        <f>J65-J68</f>
        <v/>
      </c>
      <c r="K69" s="8">
        <f>K65-K68</f>
        <v/>
      </c>
      <c r="L69" s="8">
        <f>L65-L68</f>
        <v/>
      </c>
      <c r="M69" s="8">
        <f>M65-M68</f>
        <v/>
      </c>
    </row>
    <row r="70">
      <c r="A70" s="22" t="n"/>
      <c r="B70" s="22" t="n"/>
    </row>
    <row r="71">
      <c r="A71" s="2" t="inlineStr">
        <is>
          <t>Immobilisations de l'année A6</t>
        </is>
      </c>
      <c r="B71" s="22" t="n"/>
    </row>
    <row r="72">
      <c r="A72" s="22" t="inlineStr">
        <is>
          <t>Durée restante</t>
        </is>
      </c>
      <c r="B72" s="22" t="inlineStr">
        <is>
          <t>Années</t>
        </is>
      </c>
      <c r="H72" s="23">
        <f>IF($C$28&lt;H$3,$C$28,H$3)</f>
        <v/>
      </c>
      <c r="I72" s="8">
        <f>IF(H72=0,0,IF(H72-1&lt;I$3,H72-1,I$3))</f>
        <v/>
      </c>
      <c r="J72" s="8">
        <f>IF(I72=0,0,IF(I72-1&lt;J$3,I72-1,J$3))</f>
        <v/>
      </c>
      <c r="K72" s="8">
        <f>IF(J72=0,0,IF(J72-1&lt;K$3,J72-1,K$3))</f>
        <v/>
      </c>
      <c r="L72" s="8">
        <f>IF(K72=0,0,IF(K72-1&lt;L$3,K72-1,L$3))</f>
        <v/>
      </c>
      <c r="M72" s="8">
        <f>IF(L72=0,0,IF(L72-1&lt;M$3,L72-1,M$3))</f>
        <v/>
      </c>
    </row>
    <row r="73">
      <c r="A73" s="22" t="inlineStr">
        <is>
          <t>Base amortissable</t>
        </is>
      </c>
      <c r="B73" s="22" t="inlineStr">
        <is>
          <t>USD</t>
        </is>
      </c>
      <c r="H73" s="23">
        <f>Modèle!H$10</f>
        <v/>
      </c>
      <c r="I73" s="8">
        <f>H77</f>
        <v/>
      </c>
      <c r="J73" s="8">
        <f>I77</f>
        <v/>
      </c>
      <c r="K73" s="8">
        <f>J77</f>
        <v/>
      </c>
      <c r="L73" s="8">
        <f>K77</f>
        <v/>
      </c>
      <c r="M73" s="8">
        <f>L77</f>
        <v/>
      </c>
    </row>
    <row r="74">
      <c r="A74" s="22" t="inlineStr">
        <is>
          <t>Inverse de la durée restante</t>
        </is>
      </c>
      <c r="B74" s="22" t="inlineStr">
        <is>
          <t>%</t>
        </is>
      </c>
      <c r="H74" s="27">
        <f>IF(H72=0,0,1/H72)</f>
        <v/>
      </c>
      <c r="I74" s="27">
        <f>IF(I72=0,0,1/I72)</f>
        <v/>
      </c>
      <c r="J74" s="27">
        <f>IF(J72=0,0,1/J72)</f>
        <v/>
      </c>
      <c r="K74" s="27">
        <f>IF(K72=0,0,1/K72)</f>
        <v/>
      </c>
      <c r="L74" s="27">
        <f>IF(L72=0,0,1/L72)</f>
        <v/>
      </c>
      <c r="M74" s="27">
        <f>IF(M72=0,0,1/M72)</f>
        <v/>
      </c>
    </row>
    <row r="75">
      <c r="A75" s="22" t="inlineStr">
        <is>
          <t>Taux dégressif</t>
        </is>
      </c>
      <c r="B75" s="22" t="inlineStr">
        <is>
          <t>%</t>
        </is>
      </c>
      <c r="H75" s="27">
        <f>IF(H72=0,0,IF($C$29*1/$C$28&gt;H74,$C$29*1/$C$28,H74))</f>
        <v/>
      </c>
      <c r="I75" s="27">
        <f>IF(I72=0,0,IF($C$29*1/$C$28&gt;I74,$C$29*1/$C$28,I74))</f>
        <v/>
      </c>
      <c r="J75" s="27">
        <f>IF(J72=0,0,IF($C$29*1/$C$28&gt;J74,$C$29*1/$C$28,J74))</f>
        <v/>
      </c>
      <c r="K75" s="27">
        <f>IF(K72=0,0,IF($C$29*1/$C$28&gt;K74,$C$29*1/$C$28,K74))</f>
        <v/>
      </c>
      <c r="L75" s="27">
        <f>IF(L72=0,0,IF($C$29*1/$C$28&gt;L74,$C$29*1/$C$28,L74))</f>
        <v/>
      </c>
      <c r="M75" s="27">
        <f>IF(M72=0,0,IF($C$29*1/$C$28&gt;M74,$C$29*1/$C$28,M74))</f>
        <v/>
      </c>
    </row>
    <row r="76">
      <c r="A76" s="22" t="inlineStr">
        <is>
          <t>Charge d'amortissement</t>
        </is>
      </c>
      <c r="B76" s="22" t="inlineStr">
        <is>
          <t>USD</t>
        </is>
      </c>
      <c r="H76" s="8">
        <f>H73*H75</f>
        <v/>
      </c>
      <c r="I76" s="8">
        <f>I73*I75</f>
        <v/>
      </c>
      <c r="J76" s="8">
        <f>J73*J75</f>
        <v/>
      </c>
      <c r="K76" s="8">
        <f>K73*K75</f>
        <v/>
      </c>
      <c r="L76" s="8">
        <f>L73*L75</f>
        <v/>
      </c>
      <c r="M76" s="8">
        <f>M73*M75</f>
        <v/>
      </c>
    </row>
    <row r="77">
      <c r="A77" s="22" t="inlineStr">
        <is>
          <t>Amortissement restant</t>
        </is>
      </c>
      <c r="B77" s="22" t="inlineStr">
        <is>
          <t>USD</t>
        </is>
      </c>
      <c r="H77" s="8">
        <f>H73-H76</f>
        <v/>
      </c>
      <c r="I77" s="8">
        <f>I73-I76</f>
        <v/>
      </c>
      <c r="J77" s="8">
        <f>J73-J76</f>
        <v/>
      </c>
      <c r="K77" s="8">
        <f>K73-K76</f>
        <v/>
      </c>
      <c r="L77" s="8">
        <f>L73-L76</f>
        <v/>
      </c>
      <c r="M77" s="8">
        <f>M73-M76</f>
        <v/>
      </c>
    </row>
    <row r="78">
      <c r="A78" s="22" t="n"/>
      <c r="B78" s="22" t="n"/>
    </row>
    <row r="79">
      <c r="A79" s="2" t="inlineStr">
        <is>
          <t>Immobilisations de l'année A7</t>
        </is>
      </c>
      <c r="B79" s="22" t="n"/>
    </row>
    <row r="80">
      <c r="A80" s="22" t="inlineStr">
        <is>
          <t>Durée restante</t>
        </is>
      </c>
      <c r="B80" s="22" t="inlineStr">
        <is>
          <t>Années</t>
        </is>
      </c>
      <c r="I80" s="23">
        <f>IF($C$28&lt;I$3,$C$28,I$3)</f>
        <v/>
      </c>
      <c r="J80" s="8">
        <f>IF(I80=0,0,IF(I80-1&lt;J$3,I80-1,J$3))</f>
        <v/>
      </c>
      <c r="K80" s="8">
        <f>IF(J80=0,0,IF(J80-1&lt;K$3,J80-1,K$3))</f>
        <v/>
      </c>
      <c r="L80" s="8">
        <f>IF(K80=0,0,IF(K80-1&lt;L$3,K80-1,L$3))</f>
        <v/>
      </c>
      <c r="M80" s="8">
        <f>IF(L80=0,0,IF(L80-1&lt;M$3,L80-1,M$3))</f>
        <v/>
      </c>
    </row>
    <row r="81">
      <c r="A81" s="22" t="inlineStr">
        <is>
          <t>Base amortissable</t>
        </is>
      </c>
      <c r="B81" s="22" t="inlineStr">
        <is>
          <t>USD</t>
        </is>
      </c>
      <c r="I81" s="23">
        <f>Modèle!I$10</f>
        <v/>
      </c>
      <c r="J81" s="8">
        <f>I85</f>
        <v/>
      </c>
      <c r="K81" s="8">
        <f>J85</f>
        <v/>
      </c>
      <c r="L81" s="8">
        <f>K85</f>
        <v/>
      </c>
      <c r="M81" s="8">
        <f>L85</f>
        <v/>
      </c>
    </row>
    <row r="82">
      <c r="A82" s="22" t="inlineStr">
        <is>
          <t>Inverse de la durée restante</t>
        </is>
      </c>
      <c r="B82" s="22" t="inlineStr">
        <is>
          <t>%</t>
        </is>
      </c>
      <c r="I82" s="27">
        <f>IF(I80=0,0,1/I80)</f>
        <v/>
      </c>
      <c r="J82" s="27">
        <f>IF(J80=0,0,1/J80)</f>
        <v/>
      </c>
      <c r="K82" s="27">
        <f>IF(K80=0,0,1/K80)</f>
        <v/>
      </c>
      <c r="L82" s="27">
        <f>IF(L80=0,0,1/L80)</f>
        <v/>
      </c>
      <c r="M82" s="27">
        <f>IF(M80=0,0,1/M80)</f>
        <v/>
      </c>
    </row>
    <row r="83">
      <c r="A83" s="22" t="inlineStr">
        <is>
          <t>Taux dégressif</t>
        </is>
      </c>
      <c r="B83" s="22" t="inlineStr">
        <is>
          <t>%</t>
        </is>
      </c>
      <c r="I83" s="27">
        <f>IF(I80=0,0,IF($C$29*1/$C$28&gt;I82,$C$29*1/$C$28,I82))</f>
        <v/>
      </c>
      <c r="J83" s="27">
        <f>IF(J80=0,0,IF($C$29*1/$C$28&gt;J82,$C$29*1/$C$28,J82))</f>
        <v/>
      </c>
      <c r="K83" s="27">
        <f>IF(K80=0,0,IF($C$29*1/$C$28&gt;K82,$C$29*1/$C$28,K82))</f>
        <v/>
      </c>
      <c r="L83" s="27">
        <f>IF(L80=0,0,IF($C$29*1/$C$28&gt;L82,$C$29*1/$C$28,L82))</f>
        <v/>
      </c>
      <c r="M83" s="27">
        <f>IF(M80=0,0,IF($C$29*1/$C$28&gt;M82,$C$29*1/$C$28,M82))</f>
        <v/>
      </c>
    </row>
    <row r="84">
      <c r="A84" s="22" t="inlineStr">
        <is>
          <t>Charge d'amortissement</t>
        </is>
      </c>
      <c r="B84" s="22" t="inlineStr">
        <is>
          <t>USD</t>
        </is>
      </c>
      <c r="I84" s="8">
        <f>I81*I83</f>
        <v/>
      </c>
      <c r="J84" s="8">
        <f>J81*J83</f>
        <v/>
      </c>
      <c r="K84" s="8">
        <f>K81*K83</f>
        <v/>
      </c>
      <c r="L84" s="8">
        <f>L81*L83</f>
        <v/>
      </c>
      <c r="M84" s="8">
        <f>M81*M83</f>
        <v/>
      </c>
    </row>
    <row r="85">
      <c r="A85" s="22" t="inlineStr">
        <is>
          <t>Amortissement restant</t>
        </is>
      </c>
      <c r="B85" s="22" t="inlineStr">
        <is>
          <t>USD</t>
        </is>
      </c>
      <c r="I85" s="8">
        <f>I81-I84</f>
        <v/>
      </c>
      <c r="J85" s="8">
        <f>J81-J84</f>
        <v/>
      </c>
      <c r="K85" s="8">
        <f>K81-K84</f>
        <v/>
      </c>
      <c r="L85" s="8">
        <f>L81-L84</f>
        <v/>
      </c>
      <c r="M85" s="8">
        <f>M81-M84</f>
        <v/>
      </c>
    </row>
    <row r="86">
      <c r="A86" s="22" t="n"/>
      <c r="B86" s="22" t="n"/>
    </row>
    <row r="87">
      <c r="A87" s="2" t="inlineStr">
        <is>
          <t>Immobilisations de l'année A8</t>
        </is>
      </c>
      <c r="B87" s="22" t="n"/>
    </row>
    <row r="88">
      <c r="A88" s="22" t="inlineStr">
        <is>
          <t>Durée restante</t>
        </is>
      </c>
      <c r="B88" s="22" t="inlineStr">
        <is>
          <t>Années</t>
        </is>
      </c>
      <c r="J88" s="23">
        <f>IF($C$28&lt;J$3,$C$28,J$3)</f>
        <v/>
      </c>
      <c r="K88" s="8">
        <f>IF(J88=0,0,IF(J88-1&lt;K$3,J88-1,K$3))</f>
        <v/>
      </c>
      <c r="L88" s="8">
        <f>IF(K88=0,0,IF(K88-1&lt;L$3,K88-1,L$3))</f>
        <v/>
      </c>
      <c r="M88" s="8">
        <f>IF(L88=0,0,IF(L88-1&lt;M$3,L88-1,M$3))</f>
        <v/>
      </c>
    </row>
    <row r="89">
      <c r="A89" s="22" t="inlineStr">
        <is>
          <t>Base amortissable</t>
        </is>
      </c>
      <c r="B89" s="22" t="inlineStr">
        <is>
          <t>USD</t>
        </is>
      </c>
      <c r="J89" s="23">
        <f>Modèle!J$10</f>
        <v/>
      </c>
      <c r="K89" s="8">
        <f>J93</f>
        <v/>
      </c>
      <c r="L89" s="8">
        <f>K93</f>
        <v/>
      </c>
      <c r="M89" s="8">
        <f>L93</f>
        <v/>
      </c>
    </row>
    <row r="90">
      <c r="A90" s="22" t="inlineStr">
        <is>
          <t>Inverse de la durée restante</t>
        </is>
      </c>
      <c r="B90" s="22" t="inlineStr">
        <is>
          <t>%</t>
        </is>
      </c>
      <c r="J90" s="27">
        <f>IF(J88=0,0,1/J88)</f>
        <v/>
      </c>
      <c r="K90" s="27">
        <f>IF(K88=0,0,1/K88)</f>
        <v/>
      </c>
      <c r="L90" s="27">
        <f>IF(L88=0,0,1/L88)</f>
        <v/>
      </c>
      <c r="M90" s="27">
        <f>IF(M88=0,0,1/M88)</f>
        <v/>
      </c>
    </row>
    <row r="91">
      <c r="A91" s="22" t="inlineStr">
        <is>
          <t>Taux dégressif</t>
        </is>
      </c>
      <c r="B91" s="22" t="inlineStr">
        <is>
          <t>%</t>
        </is>
      </c>
      <c r="J91" s="27">
        <f>IF(J88=0,0,IF($C$29*1/$C$28&gt;J90,$C$29*1/$C$28,J90))</f>
        <v/>
      </c>
      <c r="K91" s="27">
        <f>IF(K88=0,0,IF($C$29*1/$C$28&gt;K90,$C$29*1/$C$28,K90))</f>
        <v/>
      </c>
      <c r="L91" s="27">
        <f>IF(L88=0,0,IF($C$29*1/$C$28&gt;L90,$C$29*1/$C$28,L90))</f>
        <v/>
      </c>
      <c r="M91" s="27">
        <f>IF(M88=0,0,IF($C$29*1/$C$28&gt;M90,$C$29*1/$C$28,M90))</f>
        <v/>
      </c>
    </row>
    <row r="92">
      <c r="A92" s="22" t="inlineStr">
        <is>
          <t>Charge d'amortissement</t>
        </is>
      </c>
      <c r="B92" s="22" t="inlineStr">
        <is>
          <t>USD</t>
        </is>
      </c>
      <c r="J92" s="8">
        <f>J89*J91</f>
        <v/>
      </c>
      <c r="K92" s="8">
        <f>K89*K91</f>
        <v/>
      </c>
      <c r="L92" s="8">
        <f>L89*L91</f>
        <v/>
      </c>
      <c r="M92" s="8">
        <f>M89*M91</f>
        <v/>
      </c>
    </row>
    <row r="93">
      <c r="A93" s="22" t="inlineStr">
        <is>
          <t>Amortissement restant</t>
        </is>
      </c>
      <c r="B93" s="22" t="inlineStr">
        <is>
          <t>USD</t>
        </is>
      </c>
      <c r="J93" s="8">
        <f>J89-J92</f>
        <v/>
      </c>
      <c r="K93" s="8">
        <f>K89-K92</f>
        <v/>
      </c>
      <c r="L93" s="8">
        <f>L89-L92</f>
        <v/>
      </c>
      <c r="M93" s="8">
        <f>M89-M92</f>
        <v/>
      </c>
    </row>
    <row r="94">
      <c r="A94" s="22" t="n"/>
      <c r="B94" s="22" t="n"/>
    </row>
    <row r="95">
      <c r="A95" s="2" t="inlineStr">
        <is>
          <t>Immobilisations de l'année A9</t>
        </is>
      </c>
      <c r="B95" s="22" t="n"/>
    </row>
    <row r="96">
      <c r="A96" s="22" t="inlineStr">
        <is>
          <t>Durée restante</t>
        </is>
      </c>
      <c r="B96" s="22" t="inlineStr">
        <is>
          <t>Années</t>
        </is>
      </c>
      <c r="K96" s="23">
        <f>IF($C$28&lt;K$3,$C$28,K$3)</f>
        <v/>
      </c>
      <c r="L96" s="8">
        <f>IF(K96=0,0,IF(K96-1&lt;L$3,K96-1,L$3))</f>
        <v/>
      </c>
      <c r="M96" s="8">
        <f>IF(L96=0,0,IF(L96-1&lt;M$3,L96-1,M$3))</f>
        <v/>
      </c>
    </row>
    <row r="97">
      <c r="A97" s="22" t="inlineStr">
        <is>
          <t>Base amortissable</t>
        </is>
      </c>
      <c r="B97" s="22" t="inlineStr">
        <is>
          <t>USD</t>
        </is>
      </c>
      <c r="K97" s="23">
        <f>Modèle!K$10</f>
        <v/>
      </c>
      <c r="L97" s="8">
        <f>K101</f>
        <v/>
      </c>
      <c r="M97" s="8">
        <f>L101</f>
        <v/>
      </c>
    </row>
    <row r="98">
      <c r="A98" s="22" t="inlineStr">
        <is>
          <t>Inverse de la durée restante</t>
        </is>
      </c>
      <c r="B98" s="22" t="inlineStr">
        <is>
          <t>%</t>
        </is>
      </c>
      <c r="K98" s="27">
        <f>IF(K96=0,0,1/K96)</f>
        <v/>
      </c>
      <c r="L98" s="27">
        <f>IF(L96=0,0,1/L96)</f>
        <v/>
      </c>
      <c r="M98" s="27">
        <f>IF(M96=0,0,1/M96)</f>
        <v/>
      </c>
    </row>
    <row r="99">
      <c r="A99" s="22" t="inlineStr">
        <is>
          <t>Taux dégressif</t>
        </is>
      </c>
      <c r="B99" s="22" t="inlineStr">
        <is>
          <t>%</t>
        </is>
      </c>
      <c r="K99" s="27">
        <f>IF(K96=0,0,IF($C$29*1/$C$28&gt;K98,$C$29*1/$C$28,K98))</f>
        <v/>
      </c>
      <c r="L99" s="27">
        <f>IF(L96=0,0,IF($C$29*1/$C$28&gt;L98,$C$29*1/$C$28,L98))</f>
        <v/>
      </c>
      <c r="M99" s="27">
        <f>IF(M96=0,0,IF($C$29*1/$C$28&gt;M98,$C$29*1/$C$28,M98))</f>
        <v/>
      </c>
    </row>
    <row r="100">
      <c r="A100" s="22" t="inlineStr">
        <is>
          <t>Charge d'amortissement</t>
        </is>
      </c>
      <c r="B100" s="22" t="inlineStr">
        <is>
          <t>USD</t>
        </is>
      </c>
      <c r="K100" s="8">
        <f>K97*K99</f>
        <v/>
      </c>
      <c r="L100" s="8">
        <f>L97*L99</f>
        <v/>
      </c>
      <c r="M100" s="8">
        <f>M97*M99</f>
        <v/>
      </c>
    </row>
    <row r="101">
      <c r="A101" s="22" t="inlineStr">
        <is>
          <t>Amortissement restant</t>
        </is>
      </c>
      <c r="B101" s="22" t="inlineStr">
        <is>
          <t>USD</t>
        </is>
      </c>
      <c r="K101" s="8">
        <f>K97-K100</f>
        <v/>
      </c>
      <c r="L101" s="8">
        <f>L97-L100</f>
        <v/>
      </c>
      <c r="M101" s="8">
        <f>M97-M100</f>
        <v/>
      </c>
    </row>
    <row r="102">
      <c r="A102" s="22" t="n"/>
      <c r="B102" s="22" t="n"/>
    </row>
    <row r="103">
      <c r="A103" s="2" t="inlineStr">
        <is>
          <t>Immobilisations de l'année A10</t>
        </is>
      </c>
      <c r="B103" s="22" t="n"/>
    </row>
    <row r="104">
      <c r="A104" s="22" t="inlineStr">
        <is>
          <t>Durée restante</t>
        </is>
      </c>
      <c r="B104" s="22" t="inlineStr">
        <is>
          <t>Années</t>
        </is>
      </c>
      <c r="L104" s="23">
        <f>IF($C$28&lt;L$3,$C$28,L$3)</f>
        <v/>
      </c>
      <c r="M104" s="8">
        <f>IF(L104=0,0,IF(L104-1&lt;M$3,L104-1,M$3))</f>
        <v/>
      </c>
    </row>
    <row r="105">
      <c r="A105" s="22" t="inlineStr">
        <is>
          <t>Base amortissable</t>
        </is>
      </c>
      <c r="B105" s="22" t="inlineStr">
        <is>
          <t>USD</t>
        </is>
      </c>
      <c r="L105" s="23">
        <f>Modèle!L$10</f>
        <v/>
      </c>
      <c r="M105" s="8">
        <f>L109</f>
        <v/>
      </c>
    </row>
    <row r="106">
      <c r="A106" s="22" t="inlineStr">
        <is>
          <t>Inverse de la durée restante</t>
        </is>
      </c>
      <c r="B106" s="22" t="inlineStr">
        <is>
          <t>%</t>
        </is>
      </c>
      <c r="L106" s="27">
        <f>IF(L104=0,0,1/L104)</f>
        <v/>
      </c>
      <c r="M106" s="27">
        <f>IF(M104=0,0,1/M104)</f>
        <v/>
      </c>
    </row>
    <row r="107">
      <c r="A107" s="22" t="inlineStr">
        <is>
          <t>Taux dégressif</t>
        </is>
      </c>
      <c r="B107" s="22" t="inlineStr">
        <is>
          <t>%</t>
        </is>
      </c>
      <c r="L107" s="27">
        <f>IF(L104=0,0,IF($C$29*1/$C$28&gt;L106,$C$29*1/$C$28,L106))</f>
        <v/>
      </c>
      <c r="M107" s="27">
        <f>IF(M104=0,0,IF($C$29*1/$C$28&gt;M106,$C$29*1/$C$28,M106))</f>
        <v/>
      </c>
    </row>
    <row r="108">
      <c r="A108" s="22" t="inlineStr">
        <is>
          <t>Charge d'amortissement</t>
        </is>
      </c>
      <c r="B108" s="22" t="inlineStr">
        <is>
          <t>USD</t>
        </is>
      </c>
      <c r="L108" s="8">
        <f>L105*L107</f>
        <v/>
      </c>
      <c r="M108" s="8">
        <f>M105*M107</f>
        <v/>
      </c>
    </row>
    <row r="109">
      <c r="A109" s="22" t="inlineStr">
        <is>
          <t>Amortissement restant</t>
        </is>
      </c>
      <c r="B109" s="22" t="inlineStr">
        <is>
          <t>USD</t>
        </is>
      </c>
      <c r="L109" s="8">
        <f>L105-L108</f>
        <v/>
      </c>
      <c r="M109" s="8">
        <f>M105-M108</f>
        <v/>
      </c>
    </row>
    <row r="110">
      <c r="A110" s="22" t="n"/>
      <c r="B110" s="22" t="n"/>
    </row>
    <row r="111">
      <c r="A111" s="2" t="inlineStr">
        <is>
          <t>Immobilisations de l'année A11</t>
        </is>
      </c>
      <c r="B111" s="22" t="n"/>
    </row>
    <row r="112">
      <c r="A112" s="22" t="inlineStr">
        <is>
          <t>Durée restante</t>
        </is>
      </c>
      <c r="B112" s="22" t="inlineStr">
        <is>
          <t>Années</t>
        </is>
      </c>
      <c r="M112" s="23">
        <f>IF($C$28&lt;M$3,$C$28,M$3)</f>
        <v/>
      </c>
    </row>
    <row r="113">
      <c r="A113" s="22" t="inlineStr">
        <is>
          <t>Base amortissable</t>
        </is>
      </c>
      <c r="B113" s="22" t="inlineStr">
        <is>
          <t>USD</t>
        </is>
      </c>
      <c r="M113" s="23">
        <f>Modèle!M$10</f>
        <v/>
      </c>
    </row>
    <row r="114">
      <c r="A114" s="22" t="inlineStr">
        <is>
          <t>Inverse de la durée restante</t>
        </is>
      </c>
      <c r="B114" s="22" t="inlineStr">
        <is>
          <t>%</t>
        </is>
      </c>
      <c r="M114" s="27">
        <f>IF(M112=0,0,1/M112)</f>
        <v/>
      </c>
    </row>
    <row r="115">
      <c r="A115" s="22" t="inlineStr">
        <is>
          <t>Taux dégressif</t>
        </is>
      </c>
      <c r="B115" s="22" t="inlineStr">
        <is>
          <t>%</t>
        </is>
      </c>
      <c r="M115" s="27">
        <f>IF(M112=0,0,IF($C$29*1/$C$28&gt;M114,$C$29*1/$C$28,M114))</f>
        <v/>
      </c>
    </row>
    <row r="116">
      <c r="A116" s="22" t="inlineStr">
        <is>
          <t>Charge d'amortissement</t>
        </is>
      </c>
      <c r="B116" s="22" t="inlineStr">
        <is>
          <t>USD</t>
        </is>
      </c>
      <c r="M116" s="8">
        <f>M113*M115</f>
        <v/>
      </c>
    </row>
    <row r="117">
      <c r="A117" s="22" t="inlineStr">
        <is>
          <t>Amortissement restant</t>
        </is>
      </c>
      <c r="B117" s="22" t="inlineStr">
        <is>
          <t>USD</t>
        </is>
      </c>
      <c r="M117" s="8">
        <f>M113-M116</f>
        <v/>
      </c>
    </row>
    <row r="118">
      <c r="A118" s="22" t="n"/>
      <c r="B118" s="22" t="n"/>
    </row>
    <row r="119">
      <c r="A119" s="2" t="inlineStr">
        <is>
          <t>Amortissements des biens d'équipement</t>
        </is>
      </c>
      <c r="B119" s="22" t="inlineStr">
        <is>
          <t>USD</t>
        </is>
      </c>
      <c r="C119" s="8">
        <f>C$36+C$44+C$52+C$60+C$68+C$76+C$84+C$92+C$100+C$108+C$116</f>
        <v/>
      </c>
      <c r="D119" s="8">
        <f>D$36+D$44+D$52+D$60+D$68+D$76+D$84+D$92+D$100+D$108+D$116</f>
        <v/>
      </c>
      <c r="E119" s="8">
        <f>E$36+E$44+E$52+E$60+E$68+E$76+E$84+E$92+E$100+E$108+E$116</f>
        <v/>
      </c>
      <c r="F119" s="8">
        <f>F$36+F$44+F$52+F$60+F$68+F$76+F$84+F$92+F$100+F$108+F$116</f>
        <v/>
      </c>
      <c r="G119" s="8">
        <f>G$36+G$44+G$52+G$60+G$68+G$76+G$84+G$92+G$100+G$108+G$116</f>
        <v/>
      </c>
      <c r="H119" s="8">
        <f>H$36+H$44+H$52+H$60+H$68+H$76+H$84+H$92+H$100+H$108+H$116</f>
        <v/>
      </c>
      <c r="I119" s="8">
        <f>I$36+I$44+I$52+I$60+I$68+I$76+I$84+I$92+I$100+I$108+I$116</f>
        <v/>
      </c>
      <c r="J119" s="8">
        <f>J$36+J$44+J$52+J$60+J$68+J$76+J$84+J$92+J$100+J$108+J$116</f>
        <v/>
      </c>
      <c r="K119" s="8">
        <f>K$36+K$44+K$52+K$60+K$68+K$76+K$84+K$92+K$100+K$108+K$116</f>
        <v/>
      </c>
      <c r="L119" s="8">
        <f>L$36+L$44+L$52+L$60+L$68+L$76+L$84+L$92+L$100+L$108+L$116</f>
        <v/>
      </c>
      <c r="M119" s="8">
        <f>M$36+M$44+M$52+M$60+M$68+M$76+M$84+M$92+M$100+M$108+M$116</f>
        <v/>
      </c>
    </row>
    <row r="120">
      <c r="A120" s="22" t="n"/>
      <c r="B120" s="22" t="n"/>
    </row>
    <row r="121">
      <c r="A121" s="5" t="inlineStr">
        <is>
          <t>III. AMORTISSEMENTS DES DEPENSES DE REHABILITATION</t>
        </is>
      </c>
      <c r="B121" s="24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</row>
    <row r="122">
      <c r="A122" s="2" t="inlineStr">
        <is>
          <t>Durée d'amortissement linéaire</t>
        </is>
      </c>
      <c r="B122" s="22" t="inlineStr">
        <is>
          <t>Années</t>
        </is>
      </c>
      <c r="C122" s="19" t="n">
        <v>1</v>
      </c>
    </row>
    <row r="123">
      <c r="A123" s="2" t="inlineStr">
        <is>
          <t>Coefficient d'amortissement dégressif</t>
        </is>
      </c>
      <c r="B123" s="22" t="inlineStr">
        <is>
          <t>Coefficient</t>
        </is>
      </c>
      <c r="C123" s="19" t="n">
        <v>1</v>
      </c>
    </row>
    <row r="124">
      <c r="A124" s="22" t="n"/>
      <c r="B124" s="22" t="n"/>
    </row>
    <row r="125">
      <c r="A125" s="2" t="inlineStr">
        <is>
          <t>Immobilisations de l'année A11</t>
        </is>
      </c>
      <c r="B125" s="22" t="n"/>
    </row>
    <row r="126">
      <c r="A126" s="22" t="inlineStr">
        <is>
          <t>Durée restante</t>
        </is>
      </c>
      <c r="B126" s="22" t="inlineStr">
        <is>
          <t>Années</t>
        </is>
      </c>
      <c r="M126" s="23">
        <f>IF($C$122&lt;M$3,$C$122,M$3)</f>
        <v/>
      </c>
    </row>
    <row r="127">
      <c r="A127" s="22" t="inlineStr">
        <is>
          <t>Base amortissable</t>
        </is>
      </c>
      <c r="B127" s="22" t="inlineStr">
        <is>
          <t>USD</t>
        </is>
      </c>
      <c r="M127" s="23">
        <f>Modèle!M$11</f>
        <v/>
      </c>
    </row>
    <row r="128">
      <c r="A128" s="22" t="inlineStr">
        <is>
          <t>Inverse de la durée restante</t>
        </is>
      </c>
      <c r="B128" s="22" t="inlineStr">
        <is>
          <t>%</t>
        </is>
      </c>
      <c r="M128" s="27">
        <f>IF(M126=0,0,1/M126)</f>
        <v/>
      </c>
    </row>
    <row r="129">
      <c r="A129" s="22" t="inlineStr">
        <is>
          <t>Taux dégressif</t>
        </is>
      </c>
      <c r="B129" s="22" t="inlineStr">
        <is>
          <t>%</t>
        </is>
      </c>
      <c r="M129" s="27">
        <f>IF(M126=0,0,IF($C$123*1/$C$122&gt;M128,$C$123*1/$C$122,M128))</f>
        <v/>
      </c>
    </row>
    <row r="130">
      <c r="A130" s="22" t="inlineStr">
        <is>
          <t>Charge d'amortissement</t>
        </is>
      </c>
      <c r="B130" s="22" t="inlineStr">
        <is>
          <t>USD</t>
        </is>
      </c>
      <c r="M130" s="8">
        <f>M127*M129</f>
        <v/>
      </c>
    </row>
    <row r="131">
      <c r="A131" s="22" t="inlineStr">
        <is>
          <t>Amortissement restant</t>
        </is>
      </c>
      <c r="B131" s="22" t="inlineStr">
        <is>
          <t>USD</t>
        </is>
      </c>
      <c r="M131" s="8">
        <f>M127-M130</f>
        <v/>
      </c>
    </row>
    <row r="132">
      <c r="A132" s="22" t="n"/>
      <c r="B132" s="22" t="n"/>
    </row>
    <row r="133">
      <c r="A133" s="2" t="inlineStr">
        <is>
          <t>Amortissements des dépenses de réhabilitation</t>
        </is>
      </c>
      <c r="B133" s="22" t="inlineStr">
        <is>
          <t>USD</t>
        </is>
      </c>
      <c r="C133" s="8">
        <f>C130</f>
        <v/>
      </c>
      <c r="D133" s="8">
        <f>D130</f>
        <v/>
      </c>
      <c r="E133" s="8">
        <f>E130</f>
        <v/>
      </c>
      <c r="F133" s="8">
        <f>F130</f>
        <v/>
      </c>
      <c r="G133" s="8">
        <f>G130</f>
        <v/>
      </c>
      <c r="H133" s="8">
        <f>H130</f>
        <v/>
      </c>
      <c r="I133" s="8">
        <f>I130</f>
        <v/>
      </c>
      <c r="J133" s="8">
        <f>J130</f>
        <v/>
      </c>
      <c r="K133" s="8">
        <f>K130</f>
        <v/>
      </c>
      <c r="L133" s="8">
        <f>L130</f>
        <v/>
      </c>
      <c r="M133" s="8">
        <f>M130</f>
        <v/>
      </c>
    </row>
    <row r="134">
      <c r="A134" s="22" t="n"/>
      <c r="B134" s="22" t="n"/>
    </row>
    <row r="135">
      <c r="A135" s="5" t="inlineStr">
        <is>
          <t>IV. CHARGES FINANCIERES</t>
        </is>
      </c>
      <c r="B135" s="24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</row>
    <row r="136">
      <c r="A136" s="2" t="inlineStr">
        <is>
          <t>Emprunt</t>
        </is>
      </c>
      <c r="B136" s="22" t="n"/>
    </row>
    <row r="137">
      <c r="A137" s="22" t="inlineStr">
        <is>
          <t>Durée de l'emprunt</t>
        </is>
      </c>
      <c r="B137" s="22" t="inlineStr">
        <is>
          <t>Années</t>
        </is>
      </c>
      <c r="C137" s="19" t="n">
        <v>5</v>
      </c>
    </row>
    <row r="138">
      <c r="A138" s="22" t="inlineStr">
        <is>
          <t>Taux d'intérêt de l'emprunt</t>
        </is>
      </c>
      <c r="B138" s="22" t="inlineStr">
        <is>
          <t>%</t>
        </is>
      </c>
      <c r="C138" s="21" t="n">
        <v>0.1</v>
      </c>
    </row>
    <row r="139">
      <c r="A139" s="2" t="inlineStr">
        <is>
          <t>Régle de sous-capitalisation</t>
        </is>
      </c>
      <c r="B139" s="22" t="n"/>
    </row>
    <row r="140">
      <c r="A140" s="22" t="inlineStr">
        <is>
          <t>Taux d'intérêt légal maximum</t>
        </is>
      </c>
      <c r="B140" s="22" t="inlineStr">
        <is>
          <t>%</t>
        </is>
      </c>
      <c r="C140" s="21" t="n">
        <v>0.05</v>
      </c>
    </row>
    <row r="141">
      <c r="A141" s="22" t="n"/>
      <c r="B141" s="22" t="n"/>
    </row>
    <row r="142">
      <c r="A142" s="2" t="inlineStr">
        <is>
          <t>Emprunt de l'année A1</t>
        </is>
      </c>
      <c r="B142" s="22" t="n"/>
    </row>
    <row r="143">
      <c r="A143" s="22" t="inlineStr">
        <is>
          <t>Durée restante</t>
        </is>
      </c>
      <c r="B143" s="22" t="inlineStr">
        <is>
          <t>Années</t>
        </is>
      </c>
      <c r="C143" s="23">
        <f>IF($C$137+1&lt;C$3,$C$137+1,C$3)</f>
        <v/>
      </c>
      <c r="D143" s="8">
        <f>IF(C143=0,0,IF(C143-1&lt;D$3,C143-1,D$3))</f>
        <v/>
      </c>
      <c r="E143" s="8">
        <f>IF(D143=0,0,IF(D143-1&lt;E$3,D143-1,E$3))</f>
        <v/>
      </c>
      <c r="F143" s="8">
        <f>IF(E143=0,0,IF(E143-1&lt;F$3,E143-1,F$3))</f>
        <v/>
      </c>
      <c r="G143" s="8">
        <f>IF(F143=0,0,IF(F143-1&lt;G$3,F143-1,G$3))</f>
        <v/>
      </c>
      <c r="H143" s="8">
        <f>IF(G143=0,0,IF(G143-1&lt;H$3,G143-1,H$3))</f>
        <v/>
      </c>
      <c r="I143" s="8">
        <f>IF(H143=0,0,IF(H143-1&lt;I$3,H143-1,I$3))</f>
        <v/>
      </c>
      <c r="J143" s="8">
        <f>IF(I143=0,0,IF(I143-1&lt;J$3,I143-1,J$3))</f>
        <v/>
      </c>
      <c r="K143" s="8">
        <f>IF(J143=0,0,IF(J143-1&lt;K$3,J143-1,K$3))</f>
        <v/>
      </c>
      <c r="L143" s="8">
        <f>IF(K143=0,0,IF(K143-1&lt;L$3,K143-1,L$3))</f>
        <v/>
      </c>
      <c r="M143" s="8">
        <f>IF(L143=0,0,IF(L143-1&lt;M$3,L143-1,M$3))</f>
        <v/>
      </c>
    </row>
    <row r="144">
      <c r="A144" s="22" t="inlineStr">
        <is>
          <t>Emprunt restant</t>
        </is>
      </c>
      <c r="B144" s="22" t="inlineStr">
        <is>
          <t>USD</t>
        </is>
      </c>
      <c r="C144" s="23">
        <f>Modèle!C$12</f>
        <v/>
      </c>
      <c r="D144" s="8">
        <f>C144-D145</f>
        <v/>
      </c>
      <c r="E144" s="8">
        <f>D144-E145</f>
        <v/>
      </c>
      <c r="F144" s="8">
        <f>E144-F145</f>
        <v/>
      </c>
      <c r="G144" s="8">
        <f>F144-G145</f>
        <v/>
      </c>
      <c r="H144" s="8">
        <f>G144-H145</f>
        <v/>
      </c>
      <c r="I144" s="8">
        <f>H144-I145</f>
        <v/>
      </c>
      <c r="J144" s="8">
        <f>I144-J145</f>
        <v/>
      </c>
      <c r="K144" s="8">
        <f>J144-K145</f>
        <v/>
      </c>
      <c r="L144" s="8">
        <f>K144-L145</f>
        <v/>
      </c>
      <c r="M144" s="8">
        <f>L144-M145</f>
        <v/>
      </c>
    </row>
    <row r="145">
      <c r="A145" s="22" t="inlineStr">
        <is>
          <t>Remboursement du principal</t>
        </is>
      </c>
      <c r="B145" s="22" t="inlineStr">
        <is>
          <t>USD</t>
        </is>
      </c>
      <c r="C145" s="24" t="n"/>
      <c r="D145" s="28">
        <f>IF(D143=0,0,C144/D143)</f>
        <v/>
      </c>
      <c r="E145" s="28">
        <f>IF(E143=0,0,D144/E143)</f>
        <v/>
      </c>
      <c r="F145" s="28">
        <f>IF(F143=0,0,E144/F143)</f>
        <v/>
      </c>
      <c r="G145" s="28">
        <f>IF(G143=0,0,F144/G143)</f>
        <v/>
      </c>
      <c r="H145" s="28">
        <f>IF(H143=0,0,G144/H143)</f>
        <v/>
      </c>
      <c r="I145" s="28">
        <f>IF(I143=0,0,H144/I143)</f>
        <v/>
      </c>
      <c r="J145" s="28">
        <f>IF(J143=0,0,I144/J143)</f>
        <v/>
      </c>
      <c r="K145" s="28">
        <f>IF(K143=0,0,J144/K143)</f>
        <v/>
      </c>
      <c r="L145" s="28">
        <f>IF(L143=0,0,K144/L143)</f>
        <v/>
      </c>
      <c r="M145" s="28">
        <f>IF(M143=0,0,L144/M143)</f>
        <v/>
      </c>
    </row>
    <row r="146">
      <c r="A146" s="22" t="inlineStr">
        <is>
          <t>Intérêts versés</t>
        </is>
      </c>
      <c r="B146" s="22" t="inlineStr">
        <is>
          <t>USD</t>
        </is>
      </c>
      <c r="C146" s="28">
        <f>C144*$C$138</f>
        <v/>
      </c>
      <c r="D146" s="28">
        <f>D144*$C$138</f>
        <v/>
      </c>
      <c r="E146" s="28">
        <f>E144*$C$138</f>
        <v/>
      </c>
      <c r="F146" s="28">
        <f>F144*$C$138</f>
        <v/>
      </c>
      <c r="G146" s="28">
        <f>G144*$C$138</f>
        <v/>
      </c>
      <c r="H146" s="28">
        <f>H144*$C$138</f>
        <v/>
      </c>
      <c r="I146" s="28">
        <f>I144*$C$138</f>
        <v/>
      </c>
      <c r="J146" s="28">
        <f>J144*$C$138</f>
        <v/>
      </c>
      <c r="K146" s="28">
        <f>K144*$C$138</f>
        <v/>
      </c>
      <c r="L146" s="28">
        <f>L144*$C$138</f>
        <v/>
      </c>
      <c r="M146" s="28">
        <f>M144*$C$138</f>
        <v/>
      </c>
    </row>
    <row r="147">
      <c r="A147" s="22" t="inlineStr">
        <is>
          <t>Intérêts déductibles</t>
        </is>
      </c>
      <c r="B147" s="22" t="inlineStr">
        <is>
          <t>USD</t>
        </is>
      </c>
      <c r="C147" s="28">
        <f>IF(C144*$C$140&lt;C146,C144*$C$140,C146)</f>
        <v/>
      </c>
      <c r="D147" s="28">
        <f>IF(D144*$C$140&lt;D146,D144*$C$140,D146)</f>
        <v/>
      </c>
      <c r="E147" s="28">
        <f>IF(E144*$C$140&lt;E146,E144*$C$140,E146)</f>
        <v/>
      </c>
      <c r="F147" s="28">
        <f>IF(F144*$C$140&lt;F146,F144*$C$140,F146)</f>
        <v/>
      </c>
      <c r="G147" s="28">
        <f>IF(G144*$C$140&lt;G146,G144*$C$140,G146)</f>
        <v/>
      </c>
      <c r="H147" s="28">
        <f>IF(H144*$C$140&lt;H146,H144*$C$140,H146)</f>
        <v/>
      </c>
      <c r="I147" s="28">
        <f>IF(I144*$C$140&lt;I146,I144*$C$140,I146)</f>
        <v/>
      </c>
      <c r="J147" s="28">
        <f>IF(J144*$C$140&lt;J146,J144*$C$140,J146)</f>
        <v/>
      </c>
      <c r="K147" s="28">
        <f>IF(K144*$C$140&lt;K146,K144*$C$140,K146)</f>
        <v/>
      </c>
      <c r="L147" s="28">
        <f>IF(L144*$C$140&lt;L146,L144*$C$140,L146)</f>
        <v/>
      </c>
      <c r="M147" s="28">
        <f>IF(M144*$C$140&lt;M146,M144*$C$140,M146)</f>
        <v/>
      </c>
    </row>
    <row r="148">
      <c r="A148" s="22" t="n"/>
      <c r="B148" s="22" t="n"/>
    </row>
    <row r="149">
      <c r="A149" s="2" t="inlineStr">
        <is>
          <t>Emprunt de l'année A2</t>
        </is>
      </c>
      <c r="B149" s="22" t="n"/>
    </row>
    <row r="150">
      <c r="A150" s="22" t="inlineStr">
        <is>
          <t>Durée restante</t>
        </is>
      </c>
      <c r="B150" s="22" t="inlineStr">
        <is>
          <t>Années</t>
        </is>
      </c>
      <c r="D150" s="23">
        <f>IF($C$137+1&lt;D$3,$C$137+1,D$3)</f>
        <v/>
      </c>
      <c r="E150" s="8">
        <f>IF(D150=0,0,IF(D150-1&lt;E$3,D150-1,E$3))</f>
        <v/>
      </c>
      <c r="F150" s="8">
        <f>IF(E150=0,0,IF(E150-1&lt;F$3,E150-1,F$3))</f>
        <v/>
      </c>
      <c r="G150" s="8">
        <f>IF(F150=0,0,IF(F150-1&lt;G$3,F150-1,G$3))</f>
        <v/>
      </c>
      <c r="H150" s="8">
        <f>IF(G150=0,0,IF(G150-1&lt;H$3,G150-1,H$3))</f>
        <v/>
      </c>
      <c r="I150" s="8">
        <f>IF(H150=0,0,IF(H150-1&lt;I$3,H150-1,I$3))</f>
        <v/>
      </c>
      <c r="J150" s="8">
        <f>IF(I150=0,0,IF(I150-1&lt;J$3,I150-1,J$3))</f>
        <v/>
      </c>
      <c r="K150" s="8">
        <f>IF(J150=0,0,IF(J150-1&lt;K$3,J150-1,K$3))</f>
        <v/>
      </c>
      <c r="L150" s="8">
        <f>IF(K150=0,0,IF(K150-1&lt;L$3,K150-1,L$3))</f>
        <v/>
      </c>
      <c r="M150" s="8">
        <f>IF(L150=0,0,IF(L150-1&lt;M$3,L150-1,M$3))</f>
        <v/>
      </c>
    </row>
    <row r="151">
      <c r="A151" s="22" t="inlineStr">
        <is>
          <t>Emprunt restant</t>
        </is>
      </c>
      <c r="B151" s="22" t="inlineStr">
        <is>
          <t>USD</t>
        </is>
      </c>
      <c r="D151" s="23">
        <f>Modèle!D$12</f>
        <v/>
      </c>
      <c r="E151" s="8">
        <f>D151-E152</f>
        <v/>
      </c>
      <c r="F151" s="8">
        <f>E151-F152</f>
        <v/>
      </c>
      <c r="G151" s="8">
        <f>F151-G152</f>
        <v/>
      </c>
      <c r="H151" s="8">
        <f>G151-H152</f>
        <v/>
      </c>
      <c r="I151" s="8">
        <f>H151-I152</f>
        <v/>
      </c>
      <c r="J151" s="8">
        <f>I151-J152</f>
        <v/>
      </c>
      <c r="K151" s="8">
        <f>J151-K152</f>
        <v/>
      </c>
      <c r="L151" s="8">
        <f>K151-L152</f>
        <v/>
      </c>
      <c r="M151" s="8">
        <f>L151-M152</f>
        <v/>
      </c>
    </row>
    <row r="152">
      <c r="A152" s="22" t="inlineStr">
        <is>
          <t>Remboursement du principal</t>
        </is>
      </c>
      <c r="B152" s="22" t="inlineStr">
        <is>
          <t>USD</t>
        </is>
      </c>
      <c r="D152" s="24" t="n"/>
      <c r="E152" s="28">
        <f>IF(E150=0,0,D151/E150)</f>
        <v/>
      </c>
      <c r="F152" s="28">
        <f>IF(F150=0,0,E151/F150)</f>
        <v/>
      </c>
      <c r="G152" s="28">
        <f>IF(G150=0,0,F151/G150)</f>
        <v/>
      </c>
      <c r="H152" s="28">
        <f>IF(H150=0,0,G151/H150)</f>
        <v/>
      </c>
      <c r="I152" s="28">
        <f>IF(I150=0,0,H151/I150)</f>
        <v/>
      </c>
      <c r="J152" s="28">
        <f>IF(J150=0,0,I151/J150)</f>
        <v/>
      </c>
      <c r="K152" s="28">
        <f>IF(K150=0,0,J151/K150)</f>
        <v/>
      </c>
      <c r="L152" s="28">
        <f>IF(L150=0,0,K151/L150)</f>
        <v/>
      </c>
      <c r="M152" s="28">
        <f>IF(M150=0,0,L151/M150)</f>
        <v/>
      </c>
    </row>
    <row r="153">
      <c r="A153" s="22" t="inlineStr">
        <is>
          <t>Intérêts versés</t>
        </is>
      </c>
      <c r="B153" s="22" t="inlineStr">
        <is>
          <t>USD</t>
        </is>
      </c>
      <c r="D153" s="28">
        <f>D151*$C$138</f>
        <v/>
      </c>
      <c r="E153" s="28">
        <f>E151*$C$138</f>
        <v/>
      </c>
      <c r="F153" s="28">
        <f>F151*$C$138</f>
        <v/>
      </c>
      <c r="G153" s="28">
        <f>G151*$C$138</f>
        <v/>
      </c>
      <c r="H153" s="28">
        <f>H151*$C$138</f>
        <v/>
      </c>
      <c r="I153" s="28">
        <f>I151*$C$138</f>
        <v/>
      </c>
      <c r="J153" s="28">
        <f>J151*$C$138</f>
        <v/>
      </c>
      <c r="K153" s="28">
        <f>K151*$C$138</f>
        <v/>
      </c>
      <c r="L153" s="28">
        <f>L151*$C$138</f>
        <v/>
      </c>
      <c r="M153" s="28">
        <f>M151*$C$138</f>
        <v/>
      </c>
    </row>
    <row r="154">
      <c r="A154" s="22" t="inlineStr">
        <is>
          <t>Intérêts déductibles</t>
        </is>
      </c>
      <c r="B154" s="22" t="inlineStr">
        <is>
          <t>USD</t>
        </is>
      </c>
      <c r="D154" s="28">
        <f>IF(D151*$C$140&lt;D153,D151*$C$140,D153)</f>
        <v/>
      </c>
      <c r="E154" s="28">
        <f>IF(E151*$C$140&lt;E153,E151*$C$140,E153)</f>
        <v/>
      </c>
      <c r="F154" s="28">
        <f>IF(F151*$C$140&lt;F153,F151*$C$140,F153)</f>
        <v/>
      </c>
      <c r="G154" s="28">
        <f>IF(G151*$C$140&lt;G153,G151*$C$140,G153)</f>
        <v/>
      </c>
      <c r="H154" s="28">
        <f>IF(H151*$C$140&lt;H153,H151*$C$140,H153)</f>
        <v/>
      </c>
      <c r="I154" s="28">
        <f>IF(I151*$C$140&lt;I153,I151*$C$140,I153)</f>
        <v/>
      </c>
      <c r="J154" s="28">
        <f>IF(J151*$C$140&lt;J153,J151*$C$140,J153)</f>
        <v/>
      </c>
      <c r="K154" s="28">
        <f>IF(K151*$C$140&lt;K153,K151*$C$140,K153)</f>
        <v/>
      </c>
      <c r="L154" s="28">
        <f>IF(L151*$C$140&lt;L153,L151*$C$140,L153)</f>
        <v/>
      </c>
      <c r="M154" s="28">
        <f>IF(M151*$C$140&lt;M153,M151*$C$140,M153)</f>
        <v/>
      </c>
    </row>
    <row r="155">
      <c r="A155" s="22" t="n"/>
      <c r="B155" s="22" t="n"/>
    </row>
    <row r="156">
      <c r="A156" s="2" t="inlineStr">
        <is>
          <t>Total des intérêts versés</t>
        </is>
      </c>
      <c r="B156" s="22" t="inlineStr">
        <is>
          <t>USD</t>
        </is>
      </c>
      <c r="C156" s="8">
        <f>C$146+C$153</f>
        <v/>
      </c>
      <c r="D156" s="8">
        <f>D$146+D$153</f>
        <v/>
      </c>
      <c r="E156" s="8">
        <f>E$146+E$153</f>
        <v/>
      </c>
      <c r="F156" s="8">
        <f>F$146+F$153</f>
        <v/>
      </c>
      <c r="G156" s="8">
        <f>G$146+G$153</f>
        <v/>
      </c>
      <c r="H156" s="8">
        <f>H$146+H$153</f>
        <v/>
      </c>
      <c r="I156" s="8">
        <f>I$146+I$153</f>
        <v/>
      </c>
      <c r="J156" s="8">
        <f>J$146+J$153</f>
        <v/>
      </c>
      <c r="K156" s="8">
        <f>K$146+K$153</f>
        <v/>
      </c>
      <c r="L156" s="8">
        <f>L$146+L$153</f>
        <v/>
      </c>
      <c r="M156" s="8">
        <f>M$146+M$153</f>
        <v/>
      </c>
    </row>
    <row r="157">
      <c r="A157" s="2" t="inlineStr">
        <is>
          <t>Total des intérêts déductibles</t>
        </is>
      </c>
      <c r="B157" s="22" t="inlineStr">
        <is>
          <t>USD</t>
        </is>
      </c>
      <c r="C157" s="8">
        <f>C$147+C$154</f>
        <v/>
      </c>
      <c r="D157" s="8">
        <f>D$147+D$154</f>
        <v/>
      </c>
      <c r="E157" s="8">
        <f>E$147+E$154</f>
        <v/>
      </c>
      <c r="F157" s="8">
        <f>F$147+F$154</f>
        <v/>
      </c>
      <c r="G157" s="8">
        <f>G$147+G$154</f>
        <v/>
      </c>
      <c r="H157" s="8">
        <f>H$147+H$154</f>
        <v/>
      </c>
      <c r="I157" s="8">
        <f>I$147+I$154</f>
        <v/>
      </c>
      <c r="J157" s="8">
        <f>J$147+J$154</f>
        <v/>
      </c>
      <c r="K157" s="8">
        <f>K$147+K$154</f>
        <v/>
      </c>
      <c r="L157" s="8">
        <f>L$147+L$154</f>
        <v/>
      </c>
      <c r="M157" s="8">
        <f>M$147+M$154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8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10.83203125" customWidth="1" min="2" max="2"/>
    <col width="15.83203125" customWidth="1" min="3" max="3"/>
    <col width="10.83203125" customWidth="1" min="16" max="16"/>
  </cols>
  <sheetData>
    <row r="1">
      <c r="A1" s="1" t="inlineStr">
        <is>
          <t>Nom</t>
        </is>
      </c>
      <c r="B1" s="1" t="inlineStr">
        <is>
          <t>Unité</t>
        </is>
      </c>
      <c r="C1" s="1" t="inlineStr">
        <is>
          <t>Année 1</t>
        </is>
      </c>
      <c r="D1" s="1" t="inlineStr">
        <is>
          <t>Année 2</t>
        </is>
      </c>
      <c r="E1" s="1" t="inlineStr">
        <is>
          <t>Année 3</t>
        </is>
      </c>
      <c r="F1" s="1" t="inlineStr">
        <is>
          <t>Année 4</t>
        </is>
      </c>
      <c r="G1" s="1" t="inlineStr">
        <is>
          <t>Année 5</t>
        </is>
      </c>
      <c r="H1" s="1" t="inlineStr">
        <is>
          <t>Année 6</t>
        </is>
      </c>
      <c r="I1" s="1" t="inlineStr">
        <is>
          <t>Année 7</t>
        </is>
      </c>
      <c r="J1" s="1" t="inlineStr">
        <is>
          <t>Année 8</t>
        </is>
      </c>
      <c r="K1" s="1" t="inlineStr">
        <is>
          <t>Année 9</t>
        </is>
      </c>
      <c r="L1" s="1" t="inlineStr">
        <is>
          <t>Année 10</t>
        </is>
      </c>
      <c r="M1" s="1" t="inlineStr">
        <is>
          <t>Année 11</t>
        </is>
      </c>
      <c r="N1" s="1" t="inlineStr">
        <is>
          <t>SOMME</t>
        </is>
      </c>
      <c r="O1" s="1" t="inlineStr">
        <is>
          <t>VAN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5" t="inlineStr">
        <is>
          <t>I. PRODUCTION</t>
        </is>
      </c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</row>
    <row r="4">
      <c r="A4" s="2" t="inlineStr">
        <is>
          <t>Production d'or</t>
        </is>
      </c>
      <c r="B4" s="3" t="inlineStr">
        <is>
          <t>oz</t>
        </is>
      </c>
      <c r="C4" s="8" t="n"/>
      <c r="D4" s="8" t="n"/>
      <c r="E4" s="8" t="n">
        <v>250000</v>
      </c>
      <c r="F4" s="8" t="n">
        <v>250000</v>
      </c>
      <c r="G4" s="8" t="n">
        <v>250000</v>
      </c>
      <c r="H4" s="8" t="n">
        <v>250000</v>
      </c>
      <c r="I4" s="8" t="n">
        <v>250000</v>
      </c>
      <c r="J4" s="8" t="n">
        <v>250000</v>
      </c>
      <c r="K4" s="8" t="n">
        <v>250000</v>
      </c>
      <c r="L4" s="8" t="n">
        <v>250000</v>
      </c>
      <c r="M4" s="8" t="n"/>
      <c r="N4" s="9">
        <f>SUM($C4:$M4)</f>
        <v/>
      </c>
      <c r="O4" s="9" t="n"/>
    </row>
    <row r="5">
      <c r="A5" s="2" t="inlineStr">
        <is>
          <t>Cours de l'or</t>
        </is>
      </c>
      <c r="B5" s="3" t="inlineStr">
        <is>
          <t>USD/oz</t>
        </is>
      </c>
      <c r="C5" s="8" t="n"/>
      <c r="D5" s="8" t="n"/>
      <c r="E5" s="8" t="n">
        <v>1300</v>
      </c>
      <c r="F5" s="8" t="n">
        <v>1300</v>
      </c>
      <c r="G5" s="8" t="n">
        <v>1300</v>
      </c>
      <c r="H5" s="8" t="n">
        <v>1300</v>
      </c>
      <c r="I5" s="8" t="n">
        <v>1300</v>
      </c>
      <c r="J5" s="8" t="n">
        <v>1300</v>
      </c>
      <c r="K5" s="8" t="n">
        <v>1300</v>
      </c>
      <c r="L5" s="8" t="n">
        <v>1300</v>
      </c>
      <c r="M5" s="8" t="n"/>
      <c r="N5" s="9" t="n"/>
      <c r="O5" s="9" t="n"/>
    </row>
    <row r="6">
      <c r="A6" s="2" t="inlineStr">
        <is>
          <t>Chiffre d'affaires</t>
        </is>
      </c>
      <c r="B6" s="3" t="inlineStr">
        <is>
          <t>USD</t>
        </is>
      </c>
      <c r="C6" s="10">
        <f>C$4*C$5</f>
        <v/>
      </c>
      <c r="D6" s="10">
        <f>D$4*D$5</f>
        <v/>
      </c>
      <c r="E6" s="10">
        <f>E$4*E$5</f>
        <v/>
      </c>
      <c r="F6" s="10">
        <f>F$4*F$5</f>
        <v/>
      </c>
      <c r="G6" s="10">
        <f>G$4*G$5</f>
        <v/>
      </c>
      <c r="H6" s="10">
        <f>H$4*H$5</f>
        <v/>
      </c>
      <c r="I6" s="10">
        <f>I$4*I$5</f>
        <v/>
      </c>
      <c r="J6" s="10">
        <f>J$4*J$5</f>
        <v/>
      </c>
      <c r="K6" s="10">
        <f>K$4*K$5</f>
        <v/>
      </c>
      <c r="L6" s="10">
        <f>L$4*L$5</f>
        <v/>
      </c>
      <c r="M6" s="10">
        <f>M$4*M$5</f>
        <v/>
      </c>
      <c r="N6" s="10">
        <f>SUM($C6:$M6)</f>
        <v/>
      </c>
      <c r="O6" s="10">
        <f>$C6+NPV(10%,$D6:$M6)</f>
        <v/>
      </c>
    </row>
    <row r="7">
      <c r="A7" s="2" t="n"/>
      <c r="B7" s="3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5" t="inlineStr">
        <is>
          <t>II. DEPENSES D'INVESTISSEMENT (CAPEX)</t>
        </is>
      </c>
      <c r="B8" s="6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</row>
    <row r="9">
      <c r="A9" s="2" t="inlineStr">
        <is>
          <t>Coûts des construction industrielles</t>
        </is>
      </c>
      <c r="B9" s="3" t="inlineStr">
        <is>
          <t>USD</t>
        </is>
      </c>
      <c r="C9" s="8" t="n">
        <v>50000000</v>
      </c>
      <c r="D9" s="8" t="n">
        <v>100000000</v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9">
        <f>SUM($C9:$M9)</f>
        <v/>
      </c>
      <c r="O9" s="9">
        <f>$C9+NPV(10%,$D9:$M9)</f>
        <v/>
      </c>
    </row>
    <row r="10">
      <c r="A10" s="2" t="inlineStr">
        <is>
          <t>Coûts des biens d'équipement</t>
        </is>
      </c>
      <c r="B10" s="3" t="inlineStr">
        <is>
          <t>USD</t>
        </is>
      </c>
      <c r="C10" s="8" t="n"/>
      <c r="D10" s="8" t="n">
        <v>50000000</v>
      </c>
      <c r="E10" s="8" t="n">
        <v>5000000</v>
      </c>
      <c r="F10" s="8" t="n">
        <v>5000000</v>
      </c>
      <c r="G10" s="8" t="n">
        <v>5000000</v>
      </c>
      <c r="H10" s="8" t="n">
        <v>5000000</v>
      </c>
      <c r="I10" s="8" t="n">
        <v>5000000</v>
      </c>
      <c r="J10" s="8" t="n">
        <v>5000000</v>
      </c>
      <c r="K10" s="8" t="n">
        <v>5000000</v>
      </c>
      <c r="L10" s="8" t="n">
        <v>5000000</v>
      </c>
      <c r="M10" s="8" t="n"/>
      <c r="N10" s="9">
        <f>SUM($C10:$M10)</f>
        <v/>
      </c>
      <c r="O10" s="9">
        <f>$C10+NPV(10%,$D10:$M10)</f>
        <v/>
      </c>
    </row>
    <row r="11">
      <c r="A11" s="2" t="inlineStr">
        <is>
          <t>Coûts de réhabilitation du site</t>
        </is>
      </c>
      <c r="B11" s="3" t="inlineStr">
        <is>
          <t>USD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>
        <v>10000000</v>
      </c>
      <c r="N11" s="9">
        <f>SUM($C11:$M11)</f>
        <v/>
      </c>
      <c r="O11" s="9">
        <f>$C11+NPV(10%,$D11:$M11)</f>
        <v/>
      </c>
    </row>
    <row r="12">
      <c r="A12" s="2" t="inlineStr">
        <is>
          <t>Total des dépenses d'investissement</t>
        </is>
      </c>
      <c r="B12" s="3" t="inlineStr">
        <is>
          <t>USD</t>
        </is>
      </c>
      <c r="C12" s="10">
        <f>SUM(C$9:C$11)</f>
        <v/>
      </c>
      <c r="D12" s="10">
        <f>SUM(D$9:D$11)</f>
        <v/>
      </c>
      <c r="E12" s="10">
        <f>SUM(E$9:E$11)</f>
        <v/>
      </c>
      <c r="F12" s="10">
        <f>SUM(F$9:F$11)</f>
        <v/>
      </c>
      <c r="G12" s="10">
        <f>SUM(G$9:G$11)</f>
        <v/>
      </c>
      <c r="H12" s="10">
        <f>SUM(H$9:H$11)</f>
        <v/>
      </c>
      <c r="I12" s="10">
        <f>SUM(I$9:I$11)</f>
        <v/>
      </c>
      <c r="J12" s="10">
        <f>SUM(J$9:J$11)</f>
        <v/>
      </c>
      <c r="K12" s="10">
        <f>SUM(K$9:K$11)</f>
        <v/>
      </c>
      <c r="L12" s="10">
        <f>SUM(L$9:L$11)</f>
        <v/>
      </c>
      <c r="M12" s="10">
        <f>SUM(M$9:M$11)</f>
        <v/>
      </c>
      <c r="N12" s="10">
        <f>SUM($C12:$M12)</f>
        <v/>
      </c>
      <c r="O12" s="10">
        <f>$C12+NPV(10%,$D12:$M12)</f>
        <v/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5" t="inlineStr">
        <is>
          <t>III. COÛTS D'EXPLOITATION (OPEX)</t>
        </is>
      </c>
      <c r="B14" s="6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</row>
    <row r="15">
      <c r="A15" s="2" t="inlineStr">
        <is>
          <t>Coût moyen d'exploitation</t>
        </is>
      </c>
      <c r="B15" s="3" t="inlineStr">
        <is>
          <t>USD/oz</t>
        </is>
      </c>
      <c r="C15" s="8" t="n"/>
      <c r="D15" s="8" t="n"/>
      <c r="E15" s="8" t="n">
        <v>700</v>
      </c>
      <c r="F15" s="8" t="n">
        <v>700</v>
      </c>
      <c r="G15" s="8" t="n">
        <v>700</v>
      </c>
      <c r="H15" s="8" t="n">
        <v>700</v>
      </c>
      <c r="I15" s="8" t="n">
        <v>700</v>
      </c>
      <c r="J15" s="8" t="n">
        <v>700</v>
      </c>
      <c r="K15" s="8" t="n">
        <v>700</v>
      </c>
      <c r="L15" s="8" t="n">
        <v>700</v>
      </c>
      <c r="M15" s="8" t="n"/>
      <c r="N15" s="12" t="n"/>
      <c r="O15" s="12" t="n"/>
    </row>
    <row r="16">
      <c r="A16" s="2" t="inlineStr">
        <is>
          <t>Total des coûts d'exploitation</t>
        </is>
      </c>
      <c r="B16" s="3" t="inlineStr">
        <is>
          <t>USD</t>
        </is>
      </c>
      <c r="C16" s="10">
        <f>C$4*C$15</f>
        <v/>
      </c>
      <c r="D16" s="10">
        <f>D$4*D$15</f>
        <v/>
      </c>
      <c r="E16" s="10">
        <f>E$4*E$15</f>
        <v/>
      </c>
      <c r="F16" s="10">
        <f>F$4*F$15</f>
        <v/>
      </c>
      <c r="G16" s="10">
        <f>G$4*G$15</f>
        <v/>
      </c>
      <c r="H16" s="10">
        <f>H$4*H$15</f>
        <v/>
      </c>
      <c r="I16" s="10">
        <f>I$4*I$15</f>
        <v/>
      </c>
      <c r="J16" s="10">
        <f>J$4*J$15</f>
        <v/>
      </c>
      <c r="K16" s="10">
        <f>K$4*K$15</f>
        <v/>
      </c>
      <c r="L16" s="10">
        <f>L$4*L$15</f>
        <v/>
      </c>
      <c r="M16" s="10">
        <f>M$4*M$15</f>
        <v/>
      </c>
      <c r="N16" s="10">
        <f>SUM($C16:$M16)</f>
        <v/>
      </c>
      <c r="O16" s="10">
        <f>$C16+NPV(10%,$D16:$M16)</f>
        <v/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5" t="inlineStr">
        <is>
          <t>IV. FLUX NETS DE TRESORERIE AVANT IMPÔTS</t>
        </is>
      </c>
      <c r="B18" s="6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</row>
    <row r="19">
      <c r="A19" s="2" t="inlineStr">
        <is>
          <t>Flux nets de trésorerie avant impôts</t>
        </is>
      </c>
      <c r="B19" s="3" t="inlineStr">
        <is>
          <t>USD</t>
        </is>
      </c>
      <c r="C19" s="10">
        <f>C$6-C$12-C$16</f>
        <v/>
      </c>
      <c r="D19" s="10">
        <f>D$6-D$12-D$16</f>
        <v/>
      </c>
      <c r="E19" s="10">
        <f>E$6-E$12-E$16</f>
        <v/>
      </c>
      <c r="F19" s="10">
        <f>F$6-F$12-F$16</f>
        <v/>
      </c>
      <c r="G19" s="10">
        <f>G$6-G$12-G$16</f>
        <v/>
      </c>
      <c r="H19" s="10">
        <f>H$6-H$12-H$16</f>
        <v/>
      </c>
      <c r="I19" s="10">
        <f>I$6-I$12-I$16</f>
        <v/>
      </c>
      <c r="J19" s="10">
        <f>J$6-J$12-J$16</f>
        <v/>
      </c>
      <c r="K19" s="10">
        <f>K$6-K$12-K$16</f>
        <v/>
      </c>
      <c r="L19" s="10">
        <f>L$6-L$12-L$16</f>
        <v/>
      </c>
      <c r="M19" s="10">
        <f>M$6-M$12-M$16</f>
        <v/>
      </c>
      <c r="N19" s="10">
        <f>SUM($C19:$M19)</f>
        <v/>
      </c>
      <c r="O19" s="10">
        <f>$C19+NPV(10%,$D19:$M19)</f>
        <v/>
      </c>
    </row>
    <row r="20">
      <c r="A20" s="2" t="inlineStr">
        <is>
          <t>Taux de rendement interne avant impôts</t>
        </is>
      </c>
      <c r="B20" s="3" t="inlineStr">
        <is>
          <t>%</t>
        </is>
      </c>
      <c r="C20" s="14">
        <f>IF(ISNUMBER(IRR($C19:C19)),IF(IRR($C19:C19)&gt;0,IRR($C19:C19),""),"")</f>
        <v/>
      </c>
      <c r="D20" s="14">
        <f>IF(ISNUMBER(IRR($C19:D19)),IF(IRR($C19:D19)&gt;0,IRR($C19:D19),""),"")</f>
        <v/>
      </c>
      <c r="E20" s="14">
        <f>IF(ISNUMBER(IRR($C19:E19)),IF(IRR($C19:E19)&gt;0,IRR($C19:E19),""),"")</f>
        <v/>
      </c>
      <c r="F20" s="14">
        <f>IF(ISNUMBER(IRR($C19:F19)),IF(IRR($C19:F19)&gt;0,IRR($C19:F19),""),"")</f>
        <v/>
      </c>
      <c r="G20" s="14">
        <f>IF(ISNUMBER(IRR($C19:G19)),IF(IRR($C19:G19)&gt;0,IRR($C19:G19),""),"")</f>
        <v/>
      </c>
      <c r="H20" s="14">
        <f>IF(ISNUMBER(IRR($C19:H19)),IF(IRR($C19:H19)&gt;0,IRR($C19:H19),""),"")</f>
        <v/>
      </c>
      <c r="I20" s="14">
        <f>IF(ISNUMBER(IRR($C19:I19)),IF(IRR($C19:I19)&gt;0,IRR($C19:I19),""),"")</f>
        <v/>
      </c>
      <c r="J20" s="14">
        <f>IF(ISNUMBER(IRR($C19:J19)),IF(IRR($C19:J19)&gt;0,IRR($C19:J19),""),"")</f>
        <v/>
      </c>
      <c r="K20" s="14">
        <f>IF(ISNUMBER(IRR($C19:K19)),IF(IRR($C19:K19)&gt;0,IRR($C19:K19),""),"")</f>
        <v/>
      </c>
      <c r="L20" s="14">
        <f>IF(ISNUMBER(IRR($C19:L19)),IF(IRR($C19:L19)&gt;0,IRR($C19:L19),""),"")</f>
        <v/>
      </c>
      <c r="M20" s="14">
        <f>IF(ISNUMBER(IRR($C19:M19)),IF(IRR($C19:M19)&gt;0,IRR($C19:M19),""),"")</f>
        <v/>
      </c>
      <c r="N20" s="15" t="n"/>
      <c r="O20" s="15" t="n"/>
    </row>
    <row r="21">
      <c r="A21" s="2" t="n"/>
      <c r="B21" s="3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7" t="n"/>
      <c r="O21" s="17" t="n"/>
    </row>
    <row r="22">
      <c r="A22" s="5" t="inlineStr">
        <is>
          <t>V. DROITS FIXES</t>
        </is>
      </c>
      <c r="B22" s="18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</row>
    <row r="23">
      <c r="A23" s="2" t="inlineStr">
        <is>
          <t>Droits fixes</t>
        </is>
      </c>
      <c r="B23" s="3" t="inlineStr">
        <is>
          <t>USD</t>
        </is>
      </c>
      <c r="C23" s="19" t="n">
        <v>100000</v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0">
        <f>SUM($C23:$M23)</f>
        <v/>
      </c>
      <c r="O23" s="10">
        <f>$C23+NPV(10%,$D23:$M23)</f>
        <v/>
      </c>
    </row>
    <row r="24">
      <c r="A24" s="2" t="n"/>
      <c r="B24" s="3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7" t="n"/>
      <c r="O24" s="17" t="n"/>
    </row>
    <row r="25">
      <c r="A25" s="5" t="inlineStr">
        <is>
          <t>VI. REDEVANCE SUPERFICAIRE</t>
        </is>
      </c>
      <c r="B25" s="6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>
      <c r="A26" s="2" t="inlineStr">
        <is>
          <t>Superficie de la mine</t>
        </is>
      </c>
      <c r="B26" s="3" t="inlineStr">
        <is>
          <t>km²</t>
        </is>
      </c>
      <c r="C26" s="8" t="n">
        <v>100</v>
      </c>
      <c r="D26" s="8" t="n">
        <v>100</v>
      </c>
      <c r="E26" s="8" t="n">
        <v>100</v>
      </c>
      <c r="F26" s="8" t="n">
        <v>100</v>
      </c>
      <c r="G26" s="8" t="n">
        <v>100</v>
      </c>
      <c r="H26" s="8" t="n">
        <v>100</v>
      </c>
      <c r="I26" s="8" t="n">
        <v>100</v>
      </c>
      <c r="J26" s="8" t="n">
        <v>100</v>
      </c>
      <c r="K26" s="8" t="n">
        <v>100</v>
      </c>
      <c r="L26" s="8" t="n">
        <v>100</v>
      </c>
      <c r="M26" s="8" t="n">
        <v>100</v>
      </c>
      <c r="N26" s="12" t="n"/>
      <c r="O26" s="12" t="n"/>
    </row>
    <row r="27">
      <c r="A27" s="2" t="inlineStr">
        <is>
          <t>Montant de la redevance superfiaire</t>
        </is>
      </c>
      <c r="B27" s="3" t="inlineStr">
        <is>
          <t>USD/km²</t>
        </is>
      </c>
      <c r="C27" s="19" t="n">
        <v>100</v>
      </c>
      <c r="D27" s="19" t="n">
        <v>100</v>
      </c>
      <c r="E27" s="19" t="n">
        <v>100</v>
      </c>
      <c r="F27" s="19" t="n">
        <v>100</v>
      </c>
      <c r="G27" s="19" t="n">
        <v>100</v>
      </c>
      <c r="H27" s="19" t="n">
        <v>100</v>
      </c>
      <c r="I27" s="19" t="n">
        <v>100</v>
      </c>
      <c r="J27" s="19" t="n">
        <v>100</v>
      </c>
      <c r="K27" s="19" t="n">
        <v>100</v>
      </c>
      <c r="L27" s="19" t="n">
        <v>100</v>
      </c>
      <c r="M27" s="19" t="n">
        <v>100</v>
      </c>
      <c r="N27" s="12" t="n"/>
      <c r="O27" s="12" t="n"/>
    </row>
    <row r="28">
      <c r="A28" s="2" t="inlineStr">
        <is>
          <t>Redevance superficiaire</t>
        </is>
      </c>
      <c r="B28" s="3" t="inlineStr">
        <is>
          <t>USD</t>
        </is>
      </c>
      <c r="C28" s="10">
        <f>C$26*C$27</f>
        <v/>
      </c>
      <c r="D28" s="10">
        <f>D$26*D$27</f>
        <v/>
      </c>
      <c r="E28" s="10">
        <f>E$26*E$27</f>
        <v/>
      </c>
      <c r="F28" s="10">
        <f>F$26*F$27</f>
        <v/>
      </c>
      <c r="G28" s="10">
        <f>G$26*G$27</f>
        <v/>
      </c>
      <c r="H28" s="10">
        <f>H$26*H$27</f>
        <v/>
      </c>
      <c r="I28" s="10">
        <f>I$26*I$27</f>
        <v/>
      </c>
      <c r="J28" s="10">
        <f>J$26*J$27</f>
        <v/>
      </c>
      <c r="K28" s="10">
        <f>K$26*K$27</f>
        <v/>
      </c>
      <c r="L28" s="10">
        <f>L$26*L$27</f>
        <v/>
      </c>
      <c r="M28" s="10">
        <f>M$26*M$27</f>
        <v/>
      </c>
      <c r="N28" s="10">
        <f>SUM($C28:$M28)</f>
        <v/>
      </c>
      <c r="O28" s="10">
        <f>$C28+NPV(10%,$D28:$M28)</f>
        <v/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5" t="inlineStr">
        <is>
          <t>VII. REDEVANCE MINIERE</t>
        </is>
      </c>
      <c r="B30" s="6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  <row r="31">
      <c r="A31" s="2" t="inlineStr">
        <is>
          <t>Taux de la redevance minière</t>
        </is>
      </c>
      <c r="B31" s="3" t="inlineStr">
        <is>
          <t>%</t>
        </is>
      </c>
      <c r="C31" s="21">
        <f>IF(ISNUMBER(C5),IF(C$5&lt;1300,3%,IF(C$5&lt;1500,4%,5%)),"")</f>
        <v/>
      </c>
      <c r="D31" s="21">
        <f>IF(ISNUMBER(D5),IF(D$5&lt;1300,3%,IF(D$5&lt;1500,4%,5%)),"")</f>
        <v/>
      </c>
      <c r="E31" s="21">
        <f>IF(ISNUMBER(E5),IF(E$5&lt;1300,3%,IF(E$5&lt;1500,4%,5%)),"")</f>
        <v/>
      </c>
      <c r="F31" s="21">
        <f>IF(ISNUMBER(F5),IF(F$5&lt;1300,3%,IF(F$5&lt;1500,4%,5%)),"")</f>
        <v/>
      </c>
      <c r="G31" s="21">
        <f>IF(ISNUMBER(G5),IF(G$5&lt;1300,3%,IF(G$5&lt;1500,4%,5%)),"")</f>
        <v/>
      </c>
      <c r="H31" s="21">
        <f>IF(ISNUMBER(H5),IF(H$5&lt;1300,3%,IF(H$5&lt;1500,4%,5%)),"")</f>
        <v/>
      </c>
      <c r="I31" s="21">
        <f>IF(ISNUMBER(I5),IF(I$5&lt;1300,3%,IF(I$5&lt;1500,4%,5%)),"")</f>
        <v/>
      </c>
      <c r="J31" s="21">
        <f>IF(ISNUMBER(J5),IF(J$5&lt;1300,3%,IF(J$5&lt;1500,4%,5%)),"")</f>
        <v/>
      </c>
      <c r="K31" s="21">
        <f>IF(ISNUMBER(K5),IF(K$5&lt;1300,3%,IF(K$5&lt;1500,4%,5%)),"")</f>
        <v/>
      </c>
      <c r="L31" s="21">
        <f>IF(ISNUMBER(L5),IF(L$5&lt;1300,3%,IF(L$5&lt;1500,4%,5%)),"")</f>
        <v/>
      </c>
      <c r="M31" s="21">
        <f>IF(ISNUMBER(M5),IF(M$5&lt;1300,3%,IF(M$5&lt;1500,4%,5%)),"")</f>
        <v/>
      </c>
      <c r="N31" s="12" t="n"/>
      <c r="O31" s="12" t="n"/>
    </row>
    <row r="32">
      <c r="A32" s="2" t="inlineStr">
        <is>
          <t>Redevance minière</t>
        </is>
      </c>
      <c r="B32" s="3" t="inlineStr">
        <is>
          <t>USD</t>
        </is>
      </c>
      <c r="C32" s="10">
        <f>IF(ISNUMBER(C31),C$6*C$31,0)</f>
        <v/>
      </c>
      <c r="D32" s="10">
        <f>IF(ISNUMBER(D31),D$6*D$31,0)</f>
        <v/>
      </c>
      <c r="E32" s="10">
        <f>IF(ISNUMBER(E31),E$6*E$31,0)</f>
        <v/>
      </c>
      <c r="F32" s="10">
        <f>IF(ISNUMBER(F31),F$6*F$31,0)</f>
        <v/>
      </c>
      <c r="G32" s="10">
        <f>IF(ISNUMBER(G31),G$6*G$31,0)</f>
        <v/>
      </c>
      <c r="H32" s="10">
        <f>IF(ISNUMBER(H31),H$6*H$31,0)</f>
        <v/>
      </c>
      <c r="I32" s="10">
        <f>IF(ISNUMBER(I31),I$6*I$31,0)</f>
        <v/>
      </c>
      <c r="J32" s="10">
        <f>IF(ISNUMBER(J31),J$6*J$31,0)</f>
        <v/>
      </c>
      <c r="K32" s="10">
        <f>IF(ISNUMBER(K31),K$6*K$31,0)</f>
        <v/>
      </c>
      <c r="L32" s="10">
        <f>IF(ISNUMBER(L31),L$6*L$31,0)</f>
        <v/>
      </c>
      <c r="M32" s="10">
        <f>IF(ISNUMBER(M31),M$6*M$31,0)</f>
        <v/>
      </c>
      <c r="N32" s="10">
        <f>SUM($C32:$M32)</f>
        <v/>
      </c>
      <c r="O32" s="10">
        <f>$C32+NPV(10%,$D32:$M32)</f>
        <v/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5" t="inlineStr">
        <is>
          <t>+. LA TAXE SUR LA RENTE</t>
        </is>
      </c>
      <c r="B34" s="6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</row>
    <row r="35">
      <c r="A35" s="2" t="inlineStr">
        <is>
          <t>Taux de revalorisation des pertes</t>
        </is>
      </c>
      <c r="B35" s="3" t="inlineStr">
        <is>
          <t>%</t>
        </is>
      </c>
      <c r="C35" s="21" t="n">
        <v>0.02</v>
      </c>
      <c r="D35" s="21" t="n">
        <v>0.02</v>
      </c>
      <c r="E35" s="21" t="n">
        <v>0.02</v>
      </c>
      <c r="F35" s="21" t="n">
        <v>0.02</v>
      </c>
      <c r="G35" s="21" t="n">
        <v>0.02</v>
      </c>
      <c r="H35" s="21" t="n">
        <v>0.02</v>
      </c>
      <c r="I35" s="21" t="n">
        <v>0.02</v>
      </c>
      <c r="J35" s="21" t="n">
        <v>0.02</v>
      </c>
      <c r="K35" s="21" t="n">
        <v>0.02</v>
      </c>
      <c r="L35" s="21" t="n">
        <v>0.02</v>
      </c>
      <c r="M35" s="21" t="n">
        <v>0.02</v>
      </c>
      <c r="N35" s="9" t="n"/>
      <c r="O35" s="9" t="n"/>
    </row>
    <row r="36">
      <c r="A36" s="2" t="inlineStr">
        <is>
          <t>Flux nets de trésorerie revalorisés</t>
        </is>
      </c>
      <c r="B36" s="3" t="inlineStr">
        <is>
          <t>USD</t>
        </is>
      </c>
      <c r="C36" s="9">
        <f>IF(C19&lt;0,C19*(1+C35),C19)</f>
        <v/>
      </c>
      <c r="D36" s="9">
        <f>IF(D19&lt;0,D19*(1+D35),D19)</f>
        <v/>
      </c>
      <c r="E36" s="9">
        <f>IF(E19&lt;0,E19*(1+E35),E19)</f>
        <v/>
      </c>
      <c r="F36" s="9">
        <f>IF(F19&lt;0,F19*(1+F35),F19)</f>
        <v/>
      </c>
      <c r="G36" s="9">
        <f>IF(G19&lt;0,G19*(1+G35),G19)</f>
        <v/>
      </c>
      <c r="H36" s="9">
        <f>IF(H19&lt;0,H19*(1+H35),H19)</f>
        <v/>
      </c>
      <c r="I36" s="9">
        <f>IF(I19&lt;0,I19*(1+I35),I19)</f>
        <v/>
      </c>
      <c r="J36" s="9">
        <f>IF(J19&lt;0,J19*(1+J35),J19)</f>
        <v/>
      </c>
      <c r="K36" s="9">
        <f>IF(K19&lt;0,K19*(1+K35),K19)</f>
        <v/>
      </c>
      <c r="L36" s="9">
        <f>IF(L19&lt;0,L19*(1+L35),L19)</f>
        <v/>
      </c>
      <c r="M36" s="9">
        <f>IF(M19&lt;0,M19*(1+M35),M19)</f>
        <v/>
      </c>
      <c r="N36" s="9">
        <f>SUM($C36:$M36)</f>
        <v/>
      </c>
      <c r="O36" s="9">
        <f>$C36+NPV(10%,$D36:$M36)</f>
        <v/>
      </c>
    </row>
    <row r="37">
      <c r="A37" s="2" t="inlineStr">
        <is>
          <t>Taux de rendement interne</t>
        </is>
      </c>
      <c r="B37" s="3" t="inlineStr">
        <is>
          <t>%</t>
        </is>
      </c>
      <c r="C37" s="33">
        <f>IF(ISNUMBER(IRR($C36:C36)),IF(IRR($C36:C36)&gt;0,IRR($C36:C36),""),"")</f>
        <v/>
      </c>
      <c r="D37" s="33">
        <f>IF(ISNUMBER(IRR($C36:D36)),IF(IRR($C36:D36)&gt;0,IRR($C36:D36),""),"")</f>
        <v/>
      </c>
      <c r="E37" s="33">
        <f>IF(ISNUMBER(IRR($C36:E36)),IF(IRR($C36:E36)&gt;0,IRR($C36:E36),""),"")</f>
        <v/>
      </c>
      <c r="F37" s="33">
        <f>IF(ISNUMBER(IRR($C36:F36)),IF(IRR($C36:F36)&gt;0,IRR($C36:F36),""),"")</f>
        <v/>
      </c>
      <c r="G37" s="33">
        <f>IF(ISNUMBER(IRR($C36:G36)),IF(IRR($C36:G36)&gt;0,IRR($C36:G36),""),"")</f>
        <v/>
      </c>
      <c r="H37" s="33">
        <f>IF(ISNUMBER(IRR($C36:H36)),IF(IRR($C36:H36)&gt;0,IRR($C36:H36),""),"")</f>
        <v/>
      </c>
      <c r="I37" s="33">
        <f>IF(ISNUMBER(IRR($C36:I36)),IF(IRR($C36:I36)&gt;0,IRR($C36:I36),""),"")</f>
        <v/>
      </c>
      <c r="J37" s="33">
        <f>IF(ISNUMBER(IRR($C36:J36)),IF(IRR($C36:J36)&gt;0,IRR($C36:J36),""),"")</f>
        <v/>
      </c>
      <c r="K37" s="33">
        <f>IF(ISNUMBER(IRR($C36:K36)),IF(IRR($C36:K36)&gt;0,IRR($C36:K36),""),"")</f>
        <v/>
      </c>
      <c r="L37" s="33">
        <f>IF(ISNUMBER(IRR($C36:L36)),IF(IRR($C36:L36)&gt;0,IRR($C36:L36),""),"")</f>
        <v/>
      </c>
      <c r="M37" s="33">
        <f>IF(ISNUMBER(IRR($C36:M36)),IF(IRR($C36:M36)&gt;0,IRR($C36:M36),""),"")</f>
        <v/>
      </c>
      <c r="N37" s="9" t="n"/>
      <c r="O37" s="9" t="n"/>
    </row>
    <row r="38">
      <c r="A38" s="2" t="inlineStr">
        <is>
          <t>Seuil de déclenchement de la taxe sur la rente</t>
        </is>
      </c>
      <c r="B38" s="3" t="inlineStr">
        <is>
          <t>%</t>
        </is>
      </c>
      <c r="C38" s="21" t="n">
        <v>0.15</v>
      </c>
      <c r="D38" s="21" t="n">
        <v>0.15</v>
      </c>
      <c r="E38" s="21" t="n">
        <v>0.15</v>
      </c>
      <c r="F38" s="21" t="n">
        <v>0.15</v>
      </c>
      <c r="G38" s="21" t="n">
        <v>0.15</v>
      </c>
      <c r="H38" s="21" t="n">
        <v>0.15</v>
      </c>
      <c r="I38" s="21" t="n">
        <v>0.15</v>
      </c>
      <c r="J38" s="21" t="n">
        <v>0.15</v>
      </c>
      <c r="K38" s="21" t="n">
        <v>0.15</v>
      </c>
      <c r="L38" s="21" t="n">
        <v>0.15</v>
      </c>
      <c r="M38" s="21" t="n">
        <v>0.15</v>
      </c>
      <c r="N38" s="9" t="n"/>
      <c r="O38" s="9" t="n"/>
    </row>
    <row r="39">
      <c r="A39" s="2" t="inlineStr">
        <is>
          <t>Report des pertes revalorisées</t>
        </is>
      </c>
      <c r="B39" s="3" t="n"/>
      <c r="C39" s="9" t="n"/>
      <c r="D39" s="9">
        <f>IF(C40&lt;0,C40,0)</f>
        <v/>
      </c>
      <c r="E39" s="9">
        <f>IF(D40&lt;0,D40,0)</f>
        <v/>
      </c>
      <c r="F39" s="9">
        <f>IF(E40&lt;0,E40,0)</f>
        <v/>
      </c>
      <c r="G39" s="9">
        <f>IF(F40&lt;0,F40,0)</f>
        <v/>
      </c>
      <c r="H39" s="9">
        <f>IF(G40&lt;0,G40,0)</f>
        <v/>
      </c>
      <c r="I39" s="9">
        <f>IF(H40&lt;0,H40,0)</f>
        <v/>
      </c>
      <c r="J39" s="9">
        <f>IF(I40&lt;0,I40,0)</f>
        <v/>
      </c>
      <c r="K39" s="9">
        <f>IF(J40&lt;0,J40,0)</f>
        <v/>
      </c>
      <c r="L39" s="9">
        <f>IF(K40&lt;0,K40,0)</f>
        <v/>
      </c>
      <c r="M39" s="9">
        <f>IF(L40&lt;0,L40,0)</f>
        <v/>
      </c>
      <c r="N39" s="9" t="n"/>
      <c r="O39" s="9" t="n"/>
    </row>
    <row r="40">
      <c r="A40" s="2" t="inlineStr">
        <is>
          <t>Flux nets de trésorerie après report des pertes revalorisées</t>
        </is>
      </c>
      <c r="B40" s="3" t="inlineStr">
        <is>
          <t>USD</t>
        </is>
      </c>
      <c r="C40" s="9">
        <f>C36+C39</f>
        <v/>
      </c>
      <c r="D40" s="9">
        <f>D36+D39</f>
        <v/>
      </c>
      <c r="E40" s="9">
        <f>E36+E39</f>
        <v/>
      </c>
      <c r="F40" s="9">
        <f>F36+F39</f>
        <v/>
      </c>
      <c r="G40" s="9">
        <f>G36+G39</f>
        <v/>
      </c>
      <c r="H40" s="9">
        <f>H36+H39</f>
        <v/>
      </c>
      <c r="I40" s="9">
        <f>I36+I39</f>
        <v/>
      </c>
      <c r="J40" s="9">
        <f>J36+J39</f>
        <v/>
      </c>
      <c r="K40" s="9">
        <f>K36+K39</f>
        <v/>
      </c>
      <c r="L40" s="9">
        <f>L36+L39</f>
        <v/>
      </c>
      <c r="M40" s="9">
        <f>M36+M39</f>
        <v/>
      </c>
      <c r="N40" s="9">
        <f>SUM($C40:$M40)</f>
        <v/>
      </c>
      <c r="O40" s="9">
        <f>$C40+NPV(10%,$D40:$M40)</f>
        <v/>
      </c>
    </row>
    <row r="41">
      <c r="A41" s="2" t="inlineStr">
        <is>
          <t>Taux de la taxe sur la rente</t>
        </is>
      </c>
      <c r="B41" s="3" t="inlineStr">
        <is>
          <t>%</t>
        </is>
      </c>
      <c r="C41" s="21" t="n">
        <v>0.2</v>
      </c>
      <c r="D41" s="21" t="n">
        <v>0.2</v>
      </c>
      <c r="E41" s="21" t="n">
        <v>0.2</v>
      </c>
      <c r="F41" s="21" t="n">
        <v>0.2</v>
      </c>
      <c r="G41" s="21" t="n">
        <v>0.2</v>
      </c>
      <c r="H41" s="21" t="n">
        <v>0.2</v>
      </c>
      <c r="I41" s="21" t="n">
        <v>0.2</v>
      </c>
      <c r="J41" s="21" t="n">
        <v>0.2</v>
      </c>
      <c r="K41" s="21" t="n">
        <v>0.2</v>
      </c>
      <c r="L41" s="21" t="n">
        <v>0.2</v>
      </c>
      <c r="M41" s="21" t="n">
        <v>0.2</v>
      </c>
      <c r="N41" s="9" t="n"/>
      <c r="O41" s="9" t="n"/>
    </row>
    <row r="42">
      <c r="A42" s="2" t="inlineStr">
        <is>
          <t>Taxe sur la rente</t>
        </is>
      </c>
      <c r="B42" s="3" t="inlineStr">
        <is>
          <t>USD</t>
        </is>
      </c>
      <c r="C42" s="10">
        <f>IF(C37&lt;C38,0,IF(C40&lt;0,0,C40*C41))</f>
        <v/>
      </c>
      <c r="D42" s="10">
        <f>IF(D37&lt;D38,0,IF(D40&lt;0,0,D40*D41))</f>
        <v/>
      </c>
      <c r="E42" s="10">
        <f>IF(E37&lt;E38,0,IF(E40&lt;0,0,E40*E41))</f>
        <v/>
      </c>
      <c r="F42" s="10">
        <f>IF(F37&lt;F38,0,IF(F40&lt;0,0,F40*F41))</f>
        <v/>
      </c>
      <c r="G42" s="10">
        <f>IF(G37&lt;G38,0,IF(G40&lt;0,0,G40*G41))</f>
        <v/>
      </c>
      <c r="H42" s="10">
        <f>IF(H37&lt;H38,0,IF(H40&lt;0,0,H40*H41))</f>
        <v/>
      </c>
      <c r="I42" s="10">
        <f>IF(I37&lt;I38,0,IF(I40&lt;0,0,I40*I41))</f>
        <v/>
      </c>
      <c r="J42" s="10">
        <f>IF(J37&lt;J38,0,IF(J40&lt;0,0,J40*J41))</f>
        <v/>
      </c>
      <c r="K42" s="10">
        <f>IF(K37&lt;K38,0,IF(K40&lt;0,0,K40*K41))</f>
        <v/>
      </c>
      <c r="L42" s="10">
        <f>IF(L37&lt;L38,0,IF(L40&lt;0,0,L40*L41))</f>
        <v/>
      </c>
      <c r="M42" s="10">
        <f>IF(M37&lt;M38,0,IF(M40&lt;0,0,M40*M41))</f>
        <v/>
      </c>
      <c r="N42" s="10">
        <f>SUM($C42:$M42)</f>
        <v/>
      </c>
      <c r="O42" s="10">
        <f>$C42+NPV(10%,$D42:$M42)</f>
        <v/>
      </c>
    </row>
    <row r="43">
      <c r="A43" s="2" t="n"/>
      <c r="B43" s="3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5" t="inlineStr">
        <is>
          <t>VIII. IMPÔT SUR LES SOCIETES (IS)</t>
        </is>
      </c>
      <c r="B44" s="6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</row>
    <row r="45">
      <c r="A45" s="2" t="inlineStr">
        <is>
          <t>Bénéfice avant report des pertes</t>
        </is>
      </c>
      <c r="B45" s="3" t="inlineStr">
        <is>
          <t>USD</t>
        </is>
      </c>
      <c r="C45" s="9">
        <f>C$6-C$16-C$23-C$28-C$32-C$42-'Amortissements et Emprunt'!C$25-'Amortissements et Emprunt'!C$119-'Amortissements et Emprunt'!C133-'Amortissements et Emprunt'!C$157</f>
        <v/>
      </c>
      <c r="D45" s="9">
        <f>D$6-D$16-D$23-D$28-D$32-D$42-'Amortissements et Emprunt'!D$25-'Amortissements et Emprunt'!D$119-'Amortissements et Emprunt'!D133-'Amortissements et Emprunt'!D$157</f>
        <v/>
      </c>
      <c r="E45" s="9">
        <f>E$6-E$16-E$23-E$28-E$32-E$42-'Amortissements et Emprunt'!E$25-'Amortissements et Emprunt'!E$119-'Amortissements et Emprunt'!E133-'Amortissements et Emprunt'!E$157</f>
        <v/>
      </c>
      <c r="F45" s="9">
        <f>F$6-F$16-F$23-F$28-F$32-F$42-'Amortissements et Emprunt'!F$25-'Amortissements et Emprunt'!F$119-'Amortissements et Emprunt'!F133-'Amortissements et Emprunt'!F$157</f>
        <v/>
      </c>
      <c r="G45" s="9">
        <f>G$6-G$16-G$23-G$28-G$32-G$42-'Amortissements et Emprunt'!G$25-'Amortissements et Emprunt'!G$119-'Amortissements et Emprunt'!G133-'Amortissements et Emprunt'!G$157</f>
        <v/>
      </c>
      <c r="H45" s="9">
        <f>H$6-H$16-H$23-H$28-H$32-H$42-'Amortissements et Emprunt'!H$25-'Amortissements et Emprunt'!H$119-'Amortissements et Emprunt'!H133-'Amortissements et Emprunt'!H$157</f>
        <v/>
      </c>
      <c r="I45" s="9">
        <f>I$6-I$16-I$23-I$28-I$32-I$42-'Amortissements et Emprunt'!I$25-'Amortissements et Emprunt'!I$119-'Amortissements et Emprunt'!I133-'Amortissements et Emprunt'!I$157</f>
        <v/>
      </c>
      <c r="J45" s="9">
        <f>J$6-J$16-J$23-J$28-J$32-J$42-'Amortissements et Emprunt'!J$25-'Amortissements et Emprunt'!J$119-'Amortissements et Emprunt'!J133-'Amortissements et Emprunt'!J$157</f>
        <v/>
      </c>
      <c r="K45" s="9">
        <f>K$6-K$16-K$23-K$28-K$32-K$42-'Amortissements et Emprunt'!K$25-'Amortissements et Emprunt'!K$119-'Amortissements et Emprunt'!K133-'Amortissements et Emprunt'!K$157</f>
        <v/>
      </c>
      <c r="L45" s="9">
        <f>L$6-L$16-L$23-L$28-L$32-L$42-'Amortissements et Emprunt'!L$25-'Amortissements et Emprunt'!L$119-'Amortissements et Emprunt'!L133-'Amortissements et Emprunt'!L$157</f>
        <v/>
      </c>
      <c r="M45" s="9">
        <f>M$6-M$16-M$23-M$28-M$32-M$42-'Amortissements et Emprunt'!M$25-'Amortissements et Emprunt'!M$119-'Amortissements et Emprunt'!M133-'Amortissements et Emprunt'!M$157</f>
        <v/>
      </c>
      <c r="N45" s="9">
        <f>SUM($C45:$M45)</f>
        <v/>
      </c>
      <c r="O45" s="9">
        <f>$C45+NPV(10%,$D45:$M45)</f>
        <v/>
      </c>
    </row>
    <row r="46">
      <c r="A46" s="2" t="inlineStr">
        <is>
          <t>Report des pertes</t>
        </is>
      </c>
      <c r="B46" s="3" t="inlineStr">
        <is>
          <t>USD</t>
        </is>
      </c>
      <c r="C46" s="9" t="n"/>
      <c r="D46" s="9">
        <f>IF(C47&lt;0,C47,0)</f>
        <v/>
      </c>
      <c r="E46" s="9">
        <f>IF(D47&lt;0,D47,0)</f>
        <v/>
      </c>
      <c r="F46" s="9">
        <f>IF(E47&lt;0,E47,0)</f>
        <v/>
      </c>
      <c r="G46" s="9">
        <f>IF(F47&lt;0,F47,0)</f>
        <v/>
      </c>
      <c r="H46" s="9">
        <f>IF(G47&lt;0,G47,0)</f>
        <v/>
      </c>
      <c r="I46" s="9">
        <f>IF(H47&lt;0,H47,0)</f>
        <v/>
      </c>
      <c r="J46" s="9">
        <f>IF(I47&lt;0,I47,0)</f>
        <v/>
      </c>
      <c r="K46" s="9">
        <f>IF(J47&lt;0,J47,0)</f>
        <v/>
      </c>
      <c r="L46" s="9">
        <f>IF(K47&lt;0,K47,0)</f>
        <v/>
      </c>
      <c r="M46" s="9">
        <f>IF(L47&lt;0,L47,0)</f>
        <v/>
      </c>
      <c r="N46" s="12" t="n"/>
      <c r="O46" s="12" t="n"/>
    </row>
    <row r="47">
      <c r="A47" s="2" t="inlineStr">
        <is>
          <t>Bénéfice fiscal</t>
        </is>
      </c>
      <c r="B47" s="3" t="inlineStr">
        <is>
          <t>USD</t>
        </is>
      </c>
      <c r="C47" s="9">
        <f>C$45+C$46</f>
        <v/>
      </c>
      <c r="D47" s="9">
        <f>D$45+D$46</f>
        <v/>
      </c>
      <c r="E47" s="9">
        <f>E$45+E$46</f>
        <v/>
      </c>
      <c r="F47" s="9">
        <f>F$45+F$46</f>
        <v/>
      </c>
      <c r="G47" s="9">
        <f>G$45+G$46</f>
        <v/>
      </c>
      <c r="H47" s="9">
        <f>H$45+H$46</f>
        <v/>
      </c>
      <c r="I47" s="9">
        <f>I$45+I$46</f>
        <v/>
      </c>
      <c r="J47" s="9">
        <f>J$45+J$46</f>
        <v/>
      </c>
      <c r="K47" s="9">
        <f>K$45+K$46</f>
        <v/>
      </c>
      <c r="L47" s="9">
        <f>L$45+L$46</f>
        <v/>
      </c>
      <c r="M47" s="9">
        <f>M$45+M$46</f>
        <v/>
      </c>
      <c r="N47" s="9">
        <f>SUM($C47:$M47)</f>
        <v/>
      </c>
      <c r="O47" s="9">
        <f>$C47+NPV(10%,$D47:$M47)</f>
        <v/>
      </c>
    </row>
    <row r="48">
      <c r="A48" s="2" t="inlineStr">
        <is>
          <t>Taux de l'impôt sur les sociétés</t>
        </is>
      </c>
      <c r="B48" s="3" t="inlineStr">
        <is>
          <t>%</t>
        </is>
      </c>
      <c r="C48" s="21" t="n">
        <v>0.3</v>
      </c>
      <c r="D48" s="21" t="n">
        <v>0.3</v>
      </c>
      <c r="E48" s="21" t="n">
        <v>0.3</v>
      </c>
      <c r="F48" s="21" t="n">
        <v>0.3</v>
      </c>
      <c r="G48" s="21" t="n">
        <v>0.3</v>
      </c>
      <c r="H48" s="21" t="n">
        <v>0.3</v>
      </c>
      <c r="I48" s="21" t="n">
        <v>0.3</v>
      </c>
      <c r="J48" s="21" t="n">
        <v>0.3</v>
      </c>
      <c r="K48" s="21" t="n">
        <v>0.3</v>
      </c>
      <c r="L48" s="21" t="n">
        <v>0.3</v>
      </c>
      <c r="M48" s="21" t="n">
        <v>0.3</v>
      </c>
      <c r="N48" s="12" t="n"/>
      <c r="O48" s="12" t="n"/>
    </row>
    <row r="49">
      <c r="A49" s="2" t="inlineStr">
        <is>
          <t>Impôt sur les sociétés</t>
        </is>
      </c>
      <c r="B49" s="3" t="inlineStr">
        <is>
          <t>USD</t>
        </is>
      </c>
      <c r="C49" s="10">
        <f>IF(C$47&gt;0,C$47*C$48,0)</f>
        <v/>
      </c>
      <c r="D49" s="10">
        <f>IF(D$47&gt;0,D$47*D$48,0)</f>
        <v/>
      </c>
      <c r="E49" s="10">
        <f>IF(E$47&gt;0,E$47*E$48,0)</f>
        <v/>
      </c>
      <c r="F49" s="10">
        <f>IF(F$47&gt;0,F$47*F$48,0)</f>
        <v/>
      </c>
      <c r="G49" s="10">
        <f>IF(G$47&gt;0,G$47*G$48,0)</f>
        <v/>
      </c>
      <c r="H49" s="10">
        <f>IF(H$47&gt;0,H$47*H$48,0)</f>
        <v/>
      </c>
      <c r="I49" s="10">
        <f>IF(I$47&gt;0,I$47*I$48,0)</f>
        <v/>
      </c>
      <c r="J49" s="10">
        <f>IF(J$47&gt;0,J$47*J$48,0)</f>
        <v/>
      </c>
      <c r="K49" s="10">
        <f>IF(K$47&gt;0,K$47*K$48,0)</f>
        <v/>
      </c>
      <c r="L49" s="10">
        <f>IF(L$47&gt;0,L$47*L$48,0)</f>
        <v/>
      </c>
      <c r="M49" s="10">
        <f>IF(M$47&gt;0,M$47*M$48,0)</f>
        <v/>
      </c>
      <c r="N49" s="10">
        <f>SUM($C49:$M49)</f>
        <v/>
      </c>
      <c r="O49" s="10">
        <f>$C49+NPV(10%,$D49:$M49)</f>
        <v/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5" t="inlineStr">
        <is>
          <t>IX. IMPÔT MINIMUM FORFAITAIRE (IMF)</t>
        </is>
      </c>
      <c r="B51" s="6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</row>
    <row r="52">
      <c r="A52" s="2" t="inlineStr">
        <is>
          <t>Montant minimum</t>
        </is>
      </c>
      <c r="B52" s="3" t="inlineStr">
        <is>
          <t>USD</t>
        </is>
      </c>
      <c r="C52" s="19" t="n">
        <v>2000</v>
      </c>
      <c r="D52" s="19" t="n">
        <v>2000</v>
      </c>
      <c r="E52" s="19" t="n">
        <v>2000</v>
      </c>
      <c r="F52" s="19" t="n">
        <v>2000</v>
      </c>
      <c r="G52" s="19" t="n">
        <v>2000</v>
      </c>
      <c r="H52" s="19" t="n">
        <v>2000</v>
      </c>
      <c r="I52" s="19" t="n">
        <v>2000</v>
      </c>
      <c r="J52" s="19" t="n">
        <v>2000</v>
      </c>
      <c r="K52" s="19" t="n">
        <v>2000</v>
      </c>
      <c r="L52" s="19" t="n">
        <v>2000</v>
      </c>
      <c r="M52" s="19" t="n">
        <v>2000</v>
      </c>
      <c r="N52" s="12" t="n"/>
      <c r="O52" s="12" t="n"/>
    </row>
    <row r="53">
      <c r="A53" s="2" t="inlineStr">
        <is>
          <t>Taux de l'impôt minimum forfaitaire</t>
        </is>
      </c>
      <c r="B53" s="3" t="inlineStr">
        <is>
          <t>%</t>
        </is>
      </c>
      <c r="C53" s="21" t="n">
        <v>0.01</v>
      </c>
      <c r="D53" s="21" t="n">
        <v>0.01</v>
      </c>
      <c r="E53" s="21" t="n">
        <v>0.01</v>
      </c>
      <c r="F53" s="21" t="n">
        <v>0.01</v>
      </c>
      <c r="G53" s="21" t="n">
        <v>0.01</v>
      </c>
      <c r="H53" s="21" t="n">
        <v>0.01</v>
      </c>
      <c r="I53" s="21" t="n">
        <v>0.01</v>
      </c>
      <c r="J53" s="21" t="n">
        <v>0.01</v>
      </c>
      <c r="K53" s="21" t="n">
        <v>0.01</v>
      </c>
      <c r="L53" s="21" t="n">
        <v>0.01</v>
      </c>
      <c r="M53" s="21" t="n">
        <v>0.01</v>
      </c>
      <c r="N53" s="12" t="n"/>
      <c r="O53" s="12" t="n"/>
    </row>
    <row r="54">
      <c r="A54" s="2" t="inlineStr">
        <is>
          <t>Impôt minimum forfaitaire</t>
        </is>
      </c>
      <c r="B54" s="3" t="inlineStr">
        <is>
          <t>USD</t>
        </is>
      </c>
      <c r="C54" s="10">
        <f>IF(C$6*C$53&gt;C$52,C$6*C$53,C$52)</f>
        <v/>
      </c>
      <c r="D54" s="10">
        <f>IF(D$6*D$53&gt;D$52,D$6*D$53,D$52)</f>
        <v/>
      </c>
      <c r="E54" s="10">
        <f>IF(E$6*E$53&gt;E$52,E$6*E$53,E$52)</f>
        <v/>
      </c>
      <c r="F54" s="10">
        <f>IF(F$6*F$53&gt;F$52,F$6*F$53,F$52)</f>
        <v/>
      </c>
      <c r="G54" s="10">
        <f>IF(G$6*G$53&gt;G$52,G$6*G$53,G$52)</f>
        <v/>
      </c>
      <c r="H54" s="10">
        <f>IF(H$6*H$53&gt;H$52,H$6*H$53,H$52)</f>
        <v/>
      </c>
      <c r="I54" s="10">
        <f>IF(I$6*I$53&gt;I$52,I$6*I$53,I$52)</f>
        <v/>
      </c>
      <c r="J54" s="10">
        <f>IF(J$6*J$53&gt;J$52,J$6*J$53,J$52)</f>
        <v/>
      </c>
      <c r="K54" s="10">
        <f>IF(K$6*K$53&gt;K$52,K$6*K$53,K$52)</f>
        <v/>
      </c>
      <c r="L54" s="10">
        <f>IF(L$6*L$53&gt;L$52,L$6*L$53,L$52)</f>
        <v/>
      </c>
      <c r="M54" s="10">
        <f>IF(M$6*M$53&gt;M$52,M$6*M$53,M$52)</f>
        <v/>
      </c>
      <c r="N54" s="10">
        <f>SUM($C54:$M54)</f>
        <v/>
      </c>
      <c r="O54" s="10">
        <f>$C54+NPV(10%,$D54:$M54)</f>
        <v/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5" t="inlineStr">
        <is>
          <t>X. IMPÔT SUR LES SOCIETES (IS) / IMPÔT MINIMUM FORFAITAIRE (IMF)</t>
        </is>
      </c>
      <c r="B56" s="6" t="n"/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</row>
    <row r="57">
      <c r="A57" s="2" t="inlineStr">
        <is>
          <t>Impôt sur les sociétés / Impôt minimum forfaitaire</t>
        </is>
      </c>
      <c r="B57" s="3" t="inlineStr">
        <is>
          <t>USD</t>
        </is>
      </c>
      <c r="C57" s="10">
        <f>IF(C$54&gt;C$49,C$54,C$49)</f>
        <v/>
      </c>
      <c r="D57" s="10">
        <f>IF(D$54&gt;D$49,D$54,D$49)</f>
        <v/>
      </c>
      <c r="E57" s="10">
        <f>IF(E$54&gt;E$49,E$54,E$49)</f>
        <v/>
      </c>
      <c r="F57" s="10">
        <f>IF(F$54&gt;F$49,F$54,F$49)</f>
        <v/>
      </c>
      <c r="G57" s="10">
        <f>IF(G$54&gt;G$49,G$54,G$49)</f>
        <v/>
      </c>
      <c r="H57" s="10">
        <f>IF(H$54&gt;H$49,H$54,H$49)</f>
        <v/>
      </c>
      <c r="I57" s="10">
        <f>IF(I$54&gt;I$49,I$54,I$49)</f>
        <v/>
      </c>
      <c r="J57" s="10">
        <f>IF(J$54&gt;J$49,J$54,J$49)</f>
        <v/>
      </c>
      <c r="K57" s="10">
        <f>IF(K$54&gt;K$49,K$54,K$49)</f>
        <v/>
      </c>
      <c r="L57" s="10">
        <f>IF(L$54&gt;L$49,L$54,L$49)</f>
        <v/>
      </c>
      <c r="M57" s="10">
        <f>IF(M$54&gt;M$49,M$54,M$49)</f>
        <v/>
      </c>
      <c r="N57" s="10">
        <f>SUM($C57:$M57)</f>
        <v/>
      </c>
      <c r="O57" s="10">
        <f>$C57+NPV(10%,$D57:$M57)</f>
        <v/>
      </c>
    </row>
    <row r="58">
      <c r="A58" s="29" t="n"/>
      <c r="B58" s="29" t="n"/>
      <c r="C58" s="30" t="n"/>
      <c r="D58" s="30" t="n"/>
      <c r="E58" s="30" t="n"/>
      <c r="F58" s="30" t="n"/>
      <c r="G58" s="30" t="n"/>
      <c r="H58" s="30" t="n"/>
      <c r="I58" s="30" t="n"/>
      <c r="J58" s="30" t="n"/>
      <c r="K58" s="30" t="n"/>
      <c r="L58" s="30" t="n"/>
      <c r="M58" s="30" t="n"/>
      <c r="N58" s="30" t="n"/>
      <c r="O58" s="30" t="n"/>
    </row>
    <row r="59">
      <c r="A59" s="5" t="inlineStr">
        <is>
          <t>XI. PARTICIPATION DE L'ETAT</t>
        </is>
      </c>
      <c r="B59" s="6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</row>
    <row r="60">
      <c r="A60" s="2" t="inlineStr">
        <is>
          <t>Bénéfice distribuable</t>
        </is>
      </c>
      <c r="B60" s="3" t="inlineStr">
        <is>
          <t>USD</t>
        </is>
      </c>
      <c r="C60" s="9">
        <f>IF(C$47-C$57&gt;0,C$47-C$57,0)</f>
        <v/>
      </c>
      <c r="D60" s="9">
        <f>IF(D$47-D$57&gt;0,D$47-D$57,0)</f>
        <v/>
      </c>
      <c r="E60" s="9">
        <f>IF(E$47-E$57&gt;0,E$47-E$57,0)</f>
        <v/>
      </c>
      <c r="F60" s="9">
        <f>IF(F$47-F$57&gt;0,F$47-F$57,0)</f>
        <v/>
      </c>
      <c r="G60" s="9">
        <f>IF(G$47-G$57&gt;0,G$47-G$57,0)</f>
        <v/>
      </c>
      <c r="H60" s="9">
        <f>IF(H$47-H$57&gt;0,H$47-H$57,0)</f>
        <v/>
      </c>
      <c r="I60" s="9">
        <f>IF(I$47-I$57&gt;0,I$47-I$57,0)</f>
        <v/>
      </c>
      <c r="J60" s="9">
        <f>IF(J$47-J$57&gt;0,J$47-J$57,0)</f>
        <v/>
      </c>
      <c r="K60" s="9">
        <f>IF(K$47-K$57&gt;0,K$47-K$57,0)</f>
        <v/>
      </c>
      <c r="L60" s="9">
        <f>IF(L$47-L$57&gt;0,L$47-L$57,0)</f>
        <v/>
      </c>
      <c r="M60" s="9">
        <f>IF(M$47-M$57&gt;0,M$47-M$57,0)</f>
        <v/>
      </c>
      <c r="N60" s="9">
        <f>SUM($C60:$M60)</f>
        <v/>
      </c>
      <c r="O60" s="9">
        <f>$C60+NPV(10%,$D60:$M60)</f>
        <v/>
      </c>
    </row>
    <row r="61">
      <c r="A61" s="2" t="inlineStr">
        <is>
          <t>Taux de la participation de l'Etat</t>
        </is>
      </c>
      <c r="B61" s="3" t="inlineStr">
        <is>
          <t>%</t>
        </is>
      </c>
      <c r="C61" s="21" t="n">
        <v>0.1</v>
      </c>
      <c r="D61" s="21" t="n">
        <v>0.1</v>
      </c>
      <c r="E61" s="21" t="n">
        <v>0.1</v>
      </c>
      <c r="F61" s="21" t="n">
        <v>0.1</v>
      </c>
      <c r="G61" s="21" t="n">
        <v>0.1</v>
      </c>
      <c r="H61" s="21" t="n">
        <v>0.1</v>
      </c>
      <c r="I61" s="21" t="n">
        <v>0.1</v>
      </c>
      <c r="J61" s="21" t="n">
        <v>0.1</v>
      </c>
      <c r="K61" s="21" t="n">
        <v>0.1</v>
      </c>
      <c r="L61" s="21" t="n">
        <v>0.1</v>
      </c>
      <c r="M61" s="21" t="n">
        <v>0.1</v>
      </c>
      <c r="N61" s="9" t="n"/>
      <c r="O61" s="9" t="n"/>
    </row>
    <row r="62">
      <c r="A62" s="2" t="inlineStr">
        <is>
          <t>Participation de l'Etat</t>
        </is>
      </c>
      <c r="B62" s="3" t="inlineStr">
        <is>
          <t>USD</t>
        </is>
      </c>
      <c r="C62" s="10">
        <f>C$60*C$61</f>
        <v/>
      </c>
      <c r="D62" s="10">
        <f>D$60*D$61</f>
        <v/>
      </c>
      <c r="E62" s="10">
        <f>E$60*E$61</f>
        <v/>
      </c>
      <c r="F62" s="10">
        <f>F$60*F$61</f>
        <v/>
      </c>
      <c r="G62" s="10">
        <f>G$60*G$61</f>
        <v/>
      </c>
      <c r="H62" s="10">
        <f>H$60*H$61</f>
        <v/>
      </c>
      <c r="I62" s="10">
        <f>I$60*I$61</f>
        <v/>
      </c>
      <c r="J62" s="10">
        <f>J$60*J$61</f>
        <v/>
      </c>
      <c r="K62" s="10">
        <f>K$60*K$61</f>
        <v/>
      </c>
      <c r="L62" s="10">
        <f>L$60*L$61</f>
        <v/>
      </c>
      <c r="M62" s="10">
        <f>M$60*M$61</f>
        <v/>
      </c>
      <c r="N62" s="10">
        <f>SUM($C62:$M62)</f>
        <v/>
      </c>
      <c r="O62" s="10">
        <f>$C62+NPV(10%,$D62:$M62)</f>
        <v/>
      </c>
      <c r="Q62" s="34" t="n"/>
    </row>
    <row r="63">
      <c r="A63" s="2" t="n"/>
      <c r="B63" s="3" t="n"/>
      <c r="C63" s="30" t="n"/>
      <c r="D63" s="30" t="n"/>
      <c r="E63" s="30" t="n"/>
      <c r="F63" s="30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30" t="n"/>
    </row>
    <row r="64">
      <c r="A64" s="5" t="inlineStr">
        <is>
          <t>XII. IMPÔT SUR LE REVENU DES VALEURS MOBILIERS (IRVM)</t>
        </is>
      </c>
      <c r="B64" s="6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</row>
    <row r="65">
      <c r="A65" s="2" t="inlineStr">
        <is>
          <t>Part distribuée aux actionnaires privés</t>
        </is>
      </c>
      <c r="B65" s="3" t="inlineStr">
        <is>
          <t>%</t>
        </is>
      </c>
      <c r="C65" s="35" t="n">
        <v>0.2</v>
      </c>
      <c r="D65" s="35" t="n">
        <v>0.2</v>
      </c>
      <c r="E65" s="35" t="n">
        <v>0.2</v>
      </c>
      <c r="F65" s="35" t="n">
        <v>0.2</v>
      </c>
      <c r="G65" s="35" t="n">
        <v>0.2</v>
      </c>
      <c r="H65" s="35" t="n">
        <v>0.2</v>
      </c>
      <c r="I65" s="35" t="n">
        <v>0.2</v>
      </c>
      <c r="J65" s="35" t="n">
        <v>0.2</v>
      </c>
      <c r="K65" s="35" t="n">
        <v>0.2</v>
      </c>
      <c r="L65" s="35" t="n">
        <v>0.2</v>
      </c>
      <c r="M65" s="35" t="n">
        <v>0.2</v>
      </c>
      <c r="N65" s="9" t="n"/>
      <c r="O65" s="9" t="n"/>
    </row>
    <row r="66">
      <c r="A66" s="2" t="inlineStr">
        <is>
          <t>Dividendes distribués aux actionnaires privés</t>
        </is>
      </c>
      <c r="B66" s="3" t="inlineStr">
        <is>
          <t>USD</t>
        </is>
      </c>
      <c r="C66" s="9">
        <f>C$60*C$65</f>
        <v/>
      </c>
      <c r="D66" s="9">
        <f>D$60*D$65</f>
        <v/>
      </c>
      <c r="E66" s="9">
        <f>E$60*E$65</f>
        <v/>
      </c>
      <c r="F66" s="9">
        <f>F$60*F$65</f>
        <v/>
      </c>
      <c r="G66" s="9">
        <f>G$60*G$65</f>
        <v/>
      </c>
      <c r="H66" s="9">
        <f>H$60*H$65</f>
        <v/>
      </c>
      <c r="I66" s="9">
        <f>I$60*I$65</f>
        <v/>
      </c>
      <c r="J66" s="9">
        <f>J$60*J$65</f>
        <v/>
      </c>
      <c r="K66" s="9">
        <f>K$60*K$65</f>
        <v/>
      </c>
      <c r="L66" s="9">
        <f>L$60*L$65</f>
        <v/>
      </c>
      <c r="M66" s="9">
        <f>M$60*M$65</f>
        <v/>
      </c>
      <c r="N66" s="9">
        <f>SUM($C66:$M66)</f>
        <v/>
      </c>
      <c r="O66" s="9">
        <f>$C66+NPV(10%,$D66:$M66)</f>
        <v/>
      </c>
    </row>
    <row r="67">
      <c r="A67" s="2" t="inlineStr">
        <is>
          <t>Taux de l'impöt sur le revenu des valeurs mobilières</t>
        </is>
      </c>
      <c r="B67" s="3" t="inlineStr">
        <is>
          <t>%</t>
        </is>
      </c>
      <c r="C67" s="21" t="n">
        <v>0.1</v>
      </c>
      <c r="D67" s="21" t="n">
        <v>0.1</v>
      </c>
      <c r="E67" s="21" t="n">
        <v>0.1</v>
      </c>
      <c r="F67" s="21" t="n">
        <v>0.1</v>
      </c>
      <c r="G67" s="21" t="n">
        <v>0.1</v>
      </c>
      <c r="H67" s="21" t="n">
        <v>0.1</v>
      </c>
      <c r="I67" s="21" t="n">
        <v>0.1</v>
      </c>
      <c r="J67" s="21" t="n">
        <v>0.1</v>
      </c>
      <c r="K67" s="21" t="n">
        <v>0.1</v>
      </c>
      <c r="L67" s="21" t="n">
        <v>0.1</v>
      </c>
      <c r="M67" s="21" t="n">
        <v>0.1</v>
      </c>
      <c r="N67" s="9" t="n"/>
      <c r="O67" s="9" t="n"/>
    </row>
    <row r="68">
      <c r="A68" s="2" t="inlineStr">
        <is>
          <t>Impöt sur le revenu des valeurs mobilières</t>
        </is>
      </c>
      <c r="B68" s="3" t="inlineStr">
        <is>
          <t>USD</t>
        </is>
      </c>
      <c r="C68" s="10">
        <f>C$66*C$67</f>
        <v/>
      </c>
      <c r="D68" s="10">
        <f>D$66*D$67</f>
        <v/>
      </c>
      <c r="E68" s="10">
        <f>E$66*E$67</f>
        <v/>
      </c>
      <c r="F68" s="10">
        <f>F$66*F$67</f>
        <v/>
      </c>
      <c r="G68" s="10">
        <f>G$66*G$67</f>
        <v/>
      </c>
      <c r="H68" s="10">
        <f>H$66*H$67</f>
        <v/>
      </c>
      <c r="I68" s="10">
        <f>I$66*I$67</f>
        <v/>
      </c>
      <c r="J68" s="10">
        <f>J$66*J$67</f>
        <v/>
      </c>
      <c r="K68" s="10">
        <f>K$66*K$67</f>
        <v/>
      </c>
      <c r="L68" s="10">
        <f>L$66*L$67</f>
        <v/>
      </c>
      <c r="M68" s="10">
        <f>M$66*M$67</f>
        <v/>
      </c>
      <c r="N68" s="10">
        <f>SUM($C68:$M68)</f>
        <v/>
      </c>
      <c r="O68" s="10">
        <f>$C68+NPV(10%,$D68:$M68)</f>
        <v/>
      </c>
    </row>
    <row r="69">
      <c r="A69" s="2" t="n"/>
      <c r="B69" s="3" t="n"/>
      <c r="C69" s="30" t="n"/>
      <c r="D69" s="30" t="n"/>
      <c r="E69" s="30" t="n"/>
      <c r="F69" s="30" t="n"/>
      <c r="G69" s="30" t="n"/>
      <c r="H69" s="30" t="n"/>
      <c r="I69" s="30" t="n"/>
      <c r="J69" s="30" t="n"/>
      <c r="K69" s="30" t="n"/>
      <c r="L69" s="30" t="n"/>
      <c r="M69" s="30" t="n"/>
      <c r="N69" s="30" t="n"/>
      <c r="O69" s="30" t="n"/>
    </row>
    <row r="70">
      <c r="A70" s="5" t="inlineStr">
        <is>
          <t>XIII. PRELEVEMENTS PUBLICS</t>
        </is>
      </c>
      <c r="B70" s="6" t="n"/>
      <c r="C70" s="20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</row>
    <row r="71">
      <c r="A71" s="2" t="inlineStr">
        <is>
          <t>Total des prélèvements publics</t>
        </is>
      </c>
      <c r="B71" s="3" t="inlineStr">
        <is>
          <t>USD</t>
        </is>
      </c>
      <c r="C71" s="10">
        <f>C$23+C$28+C$32+C$42+C$57+C$62+C$68</f>
        <v/>
      </c>
      <c r="D71" s="10">
        <f>D$23+D$28+D$32+D$42+D$57+D$62+D$68</f>
        <v/>
      </c>
      <c r="E71" s="10">
        <f>E$23+E$28+E$32+E$42+E$57+E$62+E$68</f>
        <v/>
      </c>
      <c r="F71" s="10">
        <f>F$23+F$28+F$32+F$42+F$57+F$62+F$68</f>
        <v/>
      </c>
      <c r="G71" s="10">
        <f>G$23+G$28+G$32+G$42+G$57+G$62+G$68</f>
        <v/>
      </c>
      <c r="H71" s="10">
        <f>H$23+H$28+H$32+H$42+H$57+H$62+H$68</f>
        <v/>
      </c>
      <c r="I71" s="10">
        <f>I$23+I$28+I$32+I$42+I$57+I$62+I$68</f>
        <v/>
      </c>
      <c r="J71" s="10">
        <f>J$23+J$28+J$32+J$42+J$57+J$62+J$68</f>
        <v/>
      </c>
      <c r="K71" s="10">
        <f>K$23+K$28+K$32+K$42+K$57+K$62+K$68</f>
        <v/>
      </c>
      <c r="L71" s="10">
        <f>L$23+L$28+L$32+L$42+L$57+L$62+L$68</f>
        <v/>
      </c>
      <c r="M71" s="10">
        <f>M$23+M$28+M$32+M$42+M$57+M$62+M$68</f>
        <v/>
      </c>
      <c r="N71" s="10">
        <f>SUM($C71:$M71)</f>
        <v/>
      </c>
      <c r="O71" s="10">
        <f>$C71+NPV(10%,$D71:$M71)</f>
        <v/>
      </c>
    </row>
    <row r="72">
      <c r="A72" s="29" t="n"/>
      <c r="B72" s="29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</row>
    <row r="73">
      <c r="A73" s="5" t="inlineStr">
        <is>
          <t>XIV. FLUX NETS DE TRESORERIE APRES IMPÔTS</t>
        </is>
      </c>
      <c r="B73" s="6" t="n"/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</row>
    <row r="74">
      <c r="A74" s="2" t="inlineStr">
        <is>
          <t>Flux nets de trésorerie après impôts</t>
        </is>
      </c>
      <c r="B74" s="3" t="inlineStr">
        <is>
          <t>USD</t>
        </is>
      </c>
      <c r="C74" s="10">
        <f>C$19-C$71</f>
        <v/>
      </c>
      <c r="D74" s="10">
        <f>D$19-D$71</f>
        <v/>
      </c>
      <c r="E74" s="10">
        <f>E$19-E$71</f>
        <v/>
      </c>
      <c r="F74" s="10">
        <f>F$19-F$71</f>
        <v/>
      </c>
      <c r="G74" s="10">
        <f>G$19-G$71</f>
        <v/>
      </c>
      <c r="H74" s="10">
        <f>H$19-H$71</f>
        <v/>
      </c>
      <c r="I74" s="10">
        <f>I$19-I$71</f>
        <v/>
      </c>
      <c r="J74" s="10">
        <f>J$19-J$71</f>
        <v/>
      </c>
      <c r="K74" s="10">
        <f>K$19-K$71</f>
        <v/>
      </c>
      <c r="L74" s="10">
        <f>L$19-L$71</f>
        <v/>
      </c>
      <c r="M74" s="10">
        <f>M$19-M$71</f>
        <v/>
      </c>
      <c r="N74" s="10">
        <f>SUM($C74:$M74)</f>
        <v/>
      </c>
      <c r="O74" s="10">
        <f>$C74+NPV(10%,$D74:$M74)</f>
        <v/>
      </c>
    </row>
    <row r="75">
      <c r="A75" s="2" t="inlineStr">
        <is>
          <t>Taux de rendement interne après impôts</t>
        </is>
      </c>
      <c r="B75" s="3" t="inlineStr">
        <is>
          <t>%</t>
        </is>
      </c>
      <c r="C75" s="14">
        <f>IF(ISNUMBER(IRR($C74:C74)),IF(IRR($C74:C74)&gt;0,IRR($C74:C74),""),"")</f>
        <v/>
      </c>
      <c r="D75" s="14">
        <f>IF(ISNUMBER(IRR($C74:D74)),IF(IRR($C74:D74)&gt;0,IRR($C74:D74),""),"")</f>
        <v/>
      </c>
      <c r="E75" s="14">
        <f>IF(ISNUMBER(IRR($C74:E74)),IF(IRR($C74:E74)&gt;0,IRR($C74:E74),""),"")</f>
        <v/>
      </c>
      <c r="F75" s="14">
        <f>IF(ISNUMBER(IRR($C74:F74)),IF(IRR($C74:F74)&gt;0,IRR($C74:F74),""),"")</f>
        <v/>
      </c>
      <c r="G75" s="14">
        <f>IF(ISNUMBER(IRR($C74:G74)),IF(IRR($C74:G74)&gt;0,IRR($C74:G74),""),"")</f>
        <v/>
      </c>
      <c r="H75" s="14">
        <f>IF(ISNUMBER(IRR($C74:H74)),IF(IRR($C74:H74)&gt;0,IRR($C74:H74),""),"")</f>
        <v/>
      </c>
      <c r="I75" s="14">
        <f>IF(ISNUMBER(IRR($C74:I74)),IF(IRR($C74:I74)&gt;0,IRR($C74:I74),""),"")</f>
        <v/>
      </c>
      <c r="J75" s="14">
        <f>IF(ISNUMBER(IRR($C74:J74)),IF(IRR($C74:J74)&gt;0,IRR($C74:J74),""),"")</f>
        <v/>
      </c>
      <c r="K75" s="14">
        <f>IF(ISNUMBER(IRR($C74:K74)),IF(IRR($C74:K74)&gt;0,IRR($C74:K74),""),"")</f>
        <v/>
      </c>
      <c r="L75" s="14">
        <f>IF(ISNUMBER(IRR($C74:L74)),IF(IRR($C74:L74)&gt;0,IRR($C74:L74),""),"")</f>
        <v/>
      </c>
      <c r="M75" s="14">
        <f>IF(ISNUMBER(IRR($C74:M74)),IF(IRR($C74:M74)&gt;0,IRR($C74:M74),""),"")</f>
        <v/>
      </c>
      <c r="N75" s="15" t="n"/>
      <c r="O75" s="15" t="n"/>
    </row>
    <row r="76">
      <c r="A76" s="29" t="n"/>
      <c r="B76" s="29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</row>
    <row r="77">
      <c r="A77" s="5" t="inlineStr">
        <is>
          <t>XV. PARTAGE DE LA RENTE MINIERE</t>
        </is>
      </c>
      <c r="B77" s="6" t="n"/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</row>
    <row r="78">
      <c r="A78" s="2" t="inlineStr">
        <is>
          <t>Rente minière</t>
        </is>
      </c>
      <c r="B78" s="3" t="inlineStr">
        <is>
          <t>USD</t>
        </is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>
        <f>N$19</f>
        <v/>
      </c>
      <c r="O78" s="10">
        <f>O$19</f>
        <v/>
      </c>
    </row>
    <row r="79">
      <c r="A79" s="2" t="inlineStr">
        <is>
          <t>Part de l'Etat</t>
        </is>
      </c>
      <c r="B79" s="3" t="inlineStr">
        <is>
          <t>%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2">
        <f>N$71/N$78</f>
        <v/>
      </c>
      <c r="O79" s="32">
        <f>O$71/O$78</f>
        <v/>
      </c>
    </row>
    <row r="80">
      <c r="A80" s="2" t="inlineStr">
        <is>
          <t>Part de l'investisseur</t>
        </is>
      </c>
      <c r="B80" s="3" t="inlineStr">
        <is>
          <t>%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2">
        <f>N$74/N$78</f>
        <v/>
      </c>
      <c r="O80" s="32">
        <f>O$74/O$78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57"/>
  <sheetViews>
    <sheetView workbookViewId="0">
      <selection activeCell="A1" sqref="A1"/>
    </sheetView>
  </sheetViews>
  <sheetFormatPr baseColWidth="8" defaultRowHeight="15"/>
  <cols>
    <col width="40.83203125" customWidth="1" min="1" max="1"/>
    <col width="10.83203125" customWidth="1" min="2" max="2"/>
    <col width="15.83203125" customWidth="1" min="3" max="3"/>
    <col width="10.83203125" customWidth="1" min="14" max="14"/>
  </cols>
  <sheetData>
    <row r="1">
      <c r="A1" s="1" t="inlineStr">
        <is>
          <t>Nom</t>
        </is>
      </c>
      <c r="B1" s="1" t="inlineStr">
        <is>
          <t>Unité</t>
        </is>
      </c>
      <c r="C1" s="1" t="inlineStr">
        <is>
          <t>Année 1</t>
        </is>
      </c>
      <c r="D1" s="1" t="inlineStr">
        <is>
          <t>Année 2</t>
        </is>
      </c>
      <c r="E1" s="1" t="inlineStr">
        <is>
          <t>Année 3</t>
        </is>
      </c>
      <c r="F1" s="1" t="inlineStr">
        <is>
          <t>Année 4</t>
        </is>
      </c>
      <c r="G1" s="1" t="inlineStr">
        <is>
          <t>Année 5</t>
        </is>
      </c>
      <c r="H1" s="1" t="inlineStr">
        <is>
          <t>Année 6</t>
        </is>
      </c>
      <c r="I1" s="1" t="inlineStr">
        <is>
          <t>Année 7</t>
        </is>
      </c>
      <c r="J1" s="1" t="inlineStr">
        <is>
          <t>Année 8</t>
        </is>
      </c>
      <c r="K1" s="1" t="inlineStr">
        <is>
          <t>Année 9</t>
        </is>
      </c>
      <c r="L1" s="1" t="inlineStr">
        <is>
          <t>Année 10</t>
        </is>
      </c>
      <c r="M1" s="1" t="inlineStr">
        <is>
          <t>Année 11</t>
        </is>
      </c>
    </row>
    <row r="2"/>
    <row r="3">
      <c r="A3" s="2" t="inlineStr">
        <is>
          <t>Durée restante maximum</t>
        </is>
      </c>
      <c r="B3" s="22" t="inlineStr">
        <is>
          <t>Années</t>
        </is>
      </c>
      <c r="C3" s="23" t="n">
        <v>11</v>
      </c>
      <c r="D3" s="23" t="n">
        <v>10</v>
      </c>
      <c r="E3" s="23" t="n">
        <v>9</v>
      </c>
      <c r="F3" s="23" t="n">
        <v>8</v>
      </c>
      <c r="G3" s="23" t="n">
        <v>7</v>
      </c>
      <c r="H3" s="23" t="n">
        <v>6</v>
      </c>
      <c r="I3" s="23" t="n">
        <v>5</v>
      </c>
      <c r="J3" s="23" t="n">
        <v>4</v>
      </c>
      <c r="K3" s="23" t="n">
        <v>3</v>
      </c>
      <c r="L3" s="23" t="n">
        <v>2</v>
      </c>
      <c r="M3" s="23" t="n">
        <v>1</v>
      </c>
    </row>
    <row r="4">
      <c r="A4" s="22" t="n"/>
      <c r="B4" s="22" t="n"/>
    </row>
    <row r="5">
      <c r="A5" s="5" t="inlineStr">
        <is>
          <t>I. AMORTISSEMENTS DES CONSTRUCTIONS INDUSTRIELLES</t>
        </is>
      </c>
      <c r="B5" s="24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</row>
    <row r="6">
      <c r="A6" s="2" t="inlineStr">
        <is>
          <t>Durée d'amortissement linéaire</t>
        </is>
      </c>
      <c r="B6" s="22" t="inlineStr">
        <is>
          <t>Années</t>
        </is>
      </c>
      <c r="C6" s="19" t="n">
        <v>10</v>
      </c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</row>
    <row r="7">
      <c r="A7" s="2" t="inlineStr">
        <is>
          <t>Coefficient d'amortissement dégressif</t>
        </is>
      </c>
      <c r="B7" s="22" t="inlineStr">
        <is>
          <t>Coefficient</t>
        </is>
      </c>
      <c r="C7" s="19" t="n">
        <v>1</v>
      </c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</row>
    <row r="8">
      <c r="A8" s="22" t="n"/>
      <c r="B8" s="22" t="n"/>
    </row>
    <row r="9">
      <c r="A9" s="2" t="inlineStr">
        <is>
          <t>Immobilisations de l'année A1</t>
        </is>
      </c>
      <c r="B9" s="22" t="n"/>
    </row>
    <row r="10">
      <c r="A10" s="22" t="inlineStr">
        <is>
          <t>Durée restante</t>
        </is>
      </c>
      <c r="B10" s="22" t="inlineStr">
        <is>
          <t>Années</t>
        </is>
      </c>
      <c r="C10" s="23">
        <f>IF($C$6&lt;C$3,$C$6,C$3)</f>
        <v/>
      </c>
      <c r="D10" s="8">
        <f>IF(C10=0,0,IF(C10-1&lt;D$3,C10-1,D$3))</f>
        <v/>
      </c>
      <c r="E10" s="8">
        <f>IF(D10=0,0,IF(D10-1&lt;E$3,D10-1,E$3))</f>
        <v/>
      </c>
      <c r="F10" s="8">
        <f>IF(E10=0,0,IF(E10-1&lt;F$3,E10-1,F$3))</f>
        <v/>
      </c>
      <c r="G10" s="8">
        <f>IF(F10=0,0,IF(F10-1&lt;G$3,F10-1,G$3))</f>
        <v/>
      </c>
      <c r="H10" s="8">
        <f>IF(G10=0,0,IF(G10-1&lt;H$3,G10-1,H$3))</f>
        <v/>
      </c>
      <c r="I10" s="8">
        <f>IF(H10=0,0,IF(H10-1&lt;I$3,H10-1,I$3))</f>
        <v/>
      </c>
      <c r="J10" s="8">
        <f>IF(I10=0,0,IF(I10-1&lt;J$3,I10-1,J$3))</f>
        <v/>
      </c>
      <c r="K10" s="8">
        <f>IF(J10=0,0,IF(J10-1&lt;K$3,J10-1,K$3))</f>
        <v/>
      </c>
      <c r="L10" s="8">
        <f>IF(K10=0,0,IF(K10-1&lt;L$3,K10-1,L$3))</f>
        <v/>
      </c>
      <c r="M10" s="8">
        <f>IF(L10=0,0,IF(L10-1&lt;M$3,L10-1,M$3))</f>
        <v/>
      </c>
    </row>
    <row r="11">
      <c r="A11" s="22" t="inlineStr">
        <is>
          <t>Base amortissable</t>
        </is>
      </c>
      <c r="B11" s="22" t="inlineStr">
        <is>
          <t>USD</t>
        </is>
      </c>
      <c r="C11" s="23">
        <f>Modèle!C$9</f>
        <v/>
      </c>
      <c r="D11" s="8">
        <f>C15</f>
        <v/>
      </c>
      <c r="E11" s="8">
        <f>D15</f>
        <v/>
      </c>
      <c r="F11" s="8">
        <f>E15</f>
        <v/>
      </c>
      <c r="G11" s="8">
        <f>F15</f>
        <v/>
      </c>
      <c r="H11" s="8">
        <f>G15</f>
        <v/>
      </c>
      <c r="I11" s="8">
        <f>H15</f>
        <v/>
      </c>
      <c r="J11" s="8">
        <f>I15</f>
        <v/>
      </c>
      <c r="K11" s="8">
        <f>J15</f>
        <v/>
      </c>
      <c r="L11" s="8">
        <f>K15</f>
        <v/>
      </c>
      <c r="M11" s="8">
        <f>L15</f>
        <v/>
      </c>
    </row>
    <row r="12">
      <c r="A12" s="22" t="inlineStr">
        <is>
          <t>Inverse de la durée restante</t>
        </is>
      </c>
      <c r="B12" s="22" t="inlineStr">
        <is>
          <t>%</t>
        </is>
      </c>
      <c r="C12" s="27">
        <f>IF(C10=0,0,1/C10)</f>
        <v/>
      </c>
      <c r="D12" s="27">
        <f>IF(D10=0,0,1/D10)</f>
        <v/>
      </c>
      <c r="E12" s="27">
        <f>IF(E10=0,0,1/E10)</f>
        <v/>
      </c>
      <c r="F12" s="27">
        <f>IF(F10=0,0,1/F10)</f>
        <v/>
      </c>
      <c r="G12" s="27">
        <f>IF(G10=0,0,1/G10)</f>
        <v/>
      </c>
      <c r="H12" s="27">
        <f>IF(H10=0,0,1/H10)</f>
        <v/>
      </c>
      <c r="I12" s="27">
        <f>IF(I10=0,0,1/I10)</f>
        <v/>
      </c>
      <c r="J12" s="27">
        <f>IF(J10=0,0,1/J10)</f>
        <v/>
      </c>
      <c r="K12" s="27">
        <f>IF(K10=0,0,1/K10)</f>
        <v/>
      </c>
      <c r="L12" s="27">
        <f>IF(L10=0,0,1/L10)</f>
        <v/>
      </c>
      <c r="M12" s="27">
        <f>IF(M10=0,0,1/M10)</f>
        <v/>
      </c>
    </row>
    <row r="13">
      <c r="A13" s="22" t="inlineStr">
        <is>
          <t>Taux dégressif</t>
        </is>
      </c>
      <c r="B13" s="22" t="inlineStr">
        <is>
          <t>%</t>
        </is>
      </c>
      <c r="C13" s="27">
        <f>IF(C10=0,0,IF($C$7*1/$C$6&gt;C12,$C$7*1/$C$6,C12))</f>
        <v/>
      </c>
      <c r="D13" s="27">
        <f>IF(D10=0,0,IF($C$7*1/$C$6&gt;D12,$C$7*1/$C$6,D12))</f>
        <v/>
      </c>
      <c r="E13" s="27">
        <f>IF(E10=0,0,IF($C$7*1/$C$6&gt;E12,$C$7*1/$C$6,E12))</f>
        <v/>
      </c>
      <c r="F13" s="27">
        <f>IF(F10=0,0,IF($C$7*1/$C$6&gt;F12,$C$7*1/$C$6,F12))</f>
        <v/>
      </c>
      <c r="G13" s="27">
        <f>IF(G10=0,0,IF($C$7*1/$C$6&gt;G12,$C$7*1/$C$6,G12))</f>
        <v/>
      </c>
      <c r="H13" s="27">
        <f>IF(H10=0,0,IF($C$7*1/$C$6&gt;H12,$C$7*1/$C$6,H12))</f>
        <v/>
      </c>
      <c r="I13" s="27">
        <f>IF(I10=0,0,IF($C$7*1/$C$6&gt;I12,$C$7*1/$C$6,I12))</f>
        <v/>
      </c>
      <c r="J13" s="27">
        <f>IF(J10=0,0,IF($C$7*1/$C$6&gt;J12,$C$7*1/$C$6,J12))</f>
        <v/>
      </c>
      <c r="K13" s="27">
        <f>IF(K10=0,0,IF($C$7*1/$C$6&gt;K12,$C$7*1/$C$6,K12))</f>
        <v/>
      </c>
      <c r="L13" s="27">
        <f>IF(L10=0,0,IF($C$7*1/$C$6&gt;L12,$C$7*1/$C$6,L12))</f>
        <v/>
      </c>
      <c r="M13" s="27">
        <f>IF(M10=0,0,IF($C$7*1/$C$6&gt;M12,$C$7*1/$C$6,M12))</f>
        <v/>
      </c>
    </row>
    <row r="14">
      <c r="A14" s="22" t="inlineStr">
        <is>
          <t>Charge d'amortissement</t>
        </is>
      </c>
      <c r="B14" s="22" t="inlineStr">
        <is>
          <t>USD</t>
        </is>
      </c>
      <c r="C14" s="8">
        <f>C11*C13</f>
        <v/>
      </c>
      <c r="D14" s="8">
        <f>D11*D13</f>
        <v/>
      </c>
      <c r="E14" s="8">
        <f>E11*E13</f>
        <v/>
      </c>
      <c r="F14" s="8">
        <f>F11*F13</f>
        <v/>
      </c>
      <c r="G14" s="8">
        <f>G11*G13</f>
        <v/>
      </c>
      <c r="H14" s="8">
        <f>H11*H13</f>
        <v/>
      </c>
      <c r="I14" s="8">
        <f>I11*I13</f>
        <v/>
      </c>
      <c r="J14" s="8">
        <f>J11*J13</f>
        <v/>
      </c>
      <c r="K14" s="8">
        <f>K11*K13</f>
        <v/>
      </c>
      <c r="L14" s="8">
        <f>L11*L13</f>
        <v/>
      </c>
      <c r="M14" s="8">
        <f>M11*M13</f>
        <v/>
      </c>
    </row>
    <row r="15">
      <c r="A15" s="22" t="inlineStr">
        <is>
          <t>Amortissement restant</t>
        </is>
      </c>
      <c r="B15" s="22" t="inlineStr">
        <is>
          <t>USD</t>
        </is>
      </c>
      <c r="C15" s="8">
        <f>C11-C14</f>
        <v/>
      </c>
      <c r="D15" s="8">
        <f>D11-D14</f>
        <v/>
      </c>
      <c r="E15" s="8">
        <f>E11-E14</f>
        <v/>
      </c>
      <c r="F15" s="8">
        <f>F11-F14</f>
        <v/>
      </c>
      <c r="G15" s="8">
        <f>G11-G14</f>
        <v/>
      </c>
      <c r="H15" s="8">
        <f>H11-H14</f>
        <v/>
      </c>
      <c r="I15" s="8">
        <f>I11-I14</f>
        <v/>
      </c>
      <c r="J15" s="8">
        <f>J11-J14</f>
        <v/>
      </c>
      <c r="K15" s="8">
        <f>K11-K14</f>
        <v/>
      </c>
      <c r="L15" s="8">
        <f>L11-L14</f>
        <v/>
      </c>
      <c r="M15" s="8">
        <f>M11-M14</f>
        <v/>
      </c>
    </row>
    <row r="16">
      <c r="A16" s="22" t="n"/>
      <c r="B16" s="22" t="n"/>
    </row>
    <row r="17">
      <c r="A17" s="2" t="inlineStr">
        <is>
          <t>Immobilisations de l'année A2</t>
        </is>
      </c>
      <c r="B17" s="22" t="n"/>
    </row>
    <row r="18">
      <c r="A18" s="22" t="inlineStr">
        <is>
          <t>Durée restante</t>
        </is>
      </c>
      <c r="B18" s="22" t="inlineStr">
        <is>
          <t>Années</t>
        </is>
      </c>
      <c r="D18" s="23">
        <f>IF($C$6&lt;D$3,$C$6,D$3)</f>
        <v/>
      </c>
      <c r="E18" s="8">
        <f>IF(D18=0,0,IF(D18-1&lt;E$3,D18-1,E$3))</f>
        <v/>
      </c>
      <c r="F18" s="8">
        <f>IF(E18=0,0,IF(E18-1&lt;F$3,E18-1,F$3))</f>
        <v/>
      </c>
      <c r="G18" s="8">
        <f>IF(F18=0,0,IF(F18-1&lt;G$3,F18-1,G$3))</f>
        <v/>
      </c>
      <c r="H18" s="8">
        <f>IF(G18=0,0,IF(G18-1&lt;H$3,G18-1,H$3))</f>
        <v/>
      </c>
      <c r="I18" s="8">
        <f>IF(H18=0,0,IF(H18-1&lt;I$3,H18-1,I$3))</f>
        <v/>
      </c>
      <c r="J18" s="8">
        <f>IF(I18=0,0,IF(I18-1&lt;J$3,I18-1,J$3))</f>
        <v/>
      </c>
      <c r="K18" s="8">
        <f>IF(J18=0,0,IF(J18-1&lt;K$3,J18-1,K$3))</f>
        <v/>
      </c>
      <c r="L18" s="8">
        <f>IF(K18=0,0,IF(K18-1&lt;L$3,K18-1,L$3))</f>
        <v/>
      </c>
      <c r="M18" s="8">
        <f>IF(L18=0,0,IF(L18-1&lt;M$3,L18-1,M$3))</f>
        <v/>
      </c>
    </row>
    <row r="19">
      <c r="A19" s="22" t="inlineStr">
        <is>
          <t>Base amortissable</t>
        </is>
      </c>
      <c r="B19" s="22" t="inlineStr">
        <is>
          <t>USD</t>
        </is>
      </c>
      <c r="D19" s="23">
        <f>Modèle!D$9</f>
        <v/>
      </c>
      <c r="E19" s="8">
        <f>D23</f>
        <v/>
      </c>
      <c r="F19" s="8">
        <f>E23</f>
        <v/>
      </c>
      <c r="G19" s="8">
        <f>F23</f>
        <v/>
      </c>
      <c r="H19" s="8">
        <f>G23</f>
        <v/>
      </c>
      <c r="I19" s="8">
        <f>H23</f>
        <v/>
      </c>
      <c r="J19" s="8">
        <f>I23</f>
        <v/>
      </c>
      <c r="K19" s="8">
        <f>J23</f>
        <v/>
      </c>
      <c r="L19" s="8">
        <f>K23</f>
        <v/>
      </c>
      <c r="M19" s="8">
        <f>L23</f>
        <v/>
      </c>
    </row>
    <row r="20">
      <c r="A20" s="22" t="inlineStr">
        <is>
          <t>Inverse de la durée restante</t>
        </is>
      </c>
      <c r="B20" s="22" t="inlineStr">
        <is>
          <t>%</t>
        </is>
      </c>
      <c r="D20" s="27">
        <f>IF(D18=0,0,1/D18)</f>
        <v/>
      </c>
      <c r="E20" s="27">
        <f>IF(E18=0,0,1/E18)</f>
        <v/>
      </c>
      <c r="F20" s="27">
        <f>IF(F18=0,0,1/F18)</f>
        <v/>
      </c>
      <c r="G20" s="27">
        <f>IF(G18=0,0,1/G18)</f>
        <v/>
      </c>
      <c r="H20" s="27">
        <f>IF(H18=0,0,1/H18)</f>
        <v/>
      </c>
      <c r="I20" s="27">
        <f>IF(I18=0,0,1/I18)</f>
        <v/>
      </c>
      <c r="J20" s="27">
        <f>IF(J18=0,0,1/J18)</f>
        <v/>
      </c>
      <c r="K20" s="27">
        <f>IF(K18=0,0,1/K18)</f>
        <v/>
      </c>
      <c r="L20" s="27">
        <f>IF(L18=0,0,1/L18)</f>
        <v/>
      </c>
      <c r="M20" s="27">
        <f>IF(M18=0,0,1/M18)</f>
        <v/>
      </c>
    </row>
    <row r="21">
      <c r="A21" s="22" t="inlineStr">
        <is>
          <t>Taux dégressif</t>
        </is>
      </c>
      <c r="B21" s="22" t="inlineStr">
        <is>
          <t>%</t>
        </is>
      </c>
      <c r="D21" s="27">
        <f>IF(D18=0,0,IF($C$7*1/$C$6&gt;D20,$C$7*1/$C$6,D20))</f>
        <v/>
      </c>
      <c r="E21" s="27">
        <f>IF(E18=0,0,IF($C$7*1/$C$6&gt;E20,$C$7*1/$C$6,E20))</f>
        <v/>
      </c>
      <c r="F21" s="27">
        <f>IF(F18=0,0,IF($C$7*1/$C$6&gt;F20,$C$7*1/$C$6,F20))</f>
        <v/>
      </c>
      <c r="G21" s="27">
        <f>IF(G18=0,0,IF($C$7*1/$C$6&gt;G20,$C$7*1/$C$6,G20))</f>
        <v/>
      </c>
      <c r="H21" s="27">
        <f>IF(H18=0,0,IF($C$7*1/$C$6&gt;H20,$C$7*1/$C$6,H20))</f>
        <v/>
      </c>
      <c r="I21" s="27">
        <f>IF(I18=0,0,IF($C$7*1/$C$6&gt;I20,$C$7*1/$C$6,I20))</f>
        <v/>
      </c>
      <c r="J21" s="27">
        <f>IF(J18=0,0,IF($C$7*1/$C$6&gt;J20,$C$7*1/$C$6,J20))</f>
        <v/>
      </c>
      <c r="K21" s="27">
        <f>IF(K18=0,0,IF($C$7*1/$C$6&gt;K20,$C$7*1/$C$6,K20))</f>
        <v/>
      </c>
      <c r="L21" s="27">
        <f>IF(L18=0,0,IF($C$7*1/$C$6&gt;L20,$C$7*1/$C$6,L20))</f>
        <v/>
      </c>
      <c r="M21" s="27">
        <f>IF(M18=0,0,IF($C$7*1/$C$6&gt;M20,$C$7*1/$C$6,M20))</f>
        <v/>
      </c>
    </row>
    <row r="22">
      <c r="A22" s="22" t="inlineStr">
        <is>
          <t>Charge d'amortissement</t>
        </is>
      </c>
      <c r="B22" s="22" t="inlineStr">
        <is>
          <t>USD</t>
        </is>
      </c>
      <c r="D22" s="8">
        <f>D19*D21</f>
        <v/>
      </c>
      <c r="E22" s="8">
        <f>E19*E21</f>
        <v/>
      </c>
      <c r="F22" s="8">
        <f>F19*F21</f>
        <v/>
      </c>
      <c r="G22" s="8">
        <f>G19*G21</f>
        <v/>
      </c>
      <c r="H22" s="8">
        <f>H19*H21</f>
        <v/>
      </c>
      <c r="I22" s="8">
        <f>I19*I21</f>
        <v/>
      </c>
      <c r="J22" s="8">
        <f>J19*J21</f>
        <v/>
      </c>
      <c r="K22" s="8">
        <f>K19*K21</f>
        <v/>
      </c>
      <c r="L22" s="8">
        <f>L19*L21</f>
        <v/>
      </c>
      <c r="M22" s="8">
        <f>M19*M21</f>
        <v/>
      </c>
    </row>
    <row r="23">
      <c r="A23" s="22" t="inlineStr">
        <is>
          <t>Amortissement restant</t>
        </is>
      </c>
      <c r="B23" s="22" t="inlineStr">
        <is>
          <t>USD</t>
        </is>
      </c>
      <c r="D23" s="8">
        <f>D19-D22</f>
        <v/>
      </c>
      <c r="E23" s="8">
        <f>E19-E22</f>
        <v/>
      </c>
      <c r="F23" s="8">
        <f>F19-F22</f>
        <v/>
      </c>
      <c r="G23" s="8">
        <f>G19-G22</f>
        <v/>
      </c>
      <c r="H23" s="8">
        <f>H19-H22</f>
        <v/>
      </c>
      <c r="I23" s="8">
        <f>I19-I22</f>
        <v/>
      </c>
      <c r="J23" s="8">
        <f>J19-J22</f>
        <v/>
      </c>
      <c r="K23" s="8">
        <f>K19-K22</f>
        <v/>
      </c>
      <c r="L23" s="8">
        <f>L19-L22</f>
        <v/>
      </c>
      <c r="M23" s="8">
        <f>M19-M22</f>
        <v/>
      </c>
    </row>
    <row r="24">
      <c r="A24" s="22" t="n"/>
      <c r="B24" s="22" t="n"/>
    </row>
    <row r="25">
      <c r="A25" s="2" t="inlineStr">
        <is>
          <t>Amortissements des constructions industrielles</t>
        </is>
      </c>
      <c r="B25" s="22" t="inlineStr">
        <is>
          <t>USD</t>
        </is>
      </c>
      <c r="C25" s="8">
        <f>C$14+C$22</f>
        <v/>
      </c>
      <c r="D25" s="8">
        <f>D$14+D$22</f>
        <v/>
      </c>
      <c r="E25" s="8">
        <f>E$14+E$22</f>
        <v/>
      </c>
      <c r="F25" s="8">
        <f>F$14+F$22</f>
        <v/>
      </c>
      <c r="G25" s="8">
        <f>G$14+G$22</f>
        <v/>
      </c>
      <c r="H25" s="8">
        <f>H$14+H$22</f>
        <v/>
      </c>
      <c r="I25" s="8">
        <f>I$14+I$22</f>
        <v/>
      </c>
      <c r="J25" s="8">
        <f>J$14+J$22</f>
        <v/>
      </c>
      <c r="K25" s="8">
        <f>K$14+K$22</f>
        <v/>
      </c>
      <c r="L25" s="8">
        <f>L$14+L$22</f>
        <v/>
      </c>
      <c r="M25" s="8">
        <f>M$14+M$22</f>
        <v/>
      </c>
    </row>
    <row r="26">
      <c r="A26" s="22" t="n"/>
      <c r="B26" s="22" t="n"/>
    </row>
    <row r="27">
      <c r="A27" s="5" t="inlineStr">
        <is>
          <t>II. AMORTISSEMENTS DES BIENS D'EQUIPEMENT</t>
        </is>
      </c>
      <c r="B27" s="24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</row>
    <row r="28">
      <c r="A28" s="2" t="inlineStr">
        <is>
          <t>Durée d'amortissement linéaire</t>
        </is>
      </c>
      <c r="B28" s="22" t="inlineStr">
        <is>
          <t>Années</t>
        </is>
      </c>
      <c r="C28" s="19" t="n">
        <v>5</v>
      </c>
    </row>
    <row r="29">
      <c r="A29" s="2" t="inlineStr">
        <is>
          <t>Coefficient d'amortissement dégressif</t>
        </is>
      </c>
      <c r="B29" s="22" t="inlineStr">
        <is>
          <t>Coefficient</t>
        </is>
      </c>
      <c r="C29" s="19" t="n">
        <v>2</v>
      </c>
    </row>
    <row r="30">
      <c r="A30" s="22" t="n"/>
      <c r="B30" s="22" t="n"/>
    </row>
    <row r="31">
      <c r="A31" s="2" t="inlineStr">
        <is>
          <t>Immobilisations de l'année A1</t>
        </is>
      </c>
      <c r="B31" s="22" t="n"/>
    </row>
    <row r="32">
      <c r="A32" s="22" t="inlineStr">
        <is>
          <t>Durée restante</t>
        </is>
      </c>
      <c r="B32" s="22" t="inlineStr">
        <is>
          <t>Années</t>
        </is>
      </c>
      <c r="C32" s="23">
        <f>IF($C$28&lt;C$3,$C$28,C$3)</f>
        <v/>
      </c>
      <c r="D32" s="8">
        <f>IF(C32=0,0,IF(C32-1&lt;D$3,C32-1,D$3))</f>
        <v/>
      </c>
      <c r="E32" s="8">
        <f>IF(D32=0,0,IF(D32-1&lt;E$3,D32-1,E$3))</f>
        <v/>
      </c>
      <c r="F32" s="8">
        <f>IF(E32=0,0,IF(E32-1&lt;F$3,E32-1,F$3))</f>
        <v/>
      </c>
      <c r="G32" s="8">
        <f>IF(F32=0,0,IF(F32-1&lt;G$3,F32-1,G$3))</f>
        <v/>
      </c>
      <c r="H32" s="8">
        <f>IF(G32=0,0,IF(G32-1&lt;H$3,G32-1,H$3))</f>
        <v/>
      </c>
      <c r="I32" s="8">
        <f>IF(H32=0,0,IF(H32-1&lt;I$3,H32-1,I$3))</f>
        <v/>
      </c>
      <c r="J32" s="8">
        <f>IF(I32=0,0,IF(I32-1&lt;J$3,I32-1,J$3))</f>
        <v/>
      </c>
      <c r="K32" s="8">
        <f>IF(J32=0,0,IF(J32-1&lt;K$3,J32-1,K$3))</f>
        <v/>
      </c>
      <c r="L32" s="8">
        <f>IF(K32=0,0,IF(K32-1&lt;L$3,K32-1,L$3))</f>
        <v/>
      </c>
      <c r="M32" s="8">
        <f>IF(L32=0,0,IF(L32-1&lt;M$3,L32-1,M$3))</f>
        <v/>
      </c>
    </row>
    <row r="33">
      <c r="A33" s="22" t="inlineStr">
        <is>
          <t>Base amortissable</t>
        </is>
      </c>
      <c r="B33" s="22" t="inlineStr">
        <is>
          <t>USD</t>
        </is>
      </c>
      <c r="C33" s="23">
        <f>Modèle!C$10</f>
        <v/>
      </c>
      <c r="D33" s="8">
        <f>C37</f>
        <v/>
      </c>
      <c r="E33" s="8">
        <f>D37</f>
        <v/>
      </c>
      <c r="F33" s="8">
        <f>E37</f>
        <v/>
      </c>
      <c r="G33" s="8">
        <f>F37</f>
        <v/>
      </c>
      <c r="H33" s="8">
        <f>G37</f>
        <v/>
      </c>
      <c r="I33" s="8">
        <f>H37</f>
        <v/>
      </c>
      <c r="J33" s="8">
        <f>I37</f>
        <v/>
      </c>
      <c r="K33" s="8">
        <f>J37</f>
        <v/>
      </c>
      <c r="L33" s="8">
        <f>K37</f>
        <v/>
      </c>
      <c r="M33" s="8">
        <f>L37</f>
        <v/>
      </c>
    </row>
    <row r="34">
      <c r="A34" s="22" t="inlineStr">
        <is>
          <t>Inverse de la durée restante</t>
        </is>
      </c>
      <c r="B34" s="22" t="inlineStr">
        <is>
          <t>%</t>
        </is>
      </c>
      <c r="C34" s="27">
        <f>IF(C32=0,0,1/C32)</f>
        <v/>
      </c>
      <c r="D34" s="27">
        <f>IF(D32=0,0,1/D32)</f>
        <v/>
      </c>
      <c r="E34" s="27">
        <f>IF(E32=0,0,1/E32)</f>
        <v/>
      </c>
      <c r="F34" s="27">
        <f>IF(F32=0,0,1/F32)</f>
        <v/>
      </c>
      <c r="G34" s="27">
        <f>IF(G32=0,0,1/G32)</f>
        <v/>
      </c>
      <c r="H34" s="27">
        <f>IF(H32=0,0,1/H32)</f>
        <v/>
      </c>
      <c r="I34" s="27">
        <f>IF(I32=0,0,1/I32)</f>
        <v/>
      </c>
      <c r="J34" s="27">
        <f>IF(J32=0,0,1/J32)</f>
        <v/>
      </c>
      <c r="K34" s="27">
        <f>IF(K32=0,0,1/K32)</f>
        <v/>
      </c>
      <c r="L34" s="27">
        <f>IF(L32=0,0,1/L32)</f>
        <v/>
      </c>
      <c r="M34" s="27">
        <f>IF(M32=0,0,1/M32)</f>
        <v/>
      </c>
    </row>
    <row r="35">
      <c r="A35" s="22" t="inlineStr">
        <is>
          <t>Taux dégressif</t>
        </is>
      </c>
      <c r="B35" s="22" t="inlineStr">
        <is>
          <t>%</t>
        </is>
      </c>
      <c r="C35" s="27">
        <f>IF(C32=0,0,IF($C$29*1/$C$28&gt;C34,$C$29*1/$C$28,C34))</f>
        <v/>
      </c>
      <c r="D35" s="27">
        <f>IF(D32=0,0,IF($C$29*1/$C$28&gt;D34,$C$29*1/$C$28,D34))</f>
        <v/>
      </c>
      <c r="E35" s="27">
        <f>IF(E32=0,0,IF($C$29*1/$C$28&gt;E34,$C$29*1/$C$28,E34))</f>
        <v/>
      </c>
      <c r="F35" s="27">
        <f>IF(F32=0,0,IF($C$29*1/$C$28&gt;F34,$C$29*1/$C$28,F34))</f>
        <v/>
      </c>
      <c r="G35" s="27">
        <f>IF(G32=0,0,IF($C$29*1/$C$28&gt;G34,$C$29*1/$C$28,G34))</f>
        <v/>
      </c>
      <c r="H35" s="27">
        <f>IF(H32=0,0,IF($C$29*1/$C$28&gt;H34,$C$29*1/$C$28,H34))</f>
        <v/>
      </c>
      <c r="I35" s="27">
        <f>IF(I32=0,0,IF($C$29*1/$C$28&gt;I34,$C$29*1/$C$28,I34))</f>
        <v/>
      </c>
      <c r="J35" s="27">
        <f>IF(J32=0,0,IF($C$29*1/$C$28&gt;J34,$C$29*1/$C$28,J34))</f>
        <v/>
      </c>
      <c r="K35" s="27">
        <f>IF(K32=0,0,IF($C$29*1/$C$28&gt;K34,$C$29*1/$C$28,K34))</f>
        <v/>
      </c>
      <c r="L35" s="27">
        <f>IF(L32=0,0,IF($C$29*1/$C$28&gt;L34,$C$29*1/$C$28,L34))</f>
        <v/>
      </c>
      <c r="M35" s="27">
        <f>IF(M32=0,0,IF($C$29*1/$C$28&gt;M34,$C$29*1/$C$28,M34))</f>
        <v/>
      </c>
    </row>
    <row r="36">
      <c r="A36" s="22" t="inlineStr">
        <is>
          <t>Charge d'amortissement</t>
        </is>
      </c>
      <c r="B36" s="22" t="inlineStr">
        <is>
          <t>USD</t>
        </is>
      </c>
      <c r="C36" s="8">
        <f>C33*C35</f>
        <v/>
      </c>
      <c r="D36" s="8">
        <f>D33*D35</f>
        <v/>
      </c>
      <c r="E36" s="8">
        <f>E33*E35</f>
        <v/>
      </c>
      <c r="F36" s="8">
        <f>F33*F35</f>
        <v/>
      </c>
      <c r="G36" s="8">
        <f>G33*G35</f>
        <v/>
      </c>
      <c r="H36" s="8">
        <f>H33*H35</f>
        <v/>
      </c>
      <c r="I36" s="8">
        <f>I33*I35</f>
        <v/>
      </c>
      <c r="J36" s="8">
        <f>J33*J35</f>
        <v/>
      </c>
      <c r="K36" s="8">
        <f>K33*K35</f>
        <v/>
      </c>
      <c r="L36" s="8">
        <f>L33*L35</f>
        <v/>
      </c>
      <c r="M36" s="8">
        <f>M33*M35</f>
        <v/>
      </c>
    </row>
    <row r="37">
      <c r="A37" s="22" t="inlineStr">
        <is>
          <t>Amortissement restant</t>
        </is>
      </c>
      <c r="B37" s="22" t="inlineStr">
        <is>
          <t>USD</t>
        </is>
      </c>
      <c r="C37" s="8">
        <f>C33-C36</f>
        <v/>
      </c>
      <c r="D37" s="8">
        <f>D33-D36</f>
        <v/>
      </c>
      <c r="E37" s="8">
        <f>E33-E36</f>
        <v/>
      </c>
      <c r="F37" s="8">
        <f>F33-F36</f>
        <v/>
      </c>
      <c r="G37" s="8">
        <f>G33-G36</f>
        <v/>
      </c>
      <c r="H37" s="8">
        <f>H33-H36</f>
        <v/>
      </c>
      <c r="I37" s="8">
        <f>I33-I36</f>
        <v/>
      </c>
      <c r="J37" s="8">
        <f>J33-J36</f>
        <v/>
      </c>
      <c r="K37" s="8">
        <f>K33-K36</f>
        <v/>
      </c>
      <c r="L37" s="8">
        <f>L33-L36</f>
        <v/>
      </c>
      <c r="M37" s="8">
        <f>M33-M36</f>
        <v/>
      </c>
    </row>
    <row r="38">
      <c r="A38" s="22" t="n"/>
      <c r="B38" s="22" t="n"/>
    </row>
    <row r="39">
      <c r="A39" s="2" t="inlineStr">
        <is>
          <t>Immobilisations de l'année A2</t>
        </is>
      </c>
      <c r="B39" s="22" t="n"/>
    </row>
    <row r="40">
      <c r="A40" s="22" t="inlineStr">
        <is>
          <t>Durée restante</t>
        </is>
      </c>
      <c r="B40" s="22" t="inlineStr">
        <is>
          <t>Années</t>
        </is>
      </c>
      <c r="D40" s="23">
        <f>IF($C$28&lt;D$3,$C$28,D$3)</f>
        <v/>
      </c>
      <c r="E40" s="8">
        <f>IF(D40=0,0,IF(D40-1&lt;E$3,D40-1,E$3))</f>
        <v/>
      </c>
      <c r="F40" s="8">
        <f>IF(E40=0,0,IF(E40-1&lt;F$3,E40-1,F$3))</f>
        <v/>
      </c>
      <c r="G40" s="8">
        <f>IF(F40=0,0,IF(F40-1&lt;G$3,F40-1,G$3))</f>
        <v/>
      </c>
      <c r="H40" s="8">
        <f>IF(G40=0,0,IF(G40-1&lt;H$3,G40-1,H$3))</f>
        <v/>
      </c>
      <c r="I40" s="8">
        <f>IF(H40=0,0,IF(H40-1&lt;I$3,H40-1,I$3))</f>
        <v/>
      </c>
      <c r="J40" s="8">
        <f>IF(I40=0,0,IF(I40-1&lt;J$3,I40-1,J$3))</f>
        <v/>
      </c>
      <c r="K40" s="8">
        <f>IF(J40=0,0,IF(J40-1&lt;K$3,J40-1,K$3))</f>
        <v/>
      </c>
      <c r="L40" s="8">
        <f>IF(K40=0,0,IF(K40-1&lt;L$3,K40-1,L$3))</f>
        <v/>
      </c>
      <c r="M40" s="8">
        <f>IF(L40=0,0,IF(L40-1&lt;M$3,L40-1,M$3))</f>
        <v/>
      </c>
    </row>
    <row r="41">
      <c r="A41" s="22" t="inlineStr">
        <is>
          <t>Base amortissable</t>
        </is>
      </c>
      <c r="B41" s="22" t="inlineStr">
        <is>
          <t>USD</t>
        </is>
      </c>
      <c r="D41" s="23">
        <f>Modèle!D$10</f>
        <v/>
      </c>
      <c r="E41" s="8">
        <f>D45</f>
        <v/>
      </c>
      <c r="F41" s="8">
        <f>E45</f>
        <v/>
      </c>
      <c r="G41" s="8">
        <f>F45</f>
        <v/>
      </c>
      <c r="H41" s="8">
        <f>G45</f>
        <v/>
      </c>
      <c r="I41" s="8">
        <f>H45</f>
        <v/>
      </c>
      <c r="J41" s="8">
        <f>I45</f>
        <v/>
      </c>
      <c r="K41" s="8">
        <f>J45</f>
        <v/>
      </c>
      <c r="L41" s="8">
        <f>K45</f>
        <v/>
      </c>
      <c r="M41" s="8">
        <f>L45</f>
        <v/>
      </c>
    </row>
    <row r="42">
      <c r="A42" s="22" t="inlineStr">
        <is>
          <t>Inverse de la durée restante</t>
        </is>
      </c>
      <c r="B42" s="22" t="inlineStr">
        <is>
          <t>%</t>
        </is>
      </c>
      <c r="D42" s="27">
        <f>IF(D40=0,0,1/D40)</f>
        <v/>
      </c>
      <c r="E42" s="27">
        <f>IF(E40=0,0,1/E40)</f>
        <v/>
      </c>
      <c r="F42" s="27">
        <f>IF(F40=0,0,1/F40)</f>
        <v/>
      </c>
      <c r="G42" s="27">
        <f>IF(G40=0,0,1/G40)</f>
        <v/>
      </c>
      <c r="H42" s="27">
        <f>IF(H40=0,0,1/H40)</f>
        <v/>
      </c>
      <c r="I42" s="27">
        <f>IF(I40=0,0,1/I40)</f>
        <v/>
      </c>
      <c r="J42" s="27">
        <f>IF(J40=0,0,1/J40)</f>
        <v/>
      </c>
      <c r="K42" s="27">
        <f>IF(K40=0,0,1/K40)</f>
        <v/>
      </c>
      <c r="L42" s="27">
        <f>IF(L40=0,0,1/L40)</f>
        <v/>
      </c>
      <c r="M42" s="27">
        <f>IF(M40=0,0,1/M40)</f>
        <v/>
      </c>
    </row>
    <row r="43">
      <c r="A43" s="22" t="inlineStr">
        <is>
          <t>Taux dégressif</t>
        </is>
      </c>
      <c r="B43" s="22" t="inlineStr">
        <is>
          <t>%</t>
        </is>
      </c>
      <c r="D43" s="27">
        <f>IF(D40=0,0,IF($C$29*1/$C$28&gt;D42,$C$29*1/$C$28,D42))</f>
        <v/>
      </c>
      <c r="E43" s="27">
        <f>IF(E40=0,0,IF($C$29*1/$C$28&gt;E42,$C$29*1/$C$28,E42))</f>
        <v/>
      </c>
      <c r="F43" s="27">
        <f>IF(F40=0,0,IF($C$29*1/$C$28&gt;F42,$C$29*1/$C$28,F42))</f>
        <v/>
      </c>
      <c r="G43" s="27">
        <f>IF(G40=0,0,IF($C$29*1/$C$28&gt;G42,$C$29*1/$C$28,G42))</f>
        <v/>
      </c>
      <c r="H43" s="27">
        <f>IF(H40=0,0,IF($C$29*1/$C$28&gt;H42,$C$29*1/$C$28,H42))</f>
        <v/>
      </c>
      <c r="I43" s="27">
        <f>IF(I40=0,0,IF($C$29*1/$C$28&gt;I42,$C$29*1/$C$28,I42))</f>
        <v/>
      </c>
      <c r="J43" s="27">
        <f>IF(J40=0,0,IF($C$29*1/$C$28&gt;J42,$C$29*1/$C$28,J42))</f>
        <v/>
      </c>
      <c r="K43" s="27">
        <f>IF(K40=0,0,IF($C$29*1/$C$28&gt;K42,$C$29*1/$C$28,K42))</f>
        <v/>
      </c>
      <c r="L43" s="27">
        <f>IF(L40=0,0,IF($C$29*1/$C$28&gt;L42,$C$29*1/$C$28,L42))</f>
        <v/>
      </c>
      <c r="M43" s="27">
        <f>IF(M40=0,0,IF($C$29*1/$C$28&gt;M42,$C$29*1/$C$28,M42))</f>
        <v/>
      </c>
    </row>
    <row r="44">
      <c r="A44" s="22" t="inlineStr">
        <is>
          <t>Charge d'amortissement</t>
        </is>
      </c>
      <c r="B44" s="22" t="inlineStr">
        <is>
          <t>USD</t>
        </is>
      </c>
      <c r="D44" s="8">
        <f>D41*D43</f>
        <v/>
      </c>
      <c r="E44" s="8">
        <f>E41*E43</f>
        <v/>
      </c>
      <c r="F44" s="8">
        <f>F41*F43</f>
        <v/>
      </c>
      <c r="G44" s="8">
        <f>G41*G43</f>
        <v/>
      </c>
      <c r="H44" s="8">
        <f>H41*H43</f>
        <v/>
      </c>
      <c r="I44" s="8">
        <f>I41*I43</f>
        <v/>
      </c>
      <c r="J44" s="8">
        <f>J41*J43</f>
        <v/>
      </c>
      <c r="K44" s="8">
        <f>K41*K43</f>
        <v/>
      </c>
      <c r="L44" s="8">
        <f>L41*L43</f>
        <v/>
      </c>
      <c r="M44" s="8">
        <f>M41*M43</f>
        <v/>
      </c>
    </row>
    <row r="45">
      <c r="A45" s="22" t="inlineStr">
        <is>
          <t>Amortissement restant</t>
        </is>
      </c>
      <c r="B45" s="22" t="inlineStr">
        <is>
          <t>USD</t>
        </is>
      </c>
      <c r="D45" s="8">
        <f>D41-D44</f>
        <v/>
      </c>
      <c r="E45" s="8">
        <f>E41-E44</f>
        <v/>
      </c>
      <c r="F45" s="8">
        <f>F41-F44</f>
        <v/>
      </c>
      <c r="G45" s="8">
        <f>G41-G44</f>
        <v/>
      </c>
      <c r="H45" s="8">
        <f>H41-H44</f>
        <v/>
      </c>
      <c r="I45" s="8">
        <f>I41-I44</f>
        <v/>
      </c>
      <c r="J45" s="8">
        <f>J41-J44</f>
        <v/>
      </c>
      <c r="K45" s="8">
        <f>K41-K44</f>
        <v/>
      </c>
      <c r="L45" s="8">
        <f>L41-L44</f>
        <v/>
      </c>
      <c r="M45" s="8">
        <f>M41-M44</f>
        <v/>
      </c>
    </row>
    <row r="46">
      <c r="A46" s="22" t="n"/>
      <c r="B46" s="22" t="n"/>
    </row>
    <row r="47">
      <c r="A47" s="2" t="inlineStr">
        <is>
          <t>Immobilisations de l'année A3</t>
        </is>
      </c>
      <c r="B47" s="22" t="n"/>
    </row>
    <row r="48">
      <c r="A48" s="22" t="inlineStr">
        <is>
          <t>Durée restante</t>
        </is>
      </c>
      <c r="B48" s="22" t="inlineStr">
        <is>
          <t>Années</t>
        </is>
      </c>
      <c r="E48" s="23">
        <f>IF($C$28&lt;E$3,$C$28,E$3)</f>
        <v/>
      </c>
      <c r="F48" s="8">
        <f>IF(E48=0,0,IF(E48-1&lt;F$3,E48-1,F$3))</f>
        <v/>
      </c>
      <c r="G48" s="8">
        <f>IF(F48=0,0,IF(F48-1&lt;G$3,F48-1,G$3))</f>
        <v/>
      </c>
      <c r="H48" s="8">
        <f>IF(G48=0,0,IF(G48-1&lt;H$3,G48-1,H$3))</f>
        <v/>
      </c>
      <c r="I48" s="8">
        <f>IF(H48=0,0,IF(H48-1&lt;I$3,H48-1,I$3))</f>
        <v/>
      </c>
      <c r="J48" s="8">
        <f>IF(I48=0,0,IF(I48-1&lt;J$3,I48-1,J$3))</f>
        <v/>
      </c>
      <c r="K48" s="8">
        <f>IF(J48=0,0,IF(J48-1&lt;K$3,J48-1,K$3))</f>
        <v/>
      </c>
      <c r="L48" s="8">
        <f>IF(K48=0,0,IF(K48-1&lt;L$3,K48-1,L$3))</f>
        <v/>
      </c>
      <c r="M48" s="8">
        <f>IF(L48=0,0,IF(L48-1&lt;M$3,L48-1,M$3))</f>
        <v/>
      </c>
    </row>
    <row r="49">
      <c r="A49" s="22" t="inlineStr">
        <is>
          <t>Base amortissable</t>
        </is>
      </c>
      <c r="B49" s="22" t="inlineStr">
        <is>
          <t>USD</t>
        </is>
      </c>
      <c r="E49" s="23">
        <f>Modèle!E$10</f>
        <v/>
      </c>
      <c r="F49" s="8">
        <f>E53</f>
        <v/>
      </c>
      <c r="G49" s="8">
        <f>F53</f>
        <v/>
      </c>
      <c r="H49" s="8">
        <f>G53</f>
        <v/>
      </c>
      <c r="I49" s="8">
        <f>H53</f>
        <v/>
      </c>
      <c r="J49" s="8">
        <f>I53</f>
        <v/>
      </c>
      <c r="K49" s="8">
        <f>J53</f>
        <v/>
      </c>
      <c r="L49" s="8">
        <f>K53</f>
        <v/>
      </c>
      <c r="M49" s="8">
        <f>L53</f>
        <v/>
      </c>
    </row>
    <row r="50">
      <c r="A50" s="22" t="inlineStr">
        <is>
          <t>Inverse de la durée restante</t>
        </is>
      </c>
      <c r="B50" s="22" t="inlineStr">
        <is>
          <t>%</t>
        </is>
      </c>
      <c r="E50" s="27">
        <f>IF(E48=0,0,1/E48)</f>
        <v/>
      </c>
      <c r="F50" s="27">
        <f>IF(F48=0,0,1/F48)</f>
        <v/>
      </c>
      <c r="G50" s="27">
        <f>IF(G48=0,0,1/G48)</f>
        <v/>
      </c>
      <c r="H50" s="27">
        <f>IF(H48=0,0,1/H48)</f>
        <v/>
      </c>
      <c r="I50" s="27">
        <f>IF(I48=0,0,1/I48)</f>
        <v/>
      </c>
      <c r="J50" s="27">
        <f>IF(J48=0,0,1/J48)</f>
        <v/>
      </c>
      <c r="K50" s="27">
        <f>IF(K48=0,0,1/K48)</f>
        <v/>
      </c>
      <c r="L50" s="27">
        <f>IF(L48=0,0,1/L48)</f>
        <v/>
      </c>
      <c r="M50" s="27">
        <f>IF(M48=0,0,1/M48)</f>
        <v/>
      </c>
    </row>
    <row r="51">
      <c r="A51" s="22" t="inlineStr">
        <is>
          <t>Taux dégressif</t>
        </is>
      </c>
      <c r="B51" s="22" t="inlineStr">
        <is>
          <t>%</t>
        </is>
      </c>
      <c r="E51" s="27">
        <f>IF(E48=0,0,IF($C$29*1/$C$28&gt;E50,$C$29*1/$C$28,E50))</f>
        <v/>
      </c>
      <c r="F51" s="27">
        <f>IF(F48=0,0,IF($C$29*1/$C$28&gt;F50,$C$29*1/$C$28,F50))</f>
        <v/>
      </c>
      <c r="G51" s="27">
        <f>IF(G48=0,0,IF($C$29*1/$C$28&gt;G50,$C$29*1/$C$28,G50))</f>
        <v/>
      </c>
      <c r="H51" s="27">
        <f>IF(H48=0,0,IF($C$29*1/$C$28&gt;H50,$C$29*1/$C$28,H50))</f>
        <v/>
      </c>
      <c r="I51" s="27">
        <f>IF(I48=0,0,IF($C$29*1/$C$28&gt;I50,$C$29*1/$C$28,I50))</f>
        <v/>
      </c>
      <c r="J51" s="27">
        <f>IF(J48=0,0,IF($C$29*1/$C$28&gt;J50,$C$29*1/$C$28,J50))</f>
        <v/>
      </c>
      <c r="K51" s="27">
        <f>IF(K48=0,0,IF($C$29*1/$C$28&gt;K50,$C$29*1/$C$28,K50))</f>
        <v/>
      </c>
      <c r="L51" s="27">
        <f>IF(L48=0,0,IF($C$29*1/$C$28&gt;L50,$C$29*1/$C$28,L50))</f>
        <v/>
      </c>
      <c r="M51" s="27">
        <f>IF(M48=0,0,IF($C$29*1/$C$28&gt;M50,$C$29*1/$C$28,M50))</f>
        <v/>
      </c>
    </row>
    <row r="52">
      <c r="A52" s="22" t="inlineStr">
        <is>
          <t>Charge d'amortissement</t>
        </is>
      </c>
      <c r="B52" s="22" t="inlineStr">
        <is>
          <t>USD</t>
        </is>
      </c>
      <c r="E52" s="8">
        <f>E49*E51</f>
        <v/>
      </c>
      <c r="F52" s="8">
        <f>F49*F51</f>
        <v/>
      </c>
      <c r="G52" s="8">
        <f>G49*G51</f>
        <v/>
      </c>
      <c r="H52" s="8">
        <f>H49*H51</f>
        <v/>
      </c>
      <c r="I52" s="8">
        <f>I49*I51</f>
        <v/>
      </c>
      <c r="J52" s="8">
        <f>J49*J51</f>
        <v/>
      </c>
      <c r="K52" s="8">
        <f>K49*K51</f>
        <v/>
      </c>
      <c r="L52" s="8">
        <f>L49*L51</f>
        <v/>
      </c>
      <c r="M52" s="8">
        <f>M49*M51</f>
        <v/>
      </c>
    </row>
    <row r="53">
      <c r="A53" s="22" t="inlineStr">
        <is>
          <t>Amortissement restant</t>
        </is>
      </c>
      <c r="B53" s="22" t="inlineStr">
        <is>
          <t>USD</t>
        </is>
      </c>
      <c r="E53" s="8">
        <f>E49-E52</f>
        <v/>
      </c>
      <c r="F53" s="8">
        <f>F49-F52</f>
        <v/>
      </c>
      <c r="G53" s="8">
        <f>G49-G52</f>
        <v/>
      </c>
      <c r="H53" s="8">
        <f>H49-H52</f>
        <v/>
      </c>
      <c r="I53" s="8">
        <f>I49-I52</f>
        <v/>
      </c>
      <c r="J53" s="8">
        <f>J49-J52</f>
        <v/>
      </c>
      <c r="K53" s="8">
        <f>K49-K52</f>
        <v/>
      </c>
      <c r="L53" s="8">
        <f>L49-L52</f>
        <v/>
      </c>
      <c r="M53" s="8">
        <f>M49-M52</f>
        <v/>
      </c>
    </row>
    <row r="54">
      <c r="A54" s="22" t="n"/>
      <c r="B54" s="22" t="n"/>
    </row>
    <row r="55">
      <c r="A55" s="2" t="inlineStr">
        <is>
          <t>Immobilisations de l'année A4</t>
        </is>
      </c>
      <c r="B55" s="22" t="n"/>
    </row>
    <row r="56">
      <c r="A56" s="22" t="inlineStr">
        <is>
          <t>Durée restante</t>
        </is>
      </c>
      <c r="B56" s="22" t="inlineStr">
        <is>
          <t>Années</t>
        </is>
      </c>
      <c r="F56" s="23">
        <f>IF($C$28&lt;F$3,$C$28,F$3)</f>
        <v/>
      </c>
      <c r="G56" s="8">
        <f>IF(F56=0,0,IF(F56-1&lt;G$3,F56-1,G$3))</f>
        <v/>
      </c>
      <c r="H56" s="8">
        <f>IF(G56=0,0,IF(G56-1&lt;H$3,G56-1,H$3))</f>
        <v/>
      </c>
      <c r="I56" s="8">
        <f>IF(H56=0,0,IF(H56-1&lt;I$3,H56-1,I$3))</f>
        <v/>
      </c>
      <c r="J56" s="8">
        <f>IF(I56=0,0,IF(I56-1&lt;J$3,I56-1,J$3))</f>
        <v/>
      </c>
      <c r="K56" s="8">
        <f>IF(J56=0,0,IF(J56-1&lt;K$3,J56-1,K$3))</f>
        <v/>
      </c>
      <c r="L56" s="8">
        <f>IF(K56=0,0,IF(K56-1&lt;L$3,K56-1,L$3))</f>
        <v/>
      </c>
      <c r="M56" s="8">
        <f>IF(L56=0,0,IF(L56-1&lt;M$3,L56-1,M$3))</f>
        <v/>
      </c>
    </row>
    <row r="57">
      <c r="A57" s="22" t="inlineStr">
        <is>
          <t>Base amortissable</t>
        </is>
      </c>
      <c r="B57" s="22" t="inlineStr">
        <is>
          <t>USD</t>
        </is>
      </c>
      <c r="F57" s="23">
        <f>Modèle!F$10</f>
        <v/>
      </c>
      <c r="G57" s="8">
        <f>F61</f>
        <v/>
      </c>
      <c r="H57" s="8">
        <f>G61</f>
        <v/>
      </c>
      <c r="I57" s="8">
        <f>H61</f>
        <v/>
      </c>
      <c r="J57" s="8">
        <f>I61</f>
        <v/>
      </c>
      <c r="K57" s="8">
        <f>J61</f>
        <v/>
      </c>
      <c r="L57" s="8">
        <f>K61</f>
        <v/>
      </c>
      <c r="M57" s="8">
        <f>L61</f>
        <v/>
      </c>
    </row>
    <row r="58">
      <c r="A58" s="22" t="inlineStr">
        <is>
          <t>Inverse de la durée restante</t>
        </is>
      </c>
      <c r="B58" s="22" t="inlineStr">
        <is>
          <t>%</t>
        </is>
      </c>
      <c r="F58" s="27">
        <f>IF(F56=0,0,1/F56)</f>
        <v/>
      </c>
      <c r="G58" s="27">
        <f>IF(G56=0,0,1/G56)</f>
        <v/>
      </c>
      <c r="H58" s="27">
        <f>IF(H56=0,0,1/H56)</f>
        <v/>
      </c>
      <c r="I58" s="27">
        <f>IF(I56=0,0,1/I56)</f>
        <v/>
      </c>
      <c r="J58" s="27">
        <f>IF(J56=0,0,1/J56)</f>
        <v/>
      </c>
      <c r="K58" s="27">
        <f>IF(K56=0,0,1/K56)</f>
        <v/>
      </c>
      <c r="L58" s="27">
        <f>IF(L56=0,0,1/L56)</f>
        <v/>
      </c>
      <c r="M58" s="27">
        <f>IF(M56=0,0,1/M56)</f>
        <v/>
      </c>
    </row>
    <row r="59">
      <c r="A59" s="22" t="inlineStr">
        <is>
          <t>Taux dégressif</t>
        </is>
      </c>
      <c r="B59" s="22" t="inlineStr">
        <is>
          <t>%</t>
        </is>
      </c>
      <c r="F59" s="27">
        <f>IF(F56=0,0,IF($C$29*1/$C$28&gt;F58,$C$29*1/$C$28,F58))</f>
        <v/>
      </c>
      <c r="G59" s="27">
        <f>IF(G56=0,0,IF($C$29*1/$C$28&gt;G58,$C$29*1/$C$28,G58))</f>
        <v/>
      </c>
      <c r="H59" s="27">
        <f>IF(H56=0,0,IF($C$29*1/$C$28&gt;H58,$C$29*1/$C$28,H58))</f>
        <v/>
      </c>
      <c r="I59" s="27">
        <f>IF(I56=0,0,IF($C$29*1/$C$28&gt;I58,$C$29*1/$C$28,I58))</f>
        <v/>
      </c>
      <c r="J59" s="27">
        <f>IF(J56=0,0,IF($C$29*1/$C$28&gt;J58,$C$29*1/$C$28,J58))</f>
        <v/>
      </c>
      <c r="K59" s="27">
        <f>IF(K56=0,0,IF($C$29*1/$C$28&gt;K58,$C$29*1/$C$28,K58))</f>
        <v/>
      </c>
      <c r="L59" s="27">
        <f>IF(L56=0,0,IF($C$29*1/$C$28&gt;L58,$C$29*1/$C$28,L58))</f>
        <v/>
      </c>
      <c r="M59" s="27">
        <f>IF(M56=0,0,IF($C$29*1/$C$28&gt;M58,$C$29*1/$C$28,M58))</f>
        <v/>
      </c>
    </row>
    <row r="60">
      <c r="A60" s="22" t="inlineStr">
        <is>
          <t>Charge d'amortissement</t>
        </is>
      </c>
      <c r="B60" s="22" t="inlineStr">
        <is>
          <t>USD</t>
        </is>
      </c>
      <c r="F60" s="8">
        <f>F57*F59</f>
        <v/>
      </c>
      <c r="G60" s="8">
        <f>G57*G59</f>
        <v/>
      </c>
      <c r="H60" s="8">
        <f>H57*H59</f>
        <v/>
      </c>
      <c r="I60" s="8">
        <f>I57*I59</f>
        <v/>
      </c>
      <c r="J60" s="8">
        <f>J57*J59</f>
        <v/>
      </c>
      <c r="K60" s="8">
        <f>K57*K59</f>
        <v/>
      </c>
      <c r="L60" s="8">
        <f>L57*L59</f>
        <v/>
      </c>
      <c r="M60" s="8">
        <f>M57*M59</f>
        <v/>
      </c>
    </row>
    <row r="61">
      <c r="A61" s="22" t="inlineStr">
        <is>
          <t>Amortissement restant</t>
        </is>
      </c>
      <c r="B61" s="22" t="inlineStr">
        <is>
          <t>USD</t>
        </is>
      </c>
      <c r="F61" s="8">
        <f>F57-F60</f>
        <v/>
      </c>
      <c r="G61" s="8">
        <f>G57-G60</f>
        <v/>
      </c>
      <c r="H61" s="8">
        <f>H57-H60</f>
        <v/>
      </c>
      <c r="I61" s="8">
        <f>I57-I60</f>
        <v/>
      </c>
      <c r="J61" s="8">
        <f>J57-J60</f>
        <v/>
      </c>
      <c r="K61" s="8">
        <f>K57-K60</f>
        <v/>
      </c>
      <c r="L61" s="8">
        <f>L57-L60</f>
        <v/>
      </c>
      <c r="M61" s="8">
        <f>M57-M60</f>
        <v/>
      </c>
    </row>
    <row r="62">
      <c r="A62" s="22" t="n"/>
      <c r="B62" s="22" t="n"/>
    </row>
    <row r="63">
      <c r="A63" s="2" t="inlineStr">
        <is>
          <t>Immobilisations de l'année A5</t>
        </is>
      </c>
      <c r="B63" s="22" t="n"/>
    </row>
    <row r="64">
      <c r="A64" s="22" t="inlineStr">
        <is>
          <t>Durée restante</t>
        </is>
      </c>
      <c r="B64" s="22" t="inlineStr">
        <is>
          <t>Années</t>
        </is>
      </c>
      <c r="G64" s="23">
        <f>IF($C$28&lt;G$3,$C$28,G$3)</f>
        <v/>
      </c>
      <c r="H64" s="8">
        <f>IF(G64=0,0,IF(G64-1&lt;H$3,G64-1,H$3))</f>
        <v/>
      </c>
      <c r="I64" s="8">
        <f>IF(H64=0,0,IF(H64-1&lt;I$3,H64-1,I$3))</f>
        <v/>
      </c>
      <c r="J64" s="8">
        <f>IF(I64=0,0,IF(I64-1&lt;J$3,I64-1,J$3))</f>
        <v/>
      </c>
      <c r="K64" s="8">
        <f>IF(J64=0,0,IF(J64-1&lt;K$3,J64-1,K$3))</f>
        <v/>
      </c>
      <c r="L64" s="8">
        <f>IF(K64=0,0,IF(K64-1&lt;L$3,K64-1,L$3))</f>
        <v/>
      </c>
      <c r="M64" s="8">
        <f>IF(L64=0,0,IF(L64-1&lt;M$3,L64-1,M$3))</f>
        <v/>
      </c>
    </row>
    <row r="65">
      <c r="A65" s="22" t="inlineStr">
        <is>
          <t>Base amortissable</t>
        </is>
      </c>
      <c r="B65" s="22" t="inlineStr">
        <is>
          <t>USD</t>
        </is>
      </c>
      <c r="G65" s="23">
        <f>Modèle!G$10</f>
        <v/>
      </c>
      <c r="H65" s="8">
        <f>G69</f>
        <v/>
      </c>
      <c r="I65" s="8">
        <f>H69</f>
        <v/>
      </c>
      <c r="J65" s="8">
        <f>I69</f>
        <v/>
      </c>
      <c r="K65" s="8">
        <f>J69</f>
        <v/>
      </c>
      <c r="L65" s="8">
        <f>K69</f>
        <v/>
      </c>
      <c r="M65" s="8">
        <f>L69</f>
        <v/>
      </c>
    </row>
    <row r="66">
      <c r="A66" s="22" t="inlineStr">
        <is>
          <t>Inverse de la durée restante</t>
        </is>
      </c>
      <c r="B66" s="22" t="inlineStr">
        <is>
          <t>%</t>
        </is>
      </c>
      <c r="G66" s="27">
        <f>IF(G64=0,0,1/G64)</f>
        <v/>
      </c>
      <c r="H66" s="27">
        <f>IF(H64=0,0,1/H64)</f>
        <v/>
      </c>
      <c r="I66" s="27">
        <f>IF(I64=0,0,1/I64)</f>
        <v/>
      </c>
      <c r="J66" s="27">
        <f>IF(J64=0,0,1/J64)</f>
        <v/>
      </c>
      <c r="K66" s="27">
        <f>IF(K64=0,0,1/K64)</f>
        <v/>
      </c>
      <c r="L66" s="27">
        <f>IF(L64=0,0,1/L64)</f>
        <v/>
      </c>
      <c r="M66" s="27">
        <f>IF(M64=0,0,1/M64)</f>
        <v/>
      </c>
    </row>
    <row r="67">
      <c r="A67" s="22" t="inlineStr">
        <is>
          <t>Taux dégressif</t>
        </is>
      </c>
      <c r="B67" s="22" t="inlineStr">
        <is>
          <t>%</t>
        </is>
      </c>
      <c r="G67" s="27">
        <f>IF(G64=0,0,IF($C$29*1/$C$28&gt;G66,$C$29*1/$C$28,G66))</f>
        <v/>
      </c>
      <c r="H67" s="27">
        <f>IF(H64=0,0,IF($C$29*1/$C$28&gt;H66,$C$29*1/$C$28,H66))</f>
        <v/>
      </c>
      <c r="I67" s="27">
        <f>IF(I64=0,0,IF($C$29*1/$C$28&gt;I66,$C$29*1/$C$28,I66))</f>
        <v/>
      </c>
      <c r="J67" s="27">
        <f>IF(J64=0,0,IF($C$29*1/$C$28&gt;J66,$C$29*1/$C$28,J66))</f>
        <v/>
      </c>
      <c r="K67" s="27">
        <f>IF(K64=0,0,IF($C$29*1/$C$28&gt;K66,$C$29*1/$C$28,K66))</f>
        <v/>
      </c>
      <c r="L67" s="27">
        <f>IF(L64=0,0,IF($C$29*1/$C$28&gt;L66,$C$29*1/$C$28,L66))</f>
        <v/>
      </c>
      <c r="M67" s="27">
        <f>IF(M64=0,0,IF($C$29*1/$C$28&gt;M66,$C$29*1/$C$28,M66))</f>
        <v/>
      </c>
    </row>
    <row r="68">
      <c r="A68" s="22" t="inlineStr">
        <is>
          <t>Charge d'amortissement</t>
        </is>
      </c>
      <c r="B68" s="22" t="inlineStr">
        <is>
          <t>USD</t>
        </is>
      </c>
      <c r="G68" s="8">
        <f>G65*G67</f>
        <v/>
      </c>
      <c r="H68" s="8">
        <f>H65*H67</f>
        <v/>
      </c>
      <c r="I68" s="8">
        <f>I65*I67</f>
        <v/>
      </c>
      <c r="J68" s="8">
        <f>J65*J67</f>
        <v/>
      </c>
      <c r="K68" s="8">
        <f>K65*K67</f>
        <v/>
      </c>
      <c r="L68" s="8">
        <f>L65*L67</f>
        <v/>
      </c>
      <c r="M68" s="8">
        <f>M65*M67</f>
        <v/>
      </c>
    </row>
    <row r="69">
      <c r="A69" s="22" t="inlineStr">
        <is>
          <t>Amortissement restant</t>
        </is>
      </c>
      <c r="B69" s="22" t="inlineStr">
        <is>
          <t>USD</t>
        </is>
      </c>
      <c r="G69" s="8">
        <f>G65-G68</f>
        <v/>
      </c>
      <c r="H69" s="8">
        <f>H65-H68</f>
        <v/>
      </c>
      <c r="I69" s="8">
        <f>I65-I68</f>
        <v/>
      </c>
      <c r="J69" s="8">
        <f>J65-J68</f>
        <v/>
      </c>
      <c r="K69" s="8">
        <f>K65-K68</f>
        <v/>
      </c>
      <c r="L69" s="8">
        <f>L65-L68</f>
        <v/>
      </c>
      <c r="M69" s="8">
        <f>M65-M68</f>
        <v/>
      </c>
    </row>
    <row r="70">
      <c r="A70" s="22" t="n"/>
      <c r="B70" s="22" t="n"/>
    </row>
    <row r="71">
      <c r="A71" s="2" t="inlineStr">
        <is>
          <t>Immobilisations de l'année A6</t>
        </is>
      </c>
      <c r="B71" s="22" t="n"/>
    </row>
    <row r="72">
      <c r="A72" s="22" t="inlineStr">
        <is>
          <t>Durée restante</t>
        </is>
      </c>
      <c r="B72" s="22" t="inlineStr">
        <is>
          <t>Années</t>
        </is>
      </c>
      <c r="H72" s="23">
        <f>IF($C$28&lt;H$3,$C$28,H$3)</f>
        <v/>
      </c>
      <c r="I72" s="8">
        <f>IF(H72=0,0,IF(H72-1&lt;I$3,H72-1,I$3))</f>
        <v/>
      </c>
      <c r="J72" s="8">
        <f>IF(I72=0,0,IF(I72-1&lt;J$3,I72-1,J$3))</f>
        <v/>
      </c>
      <c r="K72" s="8">
        <f>IF(J72=0,0,IF(J72-1&lt;K$3,J72-1,K$3))</f>
        <v/>
      </c>
      <c r="L72" s="8">
        <f>IF(K72=0,0,IF(K72-1&lt;L$3,K72-1,L$3))</f>
        <v/>
      </c>
      <c r="M72" s="8">
        <f>IF(L72=0,0,IF(L72-1&lt;M$3,L72-1,M$3))</f>
        <v/>
      </c>
    </row>
    <row r="73">
      <c r="A73" s="22" t="inlineStr">
        <is>
          <t>Base amortissable</t>
        </is>
      </c>
      <c r="B73" s="22" t="inlineStr">
        <is>
          <t>USD</t>
        </is>
      </c>
      <c r="H73" s="23">
        <f>Modèle!H$10</f>
        <v/>
      </c>
      <c r="I73" s="8">
        <f>H77</f>
        <v/>
      </c>
      <c r="J73" s="8">
        <f>I77</f>
        <v/>
      </c>
      <c r="K73" s="8">
        <f>J77</f>
        <v/>
      </c>
      <c r="L73" s="8">
        <f>K77</f>
        <v/>
      </c>
      <c r="M73" s="8">
        <f>L77</f>
        <v/>
      </c>
    </row>
    <row r="74">
      <c r="A74" s="22" t="inlineStr">
        <is>
          <t>Inverse de la durée restante</t>
        </is>
      </c>
      <c r="B74" s="22" t="inlineStr">
        <is>
          <t>%</t>
        </is>
      </c>
      <c r="H74" s="27">
        <f>IF(H72=0,0,1/H72)</f>
        <v/>
      </c>
      <c r="I74" s="27">
        <f>IF(I72=0,0,1/I72)</f>
        <v/>
      </c>
      <c r="J74" s="27">
        <f>IF(J72=0,0,1/J72)</f>
        <v/>
      </c>
      <c r="K74" s="27">
        <f>IF(K72=0,0,1/K72)</f>
        <v/>
      </c>
      <c r="L74" s="27">
        <f>IF(L72=0,0,1/L72)</f>
        <v/>
      </c>
      <c r="M74" s="27">
        <f>IF(M72=0,0,1/M72)</f>
        <v/>
      </c>
    </row>
    <row r="75">
      <c r="A75" s="22" t="inlineStr">
        <is>
          <t>Taux dégressif</t>
        </is>
      </c>
      <c r="B75" s="22" t="inlineStr">
        <is>
          <t>%</t>
        </is>
      </c>
      <c r="H75" s="27">
        <f>IF(H72=0,0,IF($C$29*1/$C$28&gt;H74,$C$29*1/$C$28,H74))</f>
        <v/>
      </c>
      <c r="I75" s="27">
        <f>IF(I72=0,0,IF($C$29*1/$C$28&gt;I74,$C$29*1/$C$28,I74))</f>
        <v/>
      </c>
      <c r="J75" s="27">
        <f>IF(J72=0,0,IF($C$29*1/$C$28&gt;J74,$C$29*1/$C$28,J74))</f>
        <v/>
      </c>
      <c r="K75" s="27">
        <f>IF(K72=0,0,IF($C$29*1/$C$28&gt;K74,$C$29*1/$C$28,K74))</f>
        <v/>
      </c>
      <c r="L75" s="27">
        <f>IF(L72=0,0,IF($C$29*1/$C$28&gt;L74,$C$29*1/$C$28,L74))</f>
        <v/>
      </c>
      <c r="M75" s="27">
        <f>IF(M72=0,0,IF($C$29*1/$C$28&gt;M74,$C$29*1/$C$28,M74))</f>
        <v/>
      </c>
    </row>
    <row r="76">
      <c r="A76" s="22" t="inlineStr">
        <is>
          <t>Charge d'amortissement</t>
        </is>
      </c>
      <c r="B76" s="22" t="inlineStr">
        <is>
          <t>USD</t>
        </is>
      </c>
      <c r="H76" s="8">
        <f>H73*H75</f>
        <v/>
      </c>
      <c r="I76" s="8">
        <f>I73*I75</f>
        <v/>
      </c>
      <c r="J76" s="8">
        <f>J73*J75</f>
        <v/>
      </c>
      <c r="K76" s="8">
        <f>K73*K75</f>
        <v/>
      </c>
      <c r="L76" s="8">
        <f>L73*L75</f>
        <v/>
      </c>
      <c r="M76" s="8">
        <f>M73*M75</f>
        <v/>
      </c>
    </row>
    <row r="77">
      <c r="A77" s="22" t="inlineStr">
        <is>
          <t>Amortissement restant</t>
        </is>
      </c>
      <c r="B77" s="22" t="inlineStr">
        <is>
          <t>USD</t>
        </is>
      </c>
      <c r="H77" s="8">
        <f>H73-H76</f>
        <v/>
      </c>
      <c r="I77" s="8">
        <f>I73-I76</f>
        <v/>
      </c>
      <c r="J77" s="8">
        <f>J73-J76</f>
        <v/>
      </c>
      <c r="K77" s="8">
        <f>K73-K76</f>
        <v/>
      </c>
      <c r="L77" s="8">
        <f>L73-L76</f>
        <v/>
      </c>
      <c r="M77" s="8">
        <f>M73-M76</f>
        <v/>
      </c>
    </row>
    <row r="78">
      <c r="A78" s="22" t="n"/>
      <c r="B78" s="22" t="n"/>
    </row>
    <row r="79">
      <c r="A79" s="2" t="inlineStr">
        <is>
          <t>Immobilisations de l'année A7</t>
        </is>
      </c>
      <c r="B79" s="22" t="n"/>
    </row>
    <row r="80">
      <c r="A80" s="22" t="inlineStr">
        <is>
          <t>Durée restante</t>
        </is>
      </c>
      <c r="B80" s="22" t="inlineStr">
        <is>
          <t>Années</t>
        </is>
      </c>
      <c r="I80" s="23">
        <f>IF($C$28&lt;I$3,$C$28,I$3)</f>
        <v/>
      </c>
      <c r="J80" s="8">
        <f>IF(I80=0,0,IF(I80-1&lt;J$3,I80-1,J$3))</f>
        <v/>
      </c>
      <c r="K80" s="8">
        <f>IF(J80=0,0,IF(J80-1&lt;K$3,J80-1,K$3))</f>
        <v/>
      </c>
      <c r="L80" s="8">
        <f>IF(K80=0,0,IF(K80-1&lt;L$3,K80-1,L$3))</f>
        <v/>
      </c>
      <c r="M80" s="8">
        <f>IF(L80=0,0,IF(L80-1&lt;M$3,L80-1,M$3))</f>
        <v/>
      </c>
    </row>
    <row r="81">
      <c r="A81" s="22" t="inlineStr">
        <is>
          <t>Base amortissable</t>
        </is>
      </c>
      <c r="B81" s="22" t="inlineStr">
        <is>
          <t>USD</t>
        </is>
      </c>
      <c r="I81" s="23">
        <f>Modèle!I$10</f>
        <v/>
      </c>
      <c r="J81" s="8">
        <f>I85</f>
        <v/>
      </c>
      <c r="K81" s="8">
        <f>J85</f>
        <v/>
      </c>
      <c r="L81" s="8">
        <f>K85</f>
        <v/>
      </c>
      <c r="M81" s="8">
        <f>L85</f>
        <v/>
      </c>
    </row>
    <row r="82">
      <c r="A82" s="22" t="inlineStr">
        <is>
          <t>Inverse de la durée restante</t>
        </is>
      </c>
      <c r="B82" s="22" t="inlineStr">
        <is>
          <t>%</t>
        </is>
      </c>
      <c r="I82" s="27">
        <f>IF(I80=0,0,1/I80)</f>
        <v/>
      </c>
      <c r="J82" s="27">
        <f>IF(J80=0,0,1/J80)</f>
        <v/>
      </c>
      <c r="K82" s="27">
        <f>IF(K80=0,0,1/K80)</f>
        <v/>
      </c>
      <c r="L82" s="27">
        <f>IF(L80=0,0,1/L80)</f>
        <v/>
      </c>
      <c r="M82" s="27">
        <f>IF(M80=0,0,1/M80)</f>
        <v/>
      </c>
    </row>
    <row r="83">
      <c r="A83" s="22" t="inlineStr">
        <is>
          <t>Taux dégressif</t>
        </is>
      </c>
      <c r="B83" s="22" t="inlineStr">
        <is>
          <t>%</t>
        </is>
      </c>
      <c r="I83" s="27">
        <f>IF(I80=0,0,IF($C$29*1/$C$28&gt;I82,$C$29*1/$C$28,I82))</f>
        <v/>
      </c>
      <c r="J83" s="27">
        <f>IF(J80=0,0,IF($C$29*1/$C$28&gt;J82,$C$29*1/$C$28,J82))</f>
        <v/>
      </c>
      <c r="K83" s="27">
        <f>IF(K80=0,0,IF($C$29*1/$C$28&gt;K82,$C$29*1/$C$28,K82))</f>
        <v/>
      </c>
      <c r="L83" s="27">
        <f>IF(L80=0,0,IF($C$29*1/$C$28&gt;L82,$C$29*1/$C$28,L82))</f>
        <v/>
      </c>
      <c r="M83" s="27">
        <f>IF(M80=0,0,IF($C$29*1/$C$28&gt;M82,$C$29*1/$C$28,M82))</f>
        <v/>
      </c>
    </row>
    <row r="84">
      <c r="A84" s="22" t="inlineStr">
        <is>
          <t>Charge d'amortissement</t>
        </is>
      </c>
      <c r="B84" s="22" t="inlineStr">
        <is>
          <t>USD</t>
        </is>
      </c>
      <c r="I84" s="8">
        <f>I81*I83</f>
        <v/>
      </c>
      <c r="J84" s="8">
        <f>J81*J83</f>
        <v/>
      </c>
      <c r="K84" s="8">
        <f>K81*K83</f>
        <v/>
      </c>
      <c r="L84" s="8">
        <f>L81*L83</f>
        <v/>
      </c>
      <c r="M84" s="8">
        <f>M81*M83</f>
        <v/>
      </c>
    </row>
    <row r="85">
      <c r="A85" s="22" t="inlineStr">
        <is>
          <t>Amortissement restant</t>
        </is>
      </c>
      <c r="B85" s="22" t="inlineStr">
        <is>
          <t>USD</t>
        </is>
      </c>
      <c r="I85" s="8">
        <f>I81-I84</f>
        <v/>
      </c>
      <c r="J85" s="8">
        <f>J81-J84</f>
        <v/>
      </c>
      <c r="K85" s="8">
        <f>K81-K84</f>
        <v/>
      </c>
      <c r="L85" s="8">
        <f>L81-L84</f>
        <v/>
      </c>
      <c r="M85" s="8">
        <f>M81-M84</f>
        <v/>
      </c>
    </row>
    <row r="86">
      <c r="A86" s="22" t="n"/>
      <c r="B86" s="22" t="n"/>
    </row>
    <row r="87">
      <c r="A87" s="2" t="inlineStr">
        <is>
          <t>Immobilisations de l'année A8</t>
        </is>
      </c>
      <c r="B87" s="22" t="n"/>
    </row>
    <row r="88">
      <c r="A88" s="22" t="inlineStr">
        <is>
          <t>Durée restante</t>
        </is>
      </c>
      <c r="B88" s="22" t="inlineStr">
        <is>
          <t>Années</t>
        </is>
      </c>
      <c r="J88" s="23">
        <f>IF($C$28&lt;J$3,$C$28,J$3)</f>
        <v/>
      </c>
      <c r="K88" s="8">
        <f>IF(J88=0,0,IF(J88-1&lt;K$3,J88-1,K$3))</f>
        <v/>
      </c>
      <c r="L88" s="8">
        <f>IF(K88=0,0,IF(K88-1&lt;L$3,K88-1,L$3))</f>
        <v/>
      </c>
      <c r="M88" s="8">
        <f>IF(L88=0,0,IF(L88-1&lt;M$3,L88-1,M$3))</f>
        <v/>
      </c>
    </row>
    <row r="89">
      <c r="A89" s="22" t="inlineStr">
        <is>
          <t>Base amortissable</t>
        </is>
      </c>
      <c r="B89" s="22" t="inlineStr">
        <is>
          <t>USD</t>
        </is>
      </c>
      <c r="J89" s="23">
        <f>Modèle!J$10</f>
        <v/>
      </c>
      <c r="K89" s="8">
        <f>J93</f>
        <v/>
      </c>
      <c r="L89" s="8">
        <f>K93</f>
        <v/>
      </c>
      <c r="M89" s="8">
        <f>L93</f>
        <v/>
      </c>
    </row>
    <row r="90">
      <c r="A90" s="22" t="inlineStr">
        <is>
          <t>Inverse de la durée restante</t>
        </is>
      </c>
      <c r="B90" s="22" t="inlineStr">
        <is>
          <t>%</t>
        </is>
      </c>
      <c r="J90" s="27">
        <f>IF(J88=0,0,1/J88)</f>
        <v/>
      </c>
      <c r="K90" s="27">
        <f>IF(K88=0,0,1/K88)</f>
        <v/>
      </c>
      <c r="L90" s="27">
        <f>IF(L88=0,0,1/L88)</f>
        <v/>
      </c>
      <c r="M90" s="27">
        <f>IF(M88=0,0,1/M88)</f>
        <v/>
      </c>
    </row>
    <row r="91">
      <c r="A91" s="22" t="inlineStr">
        <is>
          <t>Taux dégressif</t>
        </is>
      </c>
      <c r="B91" s="22" t="inlineStr">
        <is>
          <t>%</t>
        </is>
      </c>
      <c r="J91" s="27">
        <f>IF(J88=0,0,IF($C$29*1/$C$28&gt;J90,$C$29*1/$C$28,J90))</f>
        <v/>
      </c>
      <c r="K91" s="27">
        <f>IF(K88=0,0,IF($C$29*1/$C$28&gt;K90,$C$29*1/$C$28,K90))</f>
        <v/>
      </c>
      <c r="L91" s="27">
        <f>IF(L88=0,0,IF($C$29*1/$C$28&gt;L90,$C$29*1/$C$28,L90))</f>
        <v/>
      </c>
      <c r="M91" s="27">
        <f>IF(M88=0,0,IF($C$29*1/$C$28&gt;M90,$C$29*1/$C$28,M90))</f>
        <v/>
      </c>
    </row>
    <row r="92">
      <c r="A92" s="22" t="inlineStr">
        <is>
          <t>Charge d'amortissement</t>
        </is>
      </c>
      <c r="B92" s="22" t="inlineStr">
        <is>
          <t>USD</t>
        </is>
      </c>
      <c r="J92" s="8">
        <f>J89*J91</f>
        <v/>
      </c>
      <c r="K92" s="8">
        <f>K89*K91</f>
        <v/>
      </c>
      <c r="L92" s="8">
        <f>L89*L91</f>
        <v/>
      </c>
      <c r="M92" s="8">
        <f>M89*M91</f>
        <v/>
      </c>
    </row>
    <row r="93">
      <c r="A93" s="22" t="inlineStr">
        <is>
          <t>Amortissement restant</t>
        </is>
      </c>
      <c r="B93" s="22" t="inlineStr">
        <is>
          <t>USD</t>
        </is>
      </c>
      <c r="J93" s="8">
        <f>J89-J92</f>
        <v/>
      </c>
      <c r="K93" s="8">
        <f>K89-K92</f>
        <v/>
      </c>
      <c r="L93" s="8">
        <f>L89-L92</f>
        <v/>
      </c>
      <c r="M93" s="8">
        <f>M89-M92</f>
        <v/>
      </c>
    </row>
    <row r="94">
      <c r="A94" s="22" t="n"/>
      <c r="B94" s="22" t="n"/>
    </row>
    <row r="95">
      <c r="A95" s="2" t="inlineStr">
        <is>
          <t>Immobilisations de l'année A9</t>
        </is>
      </c>
      <c r="B95" s="22" t="n"/>
    </row>
    <row r="96">
      <c r="A96" s="22" t="inlineStr">
        <is>
          <t>Durée restante</t>
        </is>
      </c>
      <c r="B96" s="22" t="inlineStr">
        <is>
          <t>Années</t>
        </is>
      </c>
      <c r="K96" s="23">
        <f>IF($C$28&lt;K$3,$C$28,K$3)</f>
        <v/>
      </c>
      <c r="L96" s="8">
        <f>IF(K96=0,0,IF(K96-1&lt;L$3,K96-1,L$3))</f>
        <v/>
      </c>
      <c r="M96" s="8">
        <f>IF(L96=0,0,IF(L96-1&lt;M$3,L96-1,M$3))</f>
        <v/>
      </c>
    </row>
    <row r="97">
      <c r="A97" s="22" t="inlineStr">
        <is>
          <t>Base amortissable</t>
        </is>
      </c>
      <c r="B97" s="22" t="inlineStr">
        <is>
          <t>USD</t>
        </is>
      </c>
      <c r="K97" s="23">
        <f>Modèle!K$10</f>
        <v/>
      </c>
      <c r="L97" s="8">
        <f>K101</f>
        <v/>
      </c>
      <c r="M97" s="8">
        <f>L101</f>
        <v/>
      </c>
    </row>
    <row r="98">
      <c r="A98" s="22" t="inlineStr">
        <is>
          <t>Inverse de la durée restante</t>
        </is>
      </c>
      <c r="B98" s="22" t="inlineStr">
        <is>
          <t>%</t>
        </is>
      </c>
      <c r="K98" s="27">
        <f>IF(K96=0,0,1/K96)</f>
        <v/>
      </c>
      <c r="L98" s="27">
        <f>IF(L96=0,0,1/L96)</f>
        <v/>
      </c>
      <c r="M98" s="27">
        <f>IF(M96=0,0,1/M96)</f>
        <v/>
      </c>
    </row>
    <row r="99">
      <c r="A99" s="22" t="inlineStr">
        <is>
          <t>Taux dégressif</t>
        </is>
      </c>
      <c r="B99" s="22" t="inlineStr">
        <is>
          <t>%</t>
        </is>
      </c>
      <c r="K99" s="27">
        <f>IF(K96=0,0,IF($C$29*1/$C$28&gt;K98,$C$29*1/$C$28,K98))</f>
        <v/>
      </c>
      <c r="L99" s="27">
        <f>IF(L96=0,0,IF($C$29*1/$C$28&gt;L98,$C$29*1/$C$28,L98))</f>
        <v/>
      </c>
      <c r="M99" s="27">
        <f>IF(M96=0,0,IF($C$29*1/$C$28&gt;M98,$C$29*1/$C$28,M98))</f>
        <v/>
      </c>
    </row>
    <row r="100">
      <c r="A100" s="22" t="inlineStr">
        <is>
          <t>Charge d'amortissement</t>
        </is>
      </c>
      <c r="B100" s="22" t="inlineStr">
        <is>
          <t>USD</t>
        </is>
      </c>
      <c r="K100" s="8">
        <f>K97*K99</f>
        <v/>
      </c>
      <c r="L100" s="8">
        <f>L97*L99</f>
        <v/>
      </c>
      <c r="M100" s="8">
        <f>M97*M99</f>
        <v/>
      </c>
    </row>
    <row r="101">
      <c r="A101" s="22" t="inlineStr">
        <is>
          <t>Amortissement restant</t>
        </is>
      </c>
      <c r="B101" s="22" t="inlineStr">
        <is>
          <t>USD</t>
        </is>
      </c>
      <c r="K101" s="8">
        <f>K97-K100</f>
        <v/>
      </c>
      <c r="L101" s="8">
        <f>L97-L100</f>
        <v/>
      </c>
      <c r="M101" s="8">
        <f>M97-M100</f>
        <v/>
      </c>
    </row>
    <row r="102">
      <c r="A102" s="22" t="n"/>
      <c r="B102" s="22" t="n"/>
    </row>
    <row r="103">
      <c r="A103" s="2" t="inlineStr">
        <is>
          <t>Immobilisations de l'année A10</t>
        </is>
      </c>
      <c r="B103" s="22" t="n"/>
    </row>
    <row r="104">
      <c r="A104" s="22" t="inlineStr">
        <is>
          <t>Durée restante</t>
        </is>
      </c>
      <c r="B104" s="22" t="inlineStr">
        <is>
          <t>Années</t>
        </is>
      </c>
      <c r="L104" s="23">
        <f>IF($C$28&lt;L$3,$C$28,L$3)</f>
        <v/>
      </c>
      <c r="M104" s="8">
        <f>IF(L104=0,0,IF(L104-1&lt;M$3,L104-1,M$3))</f>
        <v/>
      </c>
    </row>
    <row r="105">
      <c r="A105" s="22" t="inlineStr">
        <is>
          <t>Base amortissable</t>
        </is>
      </c>
      <c r="B105" s="22" t="inlineStr">
        <is>
          <t>USD</t>
        </is>
      </c>
      <c r="L105" s="23">
        <f>Modèle!L$10</f>
        <v/>
      </c>
      <c r="M105" s="8">
        <f>L109</f>
        <v/>
      </c>
    </row>
    <row r="106">
      <c r="A106" s="22" t="inlineStr">
        <is>
          <t>Inverse de la durée restante</t>
        </is>
      </c>
      <c r="B106" s="22" t="inlineStr">
        <is>
          <t>%</t>
        </is>
      </c>
      <c r="L106" s="27">
        <f>IF(L104=0,0,1/L104)</f>
        <v/>
      </c>
      <c r="M106" s="27">
        <f>IF(M104=0,0,1/M104)</f>
        <v/>
      </c>
    </row>
    <row r="107">
      <c r="A107" s="22" t="inlineStr">
        <is>
          <t>Taux dégressif</t>
        </is>
      </c>
      <c r="B107" s="22" t="inlineStr">
        <is>
          <t>%</t>
        </is>
      </c>
      <c r="L107" s="27">
        <f>IF(L104=0,0,IF($C$29*1/$C$28&gt;L106,$C$29*1/$C$28,L106))</f>
        <v/>
      </c>
      <c r="M107" s="27">
        <f>IF(M104=0,0,IF($C$29*1/$C$28&gt;M106,$C$29*1/$C$28,M106))</f>
        <v/>
      </c>
    </row>
    <row r="108">
      <c r="A108" s="22" t="inlineStr">
        <is>
          <t>Charge d'amortissement</t>
        </is>
      </c>
      <c r="B108" s="22" t="inlineStr">
        <is>
          <t>USD</t>
        </is>
      </c>
      <c r="L108" s="8">
        <f>L105*L107</f>
        <v/>
      </c>
      <c r="M108" s="8">
        <f>M105*M107</f>
        <v/>
      </c>
    </row>
    <row r="109">
      <c r="A109" s="22" t="inlineStr">
        <is>
          <t>Amortissement restant</t>
        </is>
      </c>
      <c r="B109" s="22" t="inlineStr">
        <is>
          <t>USD</t>
        </is>
      </c>
      <c r="L109" s="8">
        <f>L105-L108</f>
        <v/>
      </c>
      <c r="M109" s="8">
        <f>M105-M108</f>
        <v/>
      </c>
    </row>
    <row r="110">
      <c r="A110" s="22" t="n"/>
      <c r="B110" s="22" t="n"/>
    </row>
    <row r="111">
      <c r="A111" s="2" t="inlineStr">
        <is>
          <t>Immobilisations de l'année A11</t>
        </is>
      </c>
      <c r="B111" s="22" t="n"/>
    </row>
    <row r="112">
      <c r="A112" s="22" t="inlineStr">
        <is>
          <t>Durée restante</t>
        </is>
      </c>
      <c r="B112" s="22" t="inlineStr">
        <is>
          <t>Années</t>
        </is>
      </c>
      <c r="M112" s="23">
        <f>IF($C$28&lt;M$3,$C$28,M$3)</f>
        <v/>
      </c>
    </row>
    <row r="113">
      <c r="A113" s="22" t="inlineStr">
        <is>
          <t>Base amortissable</t>
        </is>
      </c>
      <c r="B113" s="22" t="inlineStr">
        <is>
          <t>USD</t>
        </is>
      </c>
      <c r="M113" s="23">
        <f>Modèle!M$10</f>
        <v/>
      </c>
    </row>
    <row r="114">
      <c r="A114" s="22" t="inlineStr">
        <is>
          <t>Inverse de la durée restante</t>
        </is>
      </c>
      <c r="B114" s="22" t="inlineStr">
        <is>
          <t>%</t>
        </is>
      </c>
      <c r="M114" s="27">
        <f>IF(M112=0,0,1/M112)</f>
        <v/>
      </c>
    </row>
    <row r="115">
      <c r="A115" s="22" t="inlineStr">
        <is>
          <t>Taux dégressif</t>
        </is>
      </c>
      <c r="B115" s="22" t="inlineStr">
        <is>
          <t>%</t>
        </is>
      </c>
      <c r="M115" s="27">
        <f>IF(M112=0,0,IF($C$29*1/$C$28&gt;M114,$C$29*1/$C$28,M114))</f>
        <v/>
      </c>
    </row>
    <row r="116">
      <c r="A116" s="22" t="inlineStr">
        <is>
          <t>Charge d'amortissement</t>
        </is>
      </c>
      <c r="B116" s="22" t="inlineStr">
        <is>
          <t>USD</t>
        </is>
      </c>
      <c r="M116" s="8">
        <f>M113*M115</f>
        <v/>
      </c>
    </row>
    <row r="117">
      <c r="A117" s="22" t="inlineStr">
        <is>
          <t>Amortissement restant</t>
        </is>
      </c>
      <c r="B117" s="22" t="inlineStr">
        <is>
          <t>USD</t>
        </is>
      </c>
      <c r="M117" s="8">
        <f>M113-M116</f>
        <v/>
      </c>
    </row>
    <row r="118">
      <c r="A118" s="22" t="n"/>
      <c r="B118" s="22" t="n"/>
    </row>
    <row r="119">
      <c r="A119" s="2" t="inlineStr">
        <is>
          <t>Amortissements des biens d'équipement</t>
        </is>
      </c>
      <c r="B119" s="22" t="inlineStr">
        <is>
          <t>USD</t>
        </is>
      </c>
      <c r="C119" s="8">
        <f>C$36+C$44+C$52+C$60+C$68+C$76+C$84+C$92+C$100+C$108+C$116</f>
        <v/>
      </c>
      <c r="D119" s="8">
        <f>D$36+D$44+D$52+D$60+D$68+D$76+D$84+D$92+D$100+D$108+D$116</f>
        <v/>
      </c>
      <c r="E119" s="8">
        <f>E$36+E$44+E$52+E$60+E$68+E$76+E$84+E$92+E$100+E$108+E$116</f>
        <v/>
      </c>
      <c r="F119" s="8">
        <f>F$36+F$44+F$52+F$60+F$68+F$76+F$84+F$92+F$100+F$108+F$116</f>
        <v/>
      </c>
      <c r="G119" s="8">
        <f>G$36+G$44+G$52+G$60+G$68+G$76+G$84+G$92+G$100+G$108+G$116</f>
        <v/>
      </c>
      <c r="H119" s="8">
        <f>H$36+H$44+H$52+H$60+H$68+H$76+H$84+H$92+H$100+H$108+H$116</f>
        <v/>
      </c>
      <c r="I119" s="8">
        <f>I$36+I$44+I$52+I$60+I$68+I$76+I$84+I$92+I$100+I$108+I$116</f>
        <v/>
      </c>
      <c r="J119" s="8">
        <f>J$36+J$44+J$52+J$60+J$68+J$76+J$84+J$92+J$100+J$108+J$116</f>
        <v/>
      </c>
      <c r="K119" s="8">
        <f>K$36+K$44+K$52+K$60+K$68+K$76+K$84+K$92+K$100+K$108+K$116</f>
        <v/>
      </c>
      <c r="L119" s="8">
        <f>L$36+L$44+L$52+L$60+L$68+L$76+L$84+L$92+L$100+L$108+L$116</f>
        <v/>
      </c>
      <c r="M119" s="8">
        <f>M$36+M$44+M$52+M$60+M$68+M$76+M$84+M$92+M$100+M$108+M$116</f>
        <v/>
      </c>
    </row>
    <row r="120">
      <c r="A120" s="22" t="n"/>
      <c r="B120" s="22" t="n"/>
    </row>
    <row r="121">
      <c r="A121" s="5" t="inlineStr">
        <is>
          <t>III. AMORTISSEMENTS DES DEPENSES DE REHABILITATION</t>
        </is>
      </c>
      <c r="B121" s="24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</row>
    <row r="122">
      <c r="A122" s="2" t="inlineStr">
        <is>
          <t>Durée d'amortissement linéaire</t>
        </is>
      </c>
      <c r="B122" s="22" t="inlineStr">
        <is>
          <t>Années</t>
        </is>
      </c>
      <c r="C122" s="19" t="n">
        <v>1</v>
      </c>
    </row>
    <row r="123">
      <c r="A123" s="2" t="inlineStr">
        <is>
          <t>Coefficient d'amortissement dégressif</t>
        </is>
      </c>
      <c r="B123" s="22" t="inlineStr">
        <is>
          <t>Coefficient</t>
        </is>
      </c>
      <c r="C123" s="19" t="n">
        <v>1</v>
      </c>
    </row>
    <row r="124">
      <c r="A124" s="22" t="n"/>
      <c r="B124" s="22" t="n"/>
    </row>
    <row r="125">
      <c r="A125" s="2" t="inlineStr">
        <is>
          <t>Immobilisations de l'année A11</t>
        </is>
      </c>
      <c r="B125" s="22" t="n"/>
    </row>
    <row r="126">
      <c r="A126" s="22" t="inlineStr">
        <is>
          <t>Durée restante</t>
        </is>
      </c>
      <c r="B126" s="22" t="inlineStr">
        <is>
          <t>Années</t>
        </is>
      </c>
      <c r="M126" s="23">
        <f>IF($C$122&lt;M$3,$C$122,M$3)</f>
        <v/>
      </c>
    </row>
    <row r="127">
      <c r="A127" s="22" t="inlineStr">
        <is>
          <t>Base amortissable</t>
        </is>
      </c>
      <c r="B127" s="22" t="inlineStr">
        <is>
          <t>USD</t>
        </is>
      </c>
      <c r="M127" s="23">
        <f>Modèle!M$11</f>
        <v/>
      </c>
    </row>
    <row r="128">
      <c r="A128" s="22" t="inlineStr">
        <is>
          <t>Inverse de la durée restante</t>
        </is>
      </c>
      <c r="B128" s="22" t="inlineStr">
        <is>
          <t>%</t>
        </is>
      </c>
      <c r="M128" s="27">
        <f>IF(M126=0,0,1/M126)</f>
        <v/>
      </c>
    </row>
    <row r="129">
      <c r="A129" s="22" t="inlineStr">
        <is>
          <t>Taux dégressif</t>
        </is>
      </c>
      <c r="B129" s="22" t="inlineStr">
        <is>
          <t>%</t>
        </is>
      </c>
      <c r="M129" s="27">
        <f>IF(M126=0,0,IF($C$123*1/$C$122&gt;M128,$C$123*1/$C$122,M128))</f>
        <v/>
      </c>
    </row>
    <row r="130">
      <c r="A130" s="22" t="inlineStr">
        <is>
          <t>Charge d'amortissement</t>
        </is>
      </c>
      <c r="B130" s="22" t="inlineStr">
        <is>
          <t>USD</t>
        </is>
      </c>
      <c r="M130" s="8">
        <f>M127*M129</f>
        <v/>
      </c>
    </row>
    <row r="131">
      <c r="A131" s="22" t="inlineStr">
        <is>
          <t>Amortissement restant</t>
        </is>
      </c>
      <c r="B131" s="22" t="inlineStr">
        <is>
          <t>USD</t>
        </is>
      </c>
      <c r="M131" s="8">
        <f>M127-M130</f>
        <v/>
      </c>
    </row>
    <row r="132">
      <c r="A132" s="22" t="n"/>
      <c r="B132" s="22" t="n"/>
    </row>
    <row r="133">
      <c r="A133" s="2" t="inlineStr">
        <is>
          <t>Amortissements des dépenses de réhabilitation</t>
        </is>
      </c>
      <c r="B133" s="22" t="inlineStr">
        <is>
          <t>USD</t>
        </is>
      </c>
      <c r="C133" s="8">
        <f>C130</f>
        <v/>
      </c>
      <c r="D133" s="8">
        <f>D130</f>
        <v/>
      </c>
      <c r="E133" s="8">
        <f>E130</f>
        <v/>
      </c>
      <c r="F133" s="8">
        <f>F130</f>
        <v/>
      </c>
      <c r="G133" s="8">
        <f>G130</f>
        <v/>
      </c>
      <c r="H133" s="8">
        <f>H130</f>
        <v/>
      </c>
      <c r="I133" s="8">
        <f>I130</f>
        <v/>
      </c>
      <c r="J133" s="8">
        <f>J130</f>
        <v/>
      </c>
      <c r="K133" s="8">
        <f>K130</f>
        <v/>
      </c>
      <c r="L133" s="8">
        <f>L130</f>
        <v/>
      </c>
      <c r="M133" s="8">
        <f>M130</f>
        <v/>
      </c>
    </row>
    <row r="134">
      <c r="A134" s="22" t="n"/>
      <c r="B134" s="22" t="n"/>
    </row>
    <row r="135">
      <c r="A135" s="5" t="inlineStr">
        <is>
          <t>IV. CHARGES FINANCIERES</t>
        </is>
      </c>
      <c r="B135" s="24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</row>
    <row r="136">
      <c r="A136" s="2" t="inlineStr">
        <is>
          <t>Emprunt</t>
        </is>
      </c>
      <c r="B136" s="22" t="n"/>
    </row>
    <row r="137">
      <c r="A137" s="22" t="inlineStr">
        <is>
          <t>Durée de l'emprunt</t>
        </is>
      </c>
      <c r="B137" s="22" t="inlineStr">
        <is>
          <t>Années</t>
        </is>
      </c>
      <c r="C137" s="19" t="n">
        <v>5</v>
      </c>
    </row>
    <row r="138">
      <c r="A138" s="22" t="inlineStr">
        <is>
          <t>Taux d'intérêt de l'emprunt</t>
        </is>
      </c>
      <c r="B138" s="22" t="inlineStr">
        <is>
          <t>%</t>
        </is>
      </c>
      <c r="C138" s="21" t="n">
        <v>0.1</v>
      </c>
    </row>
    <row r="139">
      <c r="A139" s="2" t="inlineStr">
        <is>
          <t>Régle de sous-capitalisation</t>
        </is>
      </c>
      <c r="B139" s="22" t="n"/>
    </row>
    <row r="140">
      <c r="A140" s="22" t="inlineStr">
        <is>
          <t>Taux d'intérêt légal maximum</t>
        </is>
      </c>
      <c r="B140" s="22" t="inlineStr">
        <is>
          <t>%</t>
        </is>
      </c>
      <c r="C140" s="21" t="n">
        <v>0.05</v>
      </c>
    </row>
    <row r="141">
      <c r="A141" s="22" t="n"/>
      <c r="B141" s="22" t="n"/>
    </row>
    <row r="142">
      <c r="A142" s="2" t="inlineStr">
        <is>
          <t>Emprunt de l'année A1</t>
        </is>
      </c>
      <c r="B142" s="22" t="n"/>
    </row>
    <row r="143">
      <c r="A143" s="22" t="inlineStr">
        <is>
          <t>Durée restante</t>
        </is>
      </c>
      <c r="B143" s="22" t="inlineStr">
        <is>
          <t>Années</t>
        </is>
      </c>
      <c r="C143" s="23">
        <f>IF($C$137+1&lt;C$3,$C$137+1,C$3)</f>
        <v/>
      </c>
      <c r="D143" s="8">
        <f>IF(C143=0,0,IF(C143-1&lt;D$3,C143-1,D$3))</f>
        <v/>
      </c>
      <c r="E143" s="8">
        <f>IF(D143=0,0,IF(D143-1&lt;E$3,D143-1,E$3))</f>
        <v/>
      </c>
      <c r="F143" s="8">
        <f>IF(E143=0,0,IF(E143-1&lt;F$3,E143-1,F$3))</f>
        <v/>
      </c>
      <c r="G143" s="8">
        <f>IF(F143=0,0,IF(F143-1&lt;G$3,F143-1,G$3))</f>
        <v/>
      </c>
      <c r="H143" s="8">
        <f>IF(G143=0,0,IF(G143-1&lt;H$3,G143-1,H$3))</f>
        <v/>
      </c>
      <c r="I143" s="8">
        <f>IF(H143=0,0,IF(H143-1&lt;I$3,H143-1,I$3))</f>
        <v/>
      </c>
      <c r="J143" s="8">
        <f>IF(I143=0,0,IF(I143-1&lt;J$3,I143-1,J$3))</f>
        <v/>
      </c>
      <c r="K143" s="8">
        <f>IF(J143=0,0,IF(J143-1&lt;K$3,J143-1,K$3))</f>
        <v/>
      </c>
      <c r="L143" s="8">
        <f>IF(K143=0,0,IF(K143-1&lt;L$3,K143-1,L$3))</f>
        <v/>
      </c>
      <c r="M143" s="8">
        <f>IF(L143=0,0,IF(L143-1&lt;M$3,L143-1,M$3))</f>
        <v/>
      </c>
    </row>
    <row r="144">
      <c r="A144" s="22" t="inlineStr">
        <is>
          <t>Emprunt restant</t>
        </is>
      </c>
      <c r="B144" s="22" t="inlineStr">
        <is>
          <t>USD</t>
        </is>
      </c>
      <c r="C144" s="23">
        <f>Modèle!C$12</f>
        <v/>
      </c>
      <c r="D144" s="8">
        <f>C144-D145</f>
        <v/>
      </c>
      <c r="E144" s="8">
        <f>D144-E145</f>
        <v/>
      </c>
      <c r="F144" s="8">
        <f>E144-F145</f>
        <v/>
      </c>
      <c r="G144" s="8">
        <f>F144-G145</f>
        <v/>
      </c>
      <c r="H144" s="8">
        <f>G144-H145</f>
        <v/>
      </c>
      <c r="I144" s="8">
        <f>H144-I145</f>
        <v/>
      </c>
      <c r="J144" s="8">
        <f>I144-J145</f>
        <v/>
      </c>
      <c r="K144" s="8">
        <f>J144-K145</f>
        <v/>
      </c>
      <c r="L144" s="8">
        <f>K144-L145</f>
        <v/>
      </c>
      <c r="M144" s="8">
        <f>L144-M145</f>
        <v/>
      </c>
    </row>
    <row r="145">
      <c r="A145" s="22" t="inlineStr">
        <is>
          <t>Remboursement du principal</t>
        </is>
      </c>
      <c r="B145" s="22" t="inlineStr">
        <is>
          <t>USD</t>
        </is>
      </c>
      <c r="C145" s="24" t="n"/>
      <c r="D145" s="28">
        <f>IF(D143=0,0,C144/D143)</f>
        <v/>
      </c>
      <c r="E145" s="28">
        <f>IF(E143=0,0,D144/E143)</f>
        <v/>
      </c>
      <c r="F145" s="28">
        <f>IF(F143=0,0,E144/F143)</f>
        <v/>
      </c>
      <c r="G145" s="28">
        <f>IF(G143=0,0,F144/G143)</f>
        <v/>
      </c>
      <c r="H145" s="28">
        <f>IF(H143=0,0,G144/H143)</f>
        <v/>
      </c>
      <c r="I145" s="28">
        <f>IF(I143=0,0,H144/I143)</f>
        <v/>
      </c>
      <c r="J145" s="28">
        <f>IF(J143=0,0,I144/J143)</f>
        <v/>
      </c>
      <c r="K145" s="28">
        <f>IF(K143=0,0,J144/K143)</f>
        <v/>
      </c>
      <c r="L145" s="28">
        <f>IF(L143=0,0,K144/L143)</f>
        <v/>
      </c>
      <c r="M145" s="28">
        <f>IF(M143=0,0,L144/M143)</f>
        <v/>
      </c>
    </row>
    <row r="146">
      <c r="A146" s="22" t="inlineStr">
        <is>
          <t>Intérêts versés</t>
        </is>
      </c>
      <c r="B146" s="22" t="inlineStr">
        <is>
          <t>USD</t>
        </is>
      </c>
      <c r="C146" s="28">
        <f>C144*$C$138</f>
        <v/>
      </c>
      <c r="D146" s="28">
        <f>D144*$C$138</f>
        <v/>
      </c>
      <c r="E146" s="28">
        <f>E144*$C$138</f>
        <v/>
      </c>
      <c r="F146" s="28">
        <f>F144*$C$138</f>
        <v/>
      </c>
      <c r="G146" s="28">
        <f>G144*$C$138</f>
        <v/>
      </c>
      <c r="H146" s="28">
        <f>H144*$C$138</f>
        <v/>
      </c>
      <c r="I146" s="28">
        <f>I144*$C$138</f>
        <v/>
      </c>
      <c r="J146" s="28">
        <f>J144*$C$138</f>
        <v/>
      </c>
      <c r="K146" s="28">
        <f>K144*$C$138</f>
        <v/>
      </c>
      <c r="L146" s="28">
        <f>L144*$C$138</f>
        <v/>
      </c>
      <c r="M146" s="28">
        <f>M144*$C$138</f>
        <v/>
      </c>
    </row>
    <row r="147">
      <c r="A147" s="22" t="inlineStr">
        <is>
          <t>Intérêts déductibles</t>
        </is>
      </c>
      <c r="B147" s="22" t="inlineStr">
        <is>
          <t>USD</t>
        </is>
      </c>
      <c r="C147" s="28">
        <f>IF(C144*$C$140&lt;C146,C144*$C$140,C146)</f>
        <v/>
      </c>
      <c r="D147" s="28">
        <f>IF(D144*$C$140&lt;D146,D144*$C$140,D146)</f>
        <v/>
      </c>
      <c r="E147" s="28">
        <f>IF(E144*$C$140&lt;E146,E144*$C$140,E146)</f>
        <v/>
      </c>
      <c r="F147" s="28">
        <f>IF(F144*$C$140&lt;F146,F144*$C$140,F146)</f>
        <v/>
      </c>
      <c r="G147" s="28">
        <f>IF(G144*$C$140&lt;G146,G144*$C$140,G146)</f>
        <v/>
      </c>
      <c r="H147" s="28">
        <f>IF(H144*$C$140&lt;H146,H144*$C$140,H146)</f>
        <v/>
      </c>
      <c r="I147" s="28">
        <f>IF(I144*$C$140&lt;I146,I144*$C$140,I146)</f>
        <v/>
      </c>
      <c r="J147" s="28">
        <f>IF(J144*$C$140&lt;J146,J144*$C$140,J146)</f>
        <v/>
      </c>
      <c r="K147" s="28">
        <f>IF(K144*$C$140&lt;K146,K144*$C$140,K146)</f>
        <v/>
      </c>
      <c r="L147" s="28">
        <f>IF(L144*$C$140&lt;L146,L144*$C$140,L146)</f>
        <v/>
      </c>
      <c r="M147" s="28">
        <f>IF(M144*$C$140&lt;M146,M144*$C$140,M146)</f>
        <v/>
      </c>
    </row>
    <row r="148">
      <c r="A148" s="22" t="n"/>
      <c r="B148" s="22" t="n"/>
    </row>
    <row r="149">
      <c r="A149" s="2" t="inlineStr">
        <is>
          <t>Emprunt de l'année A2</t>
        </is>
      </c>
      <c r="B149" s="22" t="n"/>
    </row>
    <row r="150">
      <c r="A150" s="22" t="inlineStr">
        <is>
          <t>Durée restante</t>
        </is>
      </c>
      <c r="B150" s="22" t="inlineStr">
        <is>
          <t>Années</t>
        </is>
      </c>
      <c r="D150" s="23">
        <f>IF($C$137+1&lt;D$3,$C$137+1,D$3)</f>
        <v/>
      </c>
      <c r="E150" s="8">
        <f>IF(D150=0,0,IF(D150-1&lt;E$3,D150-1,E$3))</f>
        <v/>
      </c>
      <c r="F150" s="8">
        <f>IF(E150=0,0,IF(E150-1&lt;F$3,E150-1,F$3))</f>
        <v/>
      </c>
      <c r="G150" s="8">
        <f>IF(F150=0,0,IF(F150-1&lt;G$3,F150-1,G$3))</f>
        <v/>
      </c>
      <c r="H150" s="8">
        <f>IF(G150=0,0,IF(G150-1&lt;H$3,G150-1,H$3))</f>
        <v/>
      </c>
      <c r="I150" s="8">
        <f>IF(H150=0,0,IF(H150-1&lt;I$3,H150-1,I$3))</f>
        <v/>
      </c>
      <c r="J150" s="8">
        <f>IF(I150=0,0,IF(I150-1&lt;J$3,I150-1,J$3))</f>
        <v/>
      </c>
      <c r="K150" s="8">
        <f>IF(J150=0,0,IF(J150-1&lt;K$3,J150-1,K$3))</f>
        <v/>
      </c>
      <c r="L150" s="8">
        <f>IF(K150=0,0,IF(K150-1&lt;L$3,K150-1,L$3))</f>
        <v/>
      </c>
      <c r="M150" s="8">
        <f>IF(L150=0,0,IF(L150-1&lt;M$3,L150-1,M$3))</f>
        <v/>
      </c>
    </row>
    <row r="151">
      <c r="A151" s="22" t="inlineStr">
        <is>
          <t>Emprunt restant</t>
        </is>
      </c>
      <c r="B151" s="22" t="inlineStr">
        <is>
          <t>USD</t>
        </is>
      </c>
      <c r="D151" s="23">
        <f>Modèle!D$12</f>
        <v/>
      </c>
      <c r="E151" s="8">
        <f>D151-E152</f>
        <v/>
      </c>
      <c r="F151" s="8">
        <f>E151-F152</f>
        <v/>
      </c>
      <c r="G151" s="8">
        <f>F151-G152</f>
        <v/>
      </c>
      <c r="H151" s="8">
        <f>G151-H152</f>
        <v/>
      </c>
      <c r="I151" s="8">
        <f>H151-I152</f>
        <v/>
      </c>
      <c r="J151" s="8">
        <f>I151-J152</f>
        <v/>
      </c>
      <c r="K151" s="8">
        <f>J151-K152</f>
        <v/>
      </c>
      <c r="L151" s="8">
        <f>K151-L152</f>
        <v/>
      </c>
      <c r="M151" s="8">
        <f>L151-M152</f>
        <v/>
      </c>
    </row>
    <row r="152">
      <c r="A152" s="22" t="inlineStr">
        <is>
          <t>Remboursement du principal</t>
        </is>
      </c>
      <c r="B152" s="22" t="inlineStr">
        <is>
          <t>USD</t>
        </is>
      </c>
      <c r="D152" s="24" t="n"/>
      <c r="E152" s="28">
        <f>IF(E150=0,0,D151/E150)</f>
        <v/>
      </c>
      <c r="F152" s="28">
        <f>IF(F150=0,0,E151/F150)</f>
        <v/>
      </c>
      <c r="G152" s="28">
        <f>IF(G150=0,0,F151/G150)</f>
        <v/>
      </c>
      <c r="H152" s="28">
        <f>IF(H150=0,0,G151/H150)</f>
        <v/>
      </c>
      <c r="I152" s="28">
        <f>IF(I150=0,0,H151/I150)</f>
        <v/>
      </c>
      <c r="J152" s="28">
        <f>IF(J150=0,0,I151/J150)</f>
        <v/>
      </c>
      <c r="K152" s="28">
        <f>IF(K150=0,0,J151/K150)</f>
        <v/>
      </c>
      <c r="L152" s="28">
        <f>IF(L150=0,0,K151/L150)</f>
        <v/>
      </c>
      <c r="M152" s="28">
        <f>IF(M150=0,0,L151/M150)</f>
        <v/>
      </c>
    </row>
    <row r="153">
      <c r="A153" s="22" t="inlineStr">
        <is>
          <t>Intérêts versés</t>
        </is>
      </c>
      <c r="B153" s="22" t="inlineStr">
        <is>
          <t>USD</t>
        </is>
      </c>
      <c r="D153" s="28">
        <f>D151*$C$138</f>
        <v/>
      </c>
      <c r="E153" s="28">
        <f>E151*$C$138</f>
        <v/>
      </c>
      <c r="F153" s="28">
        <f>F151*$C$138</f>
        <v/>
      </c>
      <c r="G153" s="28">
        <f>G151*$C$138</f>
        <v/>
      </c>
      <c r="H153" s="28">
        <f>H151*$C$138</f>
        <v/>
      </c>
      <c r="I153" s="28">
        <f>I151*$C$138</f>
        <v/>
      </c>
      <c r="J153" s="28">
        <f>J151*$C$138</f>
        <v/>
      </c>
      <c r="K153" s="28">
        <f>K151*$C$138</f>
        <v/>
      </c>
      <c r="L153" s="28">
        <f>L151*$C$138</f>
        <v/>
      </c>
      <c r="M153" s="28">
        <f>M151*$C$138</f>
        <v/>
      </c>
    </row>
    <row r="154">
      <c r="A154" s="22" t="inlineStr">
        <is>
          <t>Intérêts déductibles</t>
        </is>
      </c>
      <c r="B154" s="22" t="inlineStr">
        <is>
          <t>USD</t>
        </is>
      </c>
      <c r="D154" s="28">
        <f>IF(D151*$C$140&lt;D153,D151*$C$140,D153)</f>
        <v/>
      </c>
      <c r="E154" s="28">
        <f>IF(E151*$C$140&lt;E153,E151*$C$140,E153)</f>
        <v/>
      </c>
      <c r="F154" s="28">
        <f>IF(F151*$C$140&lt;F153,F151*$C$140,F153)</f>
        <v/>
      </c>
      <c r="G154" s="28">
        <f>IF(G151*$C$140&lt;G153,G151*$C$140,G153)</f>
        <v/>
      </c>
      <c r="H154" s="28">
        <f>IF(H151*$C$140&lt;H153,H151*$C$140,H153)</f>
        <v/>
      </c>
      <c r="I154" s="28">
        <f>IF(I151*$C$140&lt;I153,I151*$C$140,I153)</f>
        <v/>
      </c>
      <c r="J154" s="28">
        <f>IF(J151*$C$140&lt;J153,J151*$C$140,J153)</f>
        <v/>
      </c>
      <c r="K154" s="28">
        <f>IF(K151*$C$140&lt;K153,K151*$C$140,K153)</f>
        <v/>
      </c>
      <c r="L154" s="28">
        <f>IF(L151*$C$140&lt;L153,L151*$C$140,L153)</f>
        <v/>
      </c>
      <c r="M154" s="28">
        <f>IF(M151*$C$140&lt;M153,M151*$C$140,M153)</f>
        <v/>
      </c>
    </row>
    <row r="155">
      <c r="A155" s="22" t="n"/>
      <c r="B155" s="22" t="n"/>
    </row>
    <row r="156">
      <c r="A156" s="2" t="inlineStr">
        <is>
          <t>Total des intérêts versés</t>
        </is>
      </c>
      <c r="B156" s="22" t="inlineStr">
        <is>
          <t>USD</t>
        </is>
      </c>
      <c r="C156" s="8">
        <f>C$146+C$153</f>
        <v/>
      </c>
      <c r="D156" s="8">
        <f>D$146+D$153</f>
        <v/>
      </c>
      <c r="E156" s="8">
        <f>E$146+E$153</f>
        <v/>
      </c>
      <c r="F156" s="8">
        <f>F$146+F$153</f>
        <v/>
      </c>
      <c r="G156" s="8">
        <f>G$146+G$153</f>
        <v/>
      </c>
      <c r="H156" s="8">
        <f>H$146+H$153</f>
        <v/>
      </c>
      <c r="I156" s="8">
        <f>I$146+I$153</f>
        <v/>
      </c>
      <c r="J156" s="8">
        <f>J$146+J$153</f>
        <v/>
      </c>
      <c r="K156" s="8">
        <f>K$146+K$153</f>
        <v/>
      </c>
      <c r="L156" s="8">
        <f>L$146+L$153</f>
        <v/>
      </c>
      <c r="M156" s="8">
        <f>M$146+M$153</f>
        <v/>
      </c>
    </row>
    <row r="157">
      <c r="A157" s="2" t="inlineStr">
        <is>
          <t>Total des intérêts déductibles</t>
        </is>
      </c>
      <c r="B157" s="22" t="inlineStr">
        <is>
          <t>USD</t>
        </is>
      </c>
      <c r="C157" s="8">
        <f>C$147+C$154</f>
        <v/>
      </c>
      <c r="D157" s="8">
        <f>D$147+D$154</f>
        <v/>
      </c>
      <c r="E157" s="8">
        <f>E$147+E$154</f>
        <v/>
      </c>
      <c r="F157" s="8">
        <f>F$147+F$154</f>
        <v/>
      </c>
      <c r="G157" s="8">
        <f>G$147+G$154</f>
        <v/>
      </c>
      <c r="H157" s="8">
        <f>H$147+H$154</f>
        <v/>
      </c>
      <c r="I157" s="8">
        <f>I$147+I$154</f>
        <v/>
      </c>
      <c r="J157" s="8">
        <f>J$147+J$154</f>
        <v/>
      </c>
      <c r="K157" s="8">
        <f>K$147+K$154</f>
        <v/>
      </c>
      <c r="L157" s="8">
        <f>L$147+L$154</f>
        <v/>
      </c>
      <c r="M157" s="8">
        <f>M$147+M$154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cols>
    <col width="40.77734375" customWidth="1" min="1" max="1"/>
    <col width="10.77734375" customWidth="1" min="2" max="2"/>
    <col width="15.77734375" customWidth="1" min="3" max="3"/>
    <col width="10.77734375" customWidth="1" min="20" max="20"/>
  </cols>
  <sheetData>
    <row r="1">
      <c r="A1" s="1" t="inlineStr">
        <is>
          <t>Nom</t>
        </is>
      </c>
      <c r="B1" s="1" t="inlineStr">
        <is>
          <t>Unité</t>
        </is>
      </c>
      <c r="C1" s="1" t="inlineStr">
        <is>
          <t>Année 1</t>
        </is>
      </c>
      <c r="D1" s="1" t="inlineStr">
        <is>
          <t>Année 2</t>
        </is>
      </c>
      <c r="E1" s="1" t="inlineStr">
        <is>
          <t>Année 3</t>
        </is>
      </c>
      <c r="F1" s="1" t="inlineStr">
        <is>
          <t>Année 4</t>
        </is>
      </c>
      <c r="G1" s="1" t="inlineStr">
        <is>
          <t>Année 5</t>
        </is>
      </c>
      <c r="H1" s="1" t="inlineStr">
        <is>
          <t>Année 6</t>
        </is>
      </c>
      <c r="I1" s="1" t="inlineStr">
        <is>
          <t>Année 7</t>
        </is>
      </c>
      <c r="J1" s="1" t="inlineStr">
        <is>
          <t>Année 8</t>
        </is>
      </c>
      <c r="K1" s="1" t="inlineStr">
        <is>
          <t>Année 9</t>
        </is>
      </c>
      <c r="L1" s="1" t="inlineStr">
        <is>
          <t>Année 6</t>
        </is>
      </c>
      <c r="M1" s="1" t="inlineStr">
        <is>
          <t>Année 7</t>
        </is>
      </c>
      <c r="N1" s="1" t="inlineStr">
        <is>
          <t>Année 8</t>
        </is>
      </c>
      <c r="O1" s="1" t="inlineStr">
        <is>
          <t>Année 9</t>
        </is>
      </c>
      <c r="P1" s="1" t="inlineStr">
        <is>
          <t>Année 10</t>
        </is>
      </c>
      <c r="Q1" s="1" t="inlineStr">
        <is>
          <t>Année 11</t>
        </is>
      </c>
      <c r="R1" s="1" t="inlineStr">
        <is>
          <t>SOMME</t>
        </is>
      </c>
      <c r="S1" s="1" t="inlineStr">
        <is>
          <t>VAN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3">
      <c r="A3" s="5" t="inlineStr">
        <is>
          <t>I. PRODUCTION</t>
        </is>
      </c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</row>
    <row r="4">
      <c r="A4" s="2" t="inlineStr">
        <is>
          <t>Production d'or</t>
        </is>
      </c>
      <c r="B4" s="3" t="inlineStr">
        <is>
          <t>oz</t>
        </is>
      </c>
      <c r="C4" s="8" t="n"/>
      <c r="D4" s="8" t="n"/>
      <c r="E4" s="8" t="n">
        <v>250000</v>
      </c>
      <c r="F4" s="8" t="n">
        <v>250000</v>
      </c>
      <c r="G4" s="8" t="n">
        <v>250000</v>
      </c>
      <c r="H4" s="8" t="n">
        <v>250000</v>
      </c>
      <c r="I4" s="8" t="n">
        <v>250000</v>
      </c>
      <c r="J4" s="8" t="n">
        <v>250000</v>
      </c>
      <c r="K4" s="8" t="n">
        <v>250000</v>
      </c>
      <c r="L4" s="8" t="n">
        <v>250000</v>
      </c>
      <c r="M4" s="8" t="n">
        <v>250000</v>
      </c>
      <c r="N4" s="8" t="n">
        <v>250000</v>
      </c>
      <c r="O4" s="8" t="n">
        <v>250000</v>
      </c>
      <c r="P4" s="8" t="n">
        <v>250000</v>
      </c>
      <c r="Q4" s="8" t="n"/>
      <c r="R4" s="9">
        <f>SUM($C4:$Q4)</f>
        <v/>
      </c>
      <c r="S4" s="9" t="n"/>
    </row>
    <row r="5">
      <c r="A5" s="2" t="inlineStr">
        <is>
          <t>Cours de l'or</t>
        </is>
      </c>
      <c r="B5" s="3" t="inlineStr">
        <is>
          <t>USD/oz</t>
        </is>
      </c>
      <c r="C5" s="8" t="n"/>
      <c r="D5" s="8" t="n"/>
      <c r="E5" s="8" t="n">
        <v>1300</v>
      </c>
      <c r="F5" s="8" t="n">
        <v>1300</v>
      </c>
      <c r="G5" s="8" t="n">
        <v>1300</v>
      </c>
      <c r="H5" s="8" t="n">
        <v>1300</v>
      </c>
      <c r="I5" s="8" t="n">
        <v>1300</v>
      </c>
      <c r="J5" s="8" t="n">
        <v>1300</v>
      </c>
      <c r="K5" s="8" t="n">
        <v>1300</v>
      </c>
      <c r="L5" s="8" t="n">
        <v>1300</v>
      </c>
      <c r="M5" s="8" t="n">
        <v>1300</v>
      </c>
      <c r="N5" s="8" t="n">
        <v>1300</v>
      </c>
      <c r="O5" s="8" t="n">
        <v>1300</v>
      </c>
      <c r="P5" s="8" t="n">
        <v>1300</v>
      </c>
      <c r="Q5" s="8" t="n"/>
      <c r="R5" s="9" t="n"/>
      <c r="S5" s="9" t="n"/>
    </row>
    <row r="6">
      <c r="A6" s="2" t="inlineStr">
        <is>
          <t>Chiffre d'affaires</t>
        </is>
      </c>
      <c r="B6" s="3" t="inlineStr">
        <is>
          <t>USD</t>
        </is>
      </c>
      <c r="C6" s="10">
        <f>C$4*C$5</f>
        <v/>
      </c>
      <c r="D6" s="10">
        <f>D$4*D$5</f>
        <v/>
      </c>
      <c r="E6" s="10">
        <f>E$4*E$5</f>
        <v/>
      </c>
      <c r="F6" s="10">
        <f>F$4*F$5</f>
        <v/>
      </c>
      <c r="G6" s="10">
        <f>G$4*G$5</f>
        <v/>
      </c>
      <c r="H6" s="10">
        <f>H$4*H$5</f>
        <v/>
      </c>
      <c r="I6" s="10">
        <f>I$4*I$5</f>
        <v/>
      </c>
      <c r="J6" s="10">
        <f>J$4*J$5</f>
        <v/>
      </c>
      <c r="K6" s="10">
        <f>K$4*K$5</f>
        <v/>
      </c>
      <c r="L6" s="10">
        <f>L$4*L$5</f>
        <v/>
      </c>
      <c r="M6" s="10">
        <f>M$4*M$5</f>
        <v/>
      </c>
      <c r="N6" s="10">
        <f>N$4*N$5</f>
        <v/>
      </c>
      <c r="O6" s="10">
        <f>O$4*O$5</f>
        <v/>
      </c>
      <c r="P6" s="10">
        <f>P$4*P$5</f>
        <v/>
      </c>
      <c r="Q6" s="10">
        <f>Q$4*Q$5</f>
        <v/>
      </c>
      <c r="R6" s="10">
        <f>SUM($C6:$Q6)</f>
        <v/>
      </c>
      <c r="S6" s="10">
        <f>$C6+NPV(10%,$D6:$Q6)</f>
        <v/>
      </c>
    </row>
    <row r="7">
      <c r="A7" s="2" t="n"/>
      <c r="B7" s="3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5" t="inlineStr">
        <is>
          <t>II. DEPENSES D'INVESTISSEMENT (CAPEX)</t>
        </is>
      </c>
      <c r="B8" s="6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</row>
    <row r="9">
      <c r="A9" s="2" t="inlineStr">
        <is>
          <t>Coûts des construction industrielles</t>
        </is>
      </c>
      <c r="B9" s="3" t="inlineStr">
        <is>
          <t>USD</t>
        </is>
      </c>
      <c r="C9" s="8" t="n">
        <v>50000000</v>
      </c>
      <c r="D9" s="8" t="n">
        <v>100000000</v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9">
        <f>SUM($C9:$Q9)</f>
        <v/>
      </c>
      <c r="S9" s="9">
        <f>$C9+NPV(10%,$D9:$Q9)</f>
        <v/>
      </c>
    </row>
    <row r="10">
      <c r="A10" s="2" t="inlineStr">
        <is>
          <t>Coûts des biens d'équipement</t>
        </is>
      </c>
      <c r="B10" s="3" t="inlineStr">
        <is>
          <t>USD</t>
        </is>
      </c>
      <c r="C10" s="8" t="n"/>
      <c r="D10" s="8" t="n">
        <v>50000000</v>
      </c>
      <c r="E10" s="8" t="n">
        <v>5000000</v>
      </c>
      <c r="F10" s="8" t="n">
        <v>5000000</v>
      </c>
      <c r="G10" s="8" t="n">
        <v>5000000</v>
      </c>
      <c r="H10" s="8" t="n">
        <v>5000000</v>
      </c>
      <c r="I10" s="8" t="n">
        <v>5000000</v>
      </c>
      <c r="J10" s="8" t="n">
        <v>5000000</v>
      </c>
      <c r="K10" s="8" t="n">
        <v>5000000</v>
      </c>
      <c r="L10" s="8" t="n">
        <v>5000000</v>
      </c>
      <c r="M10" s="8" t="n">
        <v>5000000</v>
      </c>
      <c r="N10" s="8" t="n">
        <v>5000000</v>
      </c>
      <c r="O10" s="8" t="n">
        <v>5000000</v>
      </c>
      <c r="P10" s="8" t="n">
        <v>5000000</v>
      </c>
      <c r="Q10" s="8" t="n"/>
      <c r="R10" s="9">
        <f>SUM($C10:$Q10)</f>
        <v/>
      </c>
      <c r="S10" s="9">
        <f>$C10+NPV(10%,$D10:$Q10)</f>
        <v/>
      </c>
    </row>
    <row r="11">
      <c r="A11" s="2" t="inlineStr">
        <is>
          <t>Coûts de réhabilitation du site</t>
        </is>
      </c>
      <c r="B11" s="3" t="inlineStr">
        <is>
          <t>USD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>
        <v>10000000</v>
      </c>
      <c r="R11" s="9">
        <f>SUM($C11:$Q11)</f>
        <v/>
      </c>
      <c r="S11" s="9">
        <f>$C11+NPV(10%,$D11:$Q11)</f>
        <v/>
      </c>
    </row>
    <row r="12">
      <c r="A12" s="2" t="inlineStr">
        <is>
          <t>Total des dépenses d'investissement</t>
        </is>
      </c>
      <c r="B12" s="3" t="inlineStr">
        <is>
          <t>USD</t>
        </is>
      </c>
      <c r="C12" s="10">
        <f>SUM(C$9:C$11)</f>
        <v/>
      </c>
      <c r="D12" s="10">
        <f>SUM(D$9:D$11)</f>
        <v/>
      </c>
      <c r="E12" s="10">
        <f>SUM(E$9:E$11)</f>
        <v/>
      </c>
      <c r="F12" s="10">
        <f>SUM(F$9:F$11)</f>
        <v/>
      </c>
      <c r="G12" s="10">
        <f>SUM(G$9:G$11)</f>
        <v/>
      </c>
      <c r="H12" s="10">
        <f>SUM(H$9:H$11)</f>
        <v/>
      </c>
      <c r="I12" s="10">
        <f>SUM(I$9:I$11)</f>
        <v/>
      </c>
      <c r="J12" s="10">
        <f>SUM(J$9:J$11)</f>
        <v/>
      </c>
      <c r="K12" s="10">
        <f>SUM(K$9:K$11)</f>
        <v/>
      </c>
      <c r="L12" s="10">
        <f>SUM(L$9:L$11)</f>
        <v/>
      </c>
      <c r="M12" s="10">
        <f>SUM(M$9:M$11)</f>
        <v/>
      </c>
      <c r="N12" s="10">
        <f>SUM(N$9:N$11)</f>
        <v/>
      </c>
      <c r="O12" s="10">
        <f>SUM(O$9:O$11)</f>
        <v/>
      </c>
      <c r="P12" s="10">
        <f>SUM(P$9:P$11)</f>
        <v/>
      </c>
      <c r="Q12" s="10">
        <f>SUM(Q$9:Q$11)</f>
        <v/>
      </c>
      <c r="R12" s="10">
        <f>SUM($C12:$Q12)</f>
        <v/>
      </c>
      <c r="S12" s="10">
        <f>$C12+NPV(10%,$D12:$Q12)</f>
        <v/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5" t="inlineStr">
        <is>
          <t>III. COÛTS D'EXPLOITATION (OPEX)</t>
        </is>
      </c>
      <c r="B14" s="6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</row>
    <row r="15">
      <c r="A15" s="2" t="inlineStr">
        <is>
          <t>Coût moyen d'exploitation</t>
        </is>
      </c>
      <c r="B15" s="3" t="inlineStr">
        <is>
          <t>USD/oz</t>
        </is>
      </c>
      <c r="C15" s="8" t="n"/>
      <c r="D15" s="8" t="n"/>
      <c r="E15" s="8" t="n">
        <v>700</v>
      </c>
      <c r="F15" s="8" t="n">
        <v>700</v>
      </c>
      <c r="G15" s="8" t="n">
        <v>700</v>
      </c>
      <c r="H15" s="8" t="n">
        <v>700</v>
      </c>
      <c r="I15" s="8" t="n">
        <v>700</v>
      </c>
      <c r="J15" s="8" t="n">
        <v>700</v>
      </c>
      <c r="K15" s="8" t="n">
        <v>700</v>
      </c>
      <c r="L15" s="8" t="n">
        <v>700</v>
      </c>
      <c r="M15" s="8" t="n">
        <v>700</v>
      </c>
      <c r="N15" s="8" t="n">
        <v>700</v>
      </c>
      <c r="O15" s="8" t="n">
        <v>700</v>
      </c>
      <c r="P15" s="8" t="n">
        <v>700</v>
      </c>
      <c r="Q15" s="8" t="n"/>
      <c r="R15" s="12" t="n"/>
      <c r="S15" s="12" t="n"/>
    </row>
    <row r="16">
      <c r="A16" s="2" t="inlineStr">
        <is>
          <t>Total des coûts d'exploitation</t>
        </is>
      </c>
      <c r="B16" s="3" t="inlineStr">
        <is>
          <t>USD</t>
        </is>
      </c>
      <c r="C16" s="10">
        <f>C$4*C$15</f>
        <v/>
      </c>
      <c r="D16" s="10">
        <f>D$4*D$15</f>
        <v/>
      </c>
      <c r="E16" s="10">
        <f>E$4*E$15</f>
        <v/>
      </c>
      <c r="F16" s="10">
        <f>F$4*F$15</f>
        <v/>
      </c>
      <c r="G16" s="10">
        <f>G$4*G$15</f>
        <v/>
      </c>
      <c r="H16" s="10">
        <f>H$4*H$15</f>
        <v/>
      </c>
      <c r="I16" s="10">
        <f>I$4*I$15</f>
        <v/>
      </c>
      <c r="J16" s="10">
        <f>J$4*J$15</f>
        <v/>
      </c>
      <c r="K16" s="10">
        <f>K$4*K$15</f>
        <v/>
      </c>
      <c r="L16" s="10">
        <f>L$4*L$15</f>
        <v/>
      </c>
      <c r="M16" s="10">
        <f>M$4*M$15</f>
        <v/>
      </c>
      <c r="N16" s="10">
        <f>N$4*N$15</f>
        <v/>
      </c>
      <c r="O16" s="10">
        <f>O$4*O$15</f>
        <v/>
      </c>
      <c r="P16" s="10">
        <f>P$4*P$15</f>
        <v/>
      </c>
      <c r="Q16" s="10">
        <f>Q$4*Q$15</f>
        <v/>
      </c>
      <c r="R16" s="10">
        <f>SUM($C16:$Q16)</f>
        <v/>
      </c>
      <c r="S16" s="10">
        <f>$C16+NPV(10%,$D16:$Q16)</f>
        <v/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>
      <c r="A18" s="5" t="inlineStr">
        <is>
          <t>IV. FLUX NETS DE TRESORERIE AVANT IMPÔTS</t>
        </is>
      </c>
      <c r="B18" s="6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</row>
    <row r="19">
      <c r="A19" s="2" t="inlineStr">
        <is>
          <t>Flux nets de trésorerie avant impôts</t>
        </is>
      </c>
      <c r="B19" s="3" t="inlineStr">
        <is>
          <t>USD</t>
        </is>
      </c>
      <c r="C19" s="10">
        <f>C$6-C$12-C$16</f>
        <v/>
      </c>
      <c r="D19" s="10">
        <f>D$6-D$12-D$16</f>
        <v/>
      </c>
      <c r="E19" s="10">
        <f>E$6-E$12-E$16</f>
        <v/>
      </c>
      <c r="F19" s="10">
        <f>F$6-F$12-F$16</f>
        <v/>
      </c>
      <c r="G19" s="10">
        <f>G$6-G$12-G$16</f>
        <v/>
      </c>
      <c r="H19" s="10">
        <f>H$6-H$12-H$16</f>
        <v/>
      </c>
      <c r="I19" s="10">
        <f>I$6-I$12-I$16</f>
        <v/>
      </c>
      <c r="J19" s="10">
        <f>J$6-J$12-J$16</f>
        <v/>
      </c>
      <c r="K19" s="10">
        <f>K$6-K$12-K$16</f>
        <v/>
      </c>
      <c r="L19" s="10">
        <f>L$6-L$12-L$16</f>
        <v/>
      </c>
      <c r="M19" s="10">
        <f>M$6-M$12-M$16</f>
        <v/>
      </c>
      <c r="N19" s="10">
        <f>N$6-N$12-N$16</f>
        <v/>
      </c>
      <c r="O19" s="10">
        <f>O$6-O$12-O$16</f>
        <v/>
      </c>
      <c r="P19" s="10">
        <f>P$6-P$12-P$16</f>
        <v/>
      </c>
      <c r="Q19" s="10">
        <f>Q$6-Q$12-Q$16</f>
        <v/>
      </c>
      <c r="R19" s="10">
        <f>SUM($C19:$Q19)</f>
        <v/>
      </c>
      <c r="S19" s="10">
        <f>$C19+NPV(10%,$D19:$Q19)</f>
        <v/>
      </c>
    </row>
    <row r="20">
      <c r="A20" s="2" t="inlineStr">
        <is>
          <t>Taux de rendement interne avant impôts</t>
        </is>
      </c>
      <c r="B20" s="3" t="inlineStr">
        <is>
          <t>%</t>
        </is>
      </c>
      <c r="C20" s="14">
        <f>IF(ISNUMBER(IRR($C19:C19)),IF(IRR($C19:C19)&gt;0,IRR($C19:C19),""),"")</f>
        <v/>
      </c>
      <c r="D20" s="14">
        <f>IF(ISNUMBER(IRR($C19:D19)),IF(IRR($C19:D19)&gt;0,IRR($C19:D19),""),"")</f>
        <v/>
      </c>
      <c r="E20" s="14">
        <f>IF(ISNUMBER(IRR($C19:E19)),IF(IRR($C19:E19)&gt;0,IRR($C19:E19),""),"")</f>
        <v/>
      </c>
      <c r="F20" s="14">
        <f>IF(ISNUMBER(IRR($C19:F19)),IF(IRR($C19:F19)&gt;0,IRR($C19:F19),""),"")</f>
        <v/>
      </c>
      <c r="G20" s="14">
        <f>IF(ISNUMBER(IRR($C19:G19)),IF(IRR($C19:G19)&gt;0,IRR($C19:G19),""),"")</f>
        <v/>
      </c>
      <c r="H20" s="14">
        <f>IF(ISNUMBER(IRR($C19:H19)),IF(IRR($C19:H19)&gt;0,IRR($C19:H19),""),"")</f>
        <v/>
      </c>
      <c r="I20" s="14">
        <f>IF(ISNUMBER(IRR($C19:I19)),IF(IRR($C19:I19)&gt;0,IRR($C19:I19),""),"")</f>
        <v/>
      </c>
      <c r="J20" s="14">
        <f>IF(ISNUMBER(IRR($C19:J19)),IF(IRR($C19:J19)&gt;0,IRR($C19:J19),""),"")</f>
        <v/>
      </c>
      <c r="K20" s="14">
        <f>IF(ISNUMBER(IRR($C19:K19)),IF(IRR($C19:K19)&gt;0,IRR($C19:K19),""),"")</f>
        <v/>
      </c>
      <c r="L20" s="14">
        <f>IF(ISNUMBER(IRR($C19:L19)),IF(IRR($C19:L19)&gt;0,IRR($C19:L19),""),"")</f>
        <v/>
      </c>
      <c r="M20" s="14">
        <f>IF(ISNUMBER(IRR($C19:M19)),IF(IRR($C19:M19)&gt;0,IRR($C19:M19),""),"")</f>
        <v/>
      </c>
      <c r="N20" s="14">
        <f>IF(ISNUMBER(IRR($C19:N19)),IF(IRR($C19:N19)&gt;0,IRR($C19:N19),""),"")</f>
        <v/>
      </c>
      <c r="O20" s="14">
        <f>IF(ISNUMBER(IRR($C19:O19)),IF(IRR($C19:O19)&gt;0,IRR($C19:O19),""),"")</f>
        <v/>
      </c>
      <c r="P20" s="14">
        <f>IF(ISNUMBER(IRR($C19:P19)),IF(IRR($C19:P19)&gt;0,IRR($C19:P19),""),"")</f>
        <v/>
      </c>
      <c r="Q20" s="14">
        <f>IF(ISNUMBER(IRR($C19:Q19)),IF(IRR($C19:Q19)&gt;0,IRR($C19:Q19),""),"")</f>
        <v/>
      </c>
      <c r="R20" s="15" t="n"/>
      <c r="S20" s="15" t="n"/>
    </row>
    <row r="21">
      <c r="A21" s="2" t="n"/>
      <c r="B21" s="3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7" t="n"/>
      <c r="S21" s="17" t="n"/>
    </row>
    <row r="22">
      <c r="A22" s="5" t="inlineStr">
        <is>
          <t>V. DROITS FIXES</t>
        </is>
      </c>
      <c r="B22" s="18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</row>
    <row r="23">
      <c r="A23" s="2" t="inlineStr">
        <is>
          <t>Droits fixes</t>
        </is>
      </c>
      <c r="B23" s="3" t="inlineStr">
        <is>
          <t>USD</t>
        </is>
      </c>
      <c r="C23" s="19" t="n">
        <v>100000</v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0">
        <f>SUM($C23:$Q23)</f>
        <v/>
      </c>
      <c r="S23" s="10">
        <f>$C23+NPV(10%,$D23:$Q23)</f>
        <v/>
      </c>
    </row>
    <row r="24">
      <c r="A24" s="2" t="n"/>
      <c r="B24" s="3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7" t="n"/>
      <c r="S24" s="17" t="n"/>
    </row>
    <row r="25">
      <c r="A25" s="5" t="inlineStr">
        <is>
          <t>VI. REDEVANCE SUPERFICAIRE</t>
        </is>
      </c>
      <c r="B25" s="6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</row>
    <row r="26">
      <c r="A26" s="2" t="inlineStr">
        <is>
          <t>Superficie de la mine</t>
        </is>
      </c>
      <c r="B26" s="3" t="inlineStr">
        <is>
          <t>km²</t>
        </is>
      </c>
      <c r="C26" s="8" t="n">
        <v>100</v>
      </c>
      <c r="D26" s="8" t="n">
        <v>100</v>
      </c>
      <c r="E26" s="8" t="n">
        <v>100</v>
      </c>
      <c r="F26" s="8" t="n">
        <v>100</v>
      </c>
      <c r="G26" s="8" t="n">
        <v>100</v>
      </c>
      <c r="H26" s="8" t="n">
        <v>100</v>
      </c>
      <c r="I26" s="8" t="n">
        <v>100</v>
      </c>
      <c r="J26" s="8" t="n">
        <v>100</v>
      </c>
      <c r="K26" s="8" t="n">
        <v>100</v>
      </c>
      <c r="L26" s="8" t="n">
        <v>100</v>
      </c>
      <c r="M26" s="8" t="n">
        <v>100</v>
      </c>
      <c r="N26" s="8" t="n">
        <v>100</v>
      </c>
      <c r="O26" s="8" t="n">
        <v>100</v>
      </c>
      <c r="P26" s="8" t="n">
        <v>100</v>
      </c>
      <c r="Q26" s="8" t="n">
        <v>100</v>
      </c>
      <c r="R26" s="12" t="n"/>
      <c r="S26" s="12" t="n"/>
    </row>
    <row r="27">
      <c r="A27" s="2" t="inlineStr">
        <is>
          <t>Montant de la redevance superfiaire</t>
        </is>
      </c>
      <c r="B27" s="3" t="inlineStr">
        <is>
          <t>USD/km²</t>
        </is>
      </c>
      <c r="C27" s="19" t="n">
        <v>100</v>
      </c>
      <c r="D27" s="19" t="n">
        <v>100</v>
      </c>
      <c r="E27" s="19" t="n">
        <v>100</v>
      </c>
      <c r="F27" s="19" t="n">
        <v>100</v>
      </c>
      <c r="G27" s="19" t="n">
        <v>100</v>
      </c>
      <c r="H27" s="19" t="n">
        <v>100</v>
      </c>
      <c r="I27" s="19" t="n">
        <v>100</v>
      </c>
      <c r="J27" s="19" t="n">
        <v>100</v>
      </c>
      <c r="K27" s="19" t="n">
        <v>100</v>
      </c>
      <c r="L27" s="19" t="n">
        <v>100</v>
      </c>
      <c r="M27" s="19" t="n">
        <v>100</v>
      </c>
      <c r="N27" s="19" t="n">
        <v>100</v>
      </c>
      <c r="O27" s="19" t="n">
        <v>100</v>
      </c>
      <c r="P27" s="19" t="n">
        <v>100</v>
      </c>
      <c r="Q27" s="19" t="n">
        <v>100</v>
      </c>
      <c r="R27" s="12" t="n"/>
      <c r="S27" s="12" t="n"/>
    </row>
    <row r="28">
      <c r="A28" s="2" t="inlineStr">
        <is>
          <t>Redevance superficiaire</t>
        </is>
      </c>
      <c r="B28" s="3" t="inlineStr">
        <is>
          <t>USD</t>
        </is>
      </c>
      <c r="C28" s="10">
        <f>C$26*C$27</f>
        <v/>
      </c>
      <c r="D28" s="10">
        <f>D$26*D$27</f>
        <v/>
      </c>
      <c r="E28" s="10">
        <f>E$26*E$27</f>
        <v/>
      </c>
      <c r="F28" s="10">
        <f>F$26*F$27</f>
        <v/>
      </c>
      <c r="G28" s="10">
        <f>G$26*G$27</f>
        <v/>
      </c>
      <c r="H28" s="10">
        <f>H$26*H$27</f>
        <v/>
      </c>
      <c r="I28" s="10">
        <f>I$26*I$27</f>
        <v/>
      </c>
      <c r="J28" s="10">
        <f>J$26*J$27</f>
        <v/>
      </c>
      <c r="K28" s="10">
        <f>K$26*K$27</f>
        <v/>
      </c>
      <c r="L28" s="10">
        <f>L$26*L$27</f>
        <v/>
      </c>
      <c r="M28" s="10">
        <f>M$26*M$27</f>
        <v/>
      </c>
      <c r="N28" s="10">
        <f>N$26*N$27</f>
        <v/>
      </c>
      <c r="O28" s="10">
        <f>O$26*O$27</f>
        <v/>
      </c>
      <c r="P28" s="10">
        <f>P$26*P$27</f>
        <v/>
      </c>
      <c r="Q28" s="10">
        <f>Q$26*Q$27</f>
        <v/>
      </c>
      <c r="R28" s="10">
        <f>SUM($C28:$Q28)</f>
        <v/>
      </c>
      <c r="S28" s="10">
        <f>$C28+NPV(10%,$D28:$Q28)</f>
        <v/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</row>
    <row r="30">
      <c r="A30" s="5" t="inlineStr">
        <is>
          <t>VII. REDEVANCE MINIERE</t>
        </is>
      </c>
      <c r="B30" s="6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</row>
    <row r="31">
      <c r="A31" s="2" t="inlineStr">
        <is>
          <t>Taux de la redevance minière</t>
        </is>
      </c>
      <c r="B31" s="3" t="inlineStr">
        <is>
          <t>%</t>
        </is>
      </c>
      <c r="C31" s="21">
        <f>IF(ISNUMBER(C5),IF(C$5&lt;1300,3%,IF(C$5&lt;1500,4%,5%)),"")</f>
        <v/>
      </c>
      <c r="D31" s="21">
        <f>IF(ISNUMBER(D5),IF(D$5&lt;1300,3%,IF(D$5&lt;1500,4%,5%)),"")</f>
        <v/>
      </c>
      <c r="E31" s="21">
        <f>IF(ISNUMBER(E5),IF(E$5&lt;1300,3%,IF(E$5&lt;1500,4%,5%)),"")</f>
        <v/>
      </c>
      <c r="F31" s="21">
        <f>IF(ISNUMBER(F5),IF(F$5&lt;1300,3%,IF(F$5&lt;1500,4%,5%)),"")</f>
        <v/>
      </c>
      <c r="G31" s="21">
        <f>IF(ISNUMBER(G5),IF(G$5&lt;1300,3%,IF(G$5&lt;1500,4%,5%)),"")</f>
        <v/>
      </c>
      <c r="H31" s="21">
        <f>IF(ISNUMBER(H5),IF(H$5&lt;1300,3%,IF(H$5&lt;1500,4%,5%)),"")</f>
        <v/>
      </c>
      <c r="I31" s="21">
        <f>IF(ISNUMBER(I5),IF(I$5&lt;1300,3%,IF(I$5&lt;1500,4%,5%)),"")</f>
        <v/>
      </c>
      <c r="J31" s="21">
        <f>IF(ISNUMBER(J5),IF(J$5&lt;1300,3%,IF(J$5&lt;1500,4%,5%)),"")</f>
        <v/>
      </c>
      <c r="K31" s="21">
        <f>IF(ISNUMBER(K5),IF(K$5&lt;1300,3%,IF(K$5&lt;1500,4%,5%)),"")</f>
        <v/>
      </c>
      <c r="L31" s="21">
        <f>IF(ISNUMBER(L5),IF(L$5&lt;1300,3%,IF(L$5&lt;1500,4%,5%)),"")</f>
        <v/>
      </c>
      <c r="M31" s="21">
        <f>IF(ISNUMBER(M5),IF(M$5&lt;1300,3%,IF(M$5&lt;1500,4%,5%)),"")</f>
        <v/>
      </c>
      <c r="N31" s="21">
        <f>IF(ISNUMBER(N5),IF(N$5&lt;1300,3%,IF(N$5&lt;1500,4%,5%)),"")</f>
        <v/>
      </c>
      <c r="O31" s="21">
        <f>IF(ISNUMBER(O5),IF(O$5&lt;1300,3%,IF(O$5&lt;1500,4%,5%)),"")</f>
        <v/>
      </c>
      <c r="P31" s="21">
        <f>IF(ISNUMBER(P5),IF(P$5&lt;1300,3%,IF(P$5&lt;1500,4%,5%)),"")</f>
        <v/>
      </c>
      <c r="Q31" s="21">
        <f>IF(ISNUMBER(Q5),IF(Q$5&lt;1300,3%,IF(Q$5&lt;1500,4%,5%)),"")</f>
        <v/>
      </c>
      <c r="R31" s="12" t="n"/>
      <c r="S31" s="12" t="n"/>
    </row>
    <row r="32">
      <c r="A32" s="2" t="inlineStr">
        <is>
          <t>Redevance minière</t>
        </is>
      </c>
      <c r="B32" s="3" t="inlineStr">
        <is>
          <t>USD</t>
        </is>
      </c>
      <c r="C32" s="10">
        <f>IF(ISNUMBER(C31),C$6*C$31,0)</f>
        <v/>
      </c>
      <c r="D32" s="10">
        <f>IF(ISNUMBER(D31),D$6*D$31,0)</f>
        <v/>
      </c>
      <c r="E32" s="10">
        <f>IF(ISNUMBER(E31),E$6*E$31,0)</f>
        <v/>
      </c>
      <c r="F32" s="10">
        <f>IF(ISNUMBER(F31),F$6*F$31,0)</f>
        <v/>
      </c>
      <c r="G32" s="10">
        <f>IF(ISNUMBER(G31),G$6*G$31,0)</f>
        <v/>
      </c>
      <c r="H32" s="10">
        <f>IF(ISNUMBER(H31),H$6*H$31,0)</f>
        <v/>
      </c>
      <c r="I32" s="10">
        <f>IF(ISNUMBER(I31),I$6*I$31,0)</f>
        <v/>
      </c>
      <c r="J32" s="10">
        <f>IF(ISNUMBER(J31),J$6*J$31,0)</f>
        <v/>
      </c>
      <c r="K32" s="10">
        <f>IF(ISNUMBER(K31),K$6*K$31,0)</f>
        <v/>
      </c>
      <c r="L32" s="10">
        <f>IF(ISNUMBER(L31),L$6*L$31,0)</f>
        <v/>
      </c>
      <c r="M32" s="10">
        <f>IF(ISNUMBER(M31),M$6*M$31,0)</f>
        <v/>
      </c>
      <c r="N32" s="10">
        <f>IF(ISNUMBER(N31),N$6*N$31,0)</f>
        <v/>
      </c>
      <c r="O32" s="10">
        <f>IF(ISNUMBER(O31),O$6*O$31,0)</f>
        <v/>
      </c>
      <c r="P32" s="10">
        <f>IF(ISNUMBER(P31),P$6*P$31,0)</f>
        <v/>
      </c>
      <c r="Q32" s="10">
        <f>IF(ISNUMBER(Q31),Q$6*Q$31,0)</f>
        <v/>
      </c>
      <c r="R32" s="10">
        <f>SUM($C32:$Q32)</f>
        <v/>
      </c>
      <c r="S32" s="10">
        <f>$C32+NPV(10%,$D32:$Q32)</f>
        <v/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</row>
    <row r="34">
      <c r="A34" s="5" t="inlineStr">
        <is>
          <t>+. LA TAXE SUR LA RENTE</t>
        </is>
      </c>
      <c r="B34" s="6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>
      <c r="A35" s="2" t="inlineStr">
        <is>
          <t>Taux de revalorisation des pertes</t>
        </is>
      </c>
      <c r="B35" s="3" t="inlineStr">
        <is>
          <t>%</t>
        </is>
      </c>
      <c r="C35" s="21" t="n">
        <v>0.02</v>
      </c>
      <c r="D35" s="21" t="n">
        <v>0.02</v>
      </c>
      <c r="E35" s="21" t="n">
        <v>0.02</v>
      </c>
      <c r="F35" s="21" t="n">
        <v>0.02</v>
      </c>
      <c r="G35" s="21" t="n">
        <v>0.02</v>
      </c>
      <c r="H35" s="21" t="n">
        <v>0.02</v>
      </c>
      <c r="I35" s="21" t="n">
        <v>0.02</v>
      </c>
      <c r="J35" s="21" t="n">
        <v>0.02</v>
      </c>
      <c r="K35" s="21" t="n">
        <v>0.02</v>
      </c>
      <c r="L35" s="21" t="n">
        <v>0.02</v>
      </c>
      <c r="M35" s="21" t="n">
        <v>0.02</v>
      </c>
      <c r="N35" s="21" t="n">
        <v>0.02</v>
      </c>
      <c r="O35" s="21" t="n">
        <v>0.02</v>
      </c>
      <c r="P35" s="21" t="n">
        <v>0.02</v>
      </c>
      <c r="Q35" s="21" t="n">
        <v>0.02</v>
      </c>
      <c r="R35" s="9" t="n"/>
      <c r="S35" s="9" t="n"/>
    </row>
    <row r="36">
      <c r="A36" s="2" t="inlineStr">
        <is>
          <t>Flux nets de trésorerie revalorisés</t>
        </is>
      </c>
      <c r="B36" s="3" t="inlineStr">
        <is>
          <t>USD</t>
        </is>
      </c>
      <c r="C36" s="9">
        <f>IF(C19&lt;0,C19*(1+C35),C19)</f>
        <v/>
      </c>
      <c r="D36" s="9">
        <f>IF(D19&lt;0,D19*(1+D35),D19)</f>
        <v/>
      </c>
      <c r="E36" s="9">
        <f>IF(E19&lt;0,E19*(1+E35),E19)</f>
        <v/>
      </c>
      <c r="F36" s="9">
        <f>IF(F19&lt;0,F19*(1+F35),F19)</f>
        <v/>
      </c>
      <c r="G36" s="9">
        <f>IF(G19&lt;0,G19*(1+G35),G19)</f>
        <v/>
      </c>
      <c r="H36" s="9">
        <f>IF(H19&lt;0,H19*(1+H35),H19)</f>
        <v/>
      </c>
      <c r="I36" s="9">
        <f>IF(I19&lt;0,I19*(1+I35),I19)</f>
        <v/>
      </c>
      <c r="J36" s="9">
        <f>IF(J19&lt;0,J19*(1+J35),J19)</f>
        <v/>
      </c>
      <c r="K36" s="9">
        <f>IF(K19&lt;0,K19*(1+K35),K19)</f>
        <v/>
      </c>
      <c r="L36" s="9">
        <f>IF(L19&lt;0,L19*(1+L35),L19)</f>
        <v/>
      </c>
      <c r="M36" s="9">
        <f>IF(M19&lt;0,M19*(1+M35),M19)</f>
        <v/>
      </c>
      <c r="N36" s="9">
        <f>IF(N19&lt;0,N19*(1+N35),N19)</f>
        <v/>
      </c>
      <c r="O36" s="9">
        <f>IF(O19&lt;0,O19*(1+O35),O19)</f>
        <v/>
      </c>
      <c r="P36" s="9">
        <f>IF(P19&lt;0,P19*(1+P35),P19)</f>
        <v/>
      </c>
      <c r="Q36" s="9">
        <f>IF(Q19&lt;0,Q19*(1+Q35),Q19)</f>
        <v/>
      </c>
      <c r="R36" s="9">
        <f>SUM($C36:$Q36)</f>
        <v/>
      </c>
      <c r="S36" s="9">
        <f>$C36+NPV(10%,$D36:$Q36)</f>
        <v/>
      </c>
    </row>
    <row r="37">
      <c r="A37" s="2" t="inlineStr">
        <is>
          <t>Taux de rendement interne</t>
        </is>
      </c>
      <c r="B37" s="3" t="inlineStr">
        <is>
          <t>%</t>
        </is>
      </c>
      <c r="C37" s="33">
        <f>IF(ISNUMBER(IRR($C36:C36)),IF(IRR($C36:C36)&gt;0,IRR($C36:C36),""),"")</f>
        <v/>
      </c>
      <c r="D37" s="33">
        <f>IF(ISNUMBER(IRR($C36:D36)),IF(IRR($C36:D36)&gt;0,IRR($C36:D36),""),"")</f>
        <v/>
      </c>
      <c r="E37" s="33">
        <f>IF(ISNUMBER(IRR($C36:E36)),IF(IRR($C36:E36)&gt;0,IRR($C36:E36),""),"")</f>
        <v/>
      </c>
      <c r="F37" s="33">
        <f>IF(ISNUMBER(IRR($C36:F36)),IF(IRR($C36:F36)&gt;0,IRR($C36:F36),""),"")</f>
        <v/>
      </c>
      <c r="G37" s="33">
        <f>IF(ISNUMBER(IRR($C36:G36)),IF(IRR($C36:G36)&gt;0,IRR($C36:G36),""),"")</f>
        <v/>
      </c>
      <c r="H37" s="33">
        <f>IF(ISNUMBER(IRR($C36:H36)),IF(IRR($C36:H36)&gt;0,IRR($C36:H36),""),"")</f>
        <v/>
      </c>
      <c r="I37" s="33">
        <f>IF(ISNUMBER(IRR($C36:I36)),IF(IRR($C36:I36)&gt;0,IRR($C36:I36),""),"")</f>
        <v/>
      </c>
      <c r="J37" s="33">
        <f>IF(ISNUMBER(IRR($C36:J36)),IF(IRR($C36:J36)&gt;0,IRR($C36:J36),""),"")</f>
        <v/>
      </c>
      <c r="K37" s="33">
        <f>IF(ISNUMBER(IRR($C36:K36)),IF(IRR($C36:K36)&gt;0,IRR($C36:K36),""),"")</f>
        <v/>
      </c>
      <c r="L37" s="33">
        <f>IF(ISNUMBER(IRR($C36:L36)),IF(IRR($C36:L36)&gt;0,IRR($C36:L36),""),"")</f>
        <v/>
      </c>
      <c r="M37" s="33">
        <f>IF(ISNUMBER(IRR($C36:M36)),IF(IRR($C36:M36)&gt;0,IRR($C36:M36),""),"")</f>
        <v/>
      </c>
      <c r="N37" s="33">
        <f>IF(ISNUMBER(IRR($C36:N36)),IF(IRR($C36:N36)&gt;0,IRR($C36:N36),""),"")</f>
        <v/>
      </c>
      <c r="O37" s="33">
        <f>IF(ISNUMBER(IRR($C36:O36)),IF(IRR($C36:O36)&gt;0,IRR($C36:O36),""),"")</f>
        <v/>
      </c>
      <c r="P37" s="33">
        <f>IF(ISNUMBER(IRR($C36:P36)),IF(IRR($C36:P36)&gt;0,IRR($C36:P36),""),"")</f>
        <v/>
      </c>
      <c r="Q37" s="33">
        <f>IF(ISNUMBER(IRR($C36:Q36)),IF(IRR($C36:Q36)&gt;0,IRR($C36:Q36),""),"")</f>
        <v/>
      </c>
      <c r="R37" s="9" t="n"/>
      <c r="S37" s="9" t="n"/>
    </row>
    <row r="38">
      <c r="A38" s="2" t="inlineStr">
        <is>
          <t>Seuil de déclenchement de la taxe sur la rente</t>
        </is>
      </c>
      <c r="B38" s="3" t="inlineStr">
        <is>
          <t>%</t>
        </is>
      </c>
      <c r="C38" s="21" t="n">
        <v>0.15</v>
      </c>
      <c r="D38" s="21" t="n">
        <v>0.15</v>
      </c>
      <c r="E38" s="21" t="n">
        <v>0.15</v>
      </c>
      <c r="F38" s="21" t="n">
        <v>0.15</v>
      </c>
      <c r="G38" s="21" t="n">
        <v>0.15</v>
      </c>
      <c r="H38" s="21" t="n">
        <v>0.15</v>
      </c>
      <c r="I38" s="21" t="n">
        <v>0.15</v>
      </c>
      <c r="J38" s="21" t="n">
        <v>0.15</v>
      </c>
      <c r="K38" s="21" t="n">
        <v>0.15</v>
      </c>
      <c r="L38" s="21" t="n">
        <v>0.15</v>
      </c>
      <c r="M38" s="21" t="n">
        <v>0.15</v>
      </c>
      <c r="N38" s="21" t="n">
        <v>0.15</v>
      </c>
      <c r="O38" s="21" t="n">
        <v>0.15</v>
      </c>
      <c r="P38" s="21" t="n">
        <v>0.15</v>
      </c>
      <c r="Q38" s="21" t="n">
        <v>0.15</v>
      </c>
      <c r="R38" s="9" t="n"/>
      <c r="S38" s="9" t="n"/>
    </row>
    <row r="39">
      <c r="A39" s="2" t="inlineStr">
        <is>
          <t>Report des pertes revalorisées</t>
        </is>
      </c>
      <c r="B39" s="3" t="n"/>
      <c r="C39" s="9" t="n"/>
      <c r="D39" s="9">
        <f>IF(C40&lt;0,C40,0)</f>
        <v/>
      </c>
      <c r="E39" s="9">
        <f>IF(D40&lt;0,D40,0)</f>
        <v/>
      </c>
      <c r="F39" s="9">
        <f>IF(E40&lt;0,E40,0)</f>
        <v/>
      </c>
      <c r="G39" s="9">
        <f>IF(F40&lt;0,F40,0)</f>
        <v/>
      </c>
      <c r="H39" s="9">
        <f>IF(C40&lt;0,C40,0)</f>
        <v/>
      </c>
      <c r="I39" s="9">
        <f>IF(H40&lt;0,H40,0)</f>
        <v/>
      </c>
      <c r="J39" s="9">
        <f>IF(I40&lt;0,I40,0)</f>
        <v/>
      </c>
      <c r="K39" s="9">
        <f>IF(J40&lt;0,J40,0)</f>
        <v/>
      </c>
      <c r="L39" s="9">
        <f>IF(G40&lt;0,G40,0)</f>
        <v/>
      </c>
      <c r="M39" s="9">
        <f>IF(L40&lt;0,L40,0)</f>
        <v/>
      </c>
      <c r="N39" s="9">
        <f>IF(M40&lt;0,M40,0)</f>
        <v/>
      </c>
      <c r="O39" s="9">
        <f>IF(N40&lt;0,N40,0)</f>
        <v/>
      </c>
      <c r="P39" s="9">
        <f>IF(O40&lt;0,O40,0)</f>
        <v/>
      </c>
      <c r="Q39" s="9">
        <f>IF(P40&lt;0,P40,0)</f>
        <v/>
      </c>
      <c r="R39" s="9" t="n"/>
      <c r="S39" s="9" t="n"/>
    </row>
    <row r="40">
      <c r="A40" s="2" t="inlineStr">
        <is>
          <t>Flux nets de trésorerie après report des pertes revalorisées</t>
        </is>
      </c>
      <c r="B40" s="3" t="inlineStr">
        <is>
          <t>USD</t>
        </is>
      </c>
      <c r="C40" s="9">
        <f>C36+C39</f>
        <v/>
      </c>
      <c r="D40" s="9">
        <f>D36+D39</f>
        <v/>
      </c>
      <c r="E40" s="9">
        <f>E36+E39</f>
        <v/>
      </c>
      <c r="F40" s="9">
        <f>F36+F39</f>
        <v/>
      </c>
      <c r="G40" s="9">
        <f>G36+G39</f>
        <v/>
      </c>
      <c r="H40" s="9">
        <f>H36+H39</f>
        <v/>
      </c>
      <c r="I40" s="9">
        <f>I36+I39</f>
        <v/>
      </c>
      <c r="J40" s="9">
        <f>J36+J39</f>
        <v/>
      </c>
      <c r="K40" s="9">
        <f>K36+K39</f>
        <v/>
      </c>
      <c r="L40" s="9">
        <f>L36+L39</f>
        <v/>
      </c>
      <c r="M40" s="9">
        <f>M36+M39</f>
        <v/>
      </c>
      <c r="N40" s="9">
        <f>N36+N39</f>
        <v/>
      </c>
      <c r="O40" s="9">
        <f>O36+O39</f>
        <v/>
      </c>
      <c r="P40" s="9">
        <f>P36+P39</f>
        <v/>
      </c>
      <c r="Q40" s="9">
        <f>Q36+Q39</f>
        <v/>
      </c>
      <c r="R40" s="9">
        <f>SUM($C40:$Q40)</f>
        <v/>
      </c>
      <c r="S40" s="9">
        <f>$C40+NPV(10%,$D40:$Q40)</f>
        <v/>
      </c>
    </row>
    <row r="41">
      <c r="A41" s="2" t="inlineStr">
        <is>
          <t>Taux de la taxe sur la rente</t>
        </is>
      </c>
      <c r="B41" s="3" t="inlineStr">
        <is>
          <t>%</t>
        </is>
      </c>
      <c r="C41" s="21" t="n">
        <v>0.2</v>
      </c>
      <c r="D41" s="21" t="n">
        <v>0.2</v>
      </c>
      <c r="E41" s="21" t="n">
        <v>0.2</v>
      </c>
      <c r="F41" s="21" t="n">
        <v>0.2</v>
      </c>
      <c r="G41" s="21" t="n">
        <v>0.2</v>
      </c>
      <c r="H41" s="21" t="n">
        <v>0.2</v>
      </c>
      <c r="I41" s="21" t="n">
        <v>0.2</v>
      </c>
      <c r="J41" s="21" t="n">
        <v>0.2</v>
      </c>
      <c r="K41" s="21" t="n">
        <v>0.2</v>
      </c>
      <c r="L41" s="21" t="n">
        <v>0.2</v>
      </c>
      <c r="M41" s="21" t="n">
        <v>0.2</v>
      </c>
      <c r="N41" s="21" t="n">
        <v>0.2</v>
      </c>
      <c r="O41" s="21" t="n">
        <v>0.2</v>
      </c>
      <c r="P41" s="21" t="n">
        <v>0.2</v>
      </c>
      <c r="Q41" s="21" t="n">
        <v>0.2</v>
      </c>
      <c r="R41" s="9" t="n"/>
      <c r="S41" s="9" t="n"/>
    </row>
    <row r="42">
      <c r="A42" s="2" t="inlineStr">
        <is>
          <t>Taxe sur la rente</t>
        </is>
      </c>
      <c r="B42" s="3" t="inlineStr">
        <is>
          <t>USD</t>
        </is>
      </c>
      <c r="C42" s="10">
        <f>IF(C37&lt;C38,0,IF(C40&lt;0,0,C40*C41))</f>
        <v/>
      </c>
      <c r="D42" s="10">
        <f>IF(D37&lt;D38,0,IF(D40&lt;0,0,D40*D41))</f>
        <v/>
      </c>
      <c r="E42" s="10">
        <f>IF(E37&lt;E38,0,IF(E40&lt;0,0,E40*E41))</f>
        <v/>
      </c>
      <c r="F42" s="10">
        <f>IF(F37&lt;F38,0,IF(F40&lt;0,0,F40*F41))</f>
        <v/>
      </c>
      <c r="G42" s="10">
        <f>IF(G37&lt;G38,0,IF(G40&lt;0,0,G40*G41))</f>
        <v/>
      </c>
      <c r="H42" s="10">
        <f>IF(H37&lt;H38,0,IF(H40&lt;0,0,H40*H41))</f>
        <v/>
      </c>
      <c r="I42" s="10">
        <f>IF(I37&lt;I38,0,IF(I40&lt;0,0,I40*I41))</f>
        <v/>
      </c>
      <c r="J42" s="10">
        <f>IF(J37&lt;J38,0,IF(J40&lt;0,0,J40*J41))</f>
        <v/>
      </c>
      <c r="K42" s="10">
        <f>IF(K37&lt;K38,0,IF(K40&lt;0,0,K40*K41))</f>
        <v/>
      </c>
      <c r="L42" s="10">
        <f>IF(L37&lt;L38,0,IF(L40&lt;0,0,L40*L41))</f>
        <v/>
      </c>
      <c r="M42" s="10">
        <f>IF(M37&lt;M38,0,IF(M40&lt;0,0,M40*M41))</f>
        <v/>
      </c>
      <c r="N42" s="10">
        <f>IF(N37&lt;N38,0,IF(N40&lt;0,0,N40*N41))</f>
        <v/>
      </c>
      <c r="O42" s="10">
        <f>IF(O37&lt;O38,0,IF(O40&lt;0,0,O40*O41))</f>
        <v/>
      </c>
      <c r="P42" s="10">
        <f>IF(P37&lt;P38,0,IF(P40&lt;0,0,P40*P41))</f>
        <v/>
      </c>
      <c r="Q42" s="10">
        <f>IF(Q37&lt;Q38,0,IF(Q40&lt;0,0,Q40*Q41))</f>
        <v/>
      </c>
      <c r="R42" s="10">
        <f>SUM($C42:$Q42)</f>
        <v/>
      </c>
      <c r="S42" s="10">
        <f>$C42+NPV(10%,$D42:$Q42)</f>
        <v/>
      </c>
    </row>
    <row r="43">
      <c r="A43" s="2" t="n"/>
      <c r="B43" s="3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>
      <c r="A44" s="5" t="inlineStr">
        <is>
          <t>VIII. IMPÔT SUR LES SOCIETES (IS)</t>
        </is>
      </c>
      <c r="B44" s="6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</row>
    <row r="45">
      <c r="A45" s="2" t="inlineStr">
        <is>
          <t>Bénéfice avant report des pertes</t>
        </is>
      </c>
      <c r="B45" s="3" t="inlineStr">
        <is>
          <t>USD</t>
        </is>
      </c>
      <c r="C45" s="9">
        <f>C$6-C$16-C$23-C$28-C$32-C$42-'Amortissements et Emprunt'!C$25-'Amortissements et Emprunt'!C$119-'Amortissements et Emprunt'!C133-'Amortissements et Emprunt'!C$157</f>
        <v/>
      </c>
      <c r="D45" s="9">
        <f>D$6-D$16-D$23-D$28-D$32-D$42-'Amortissements et Emprunt'!D$25-'Amortissements et Emprunt'!D$119-'Amortissements et Emprunt'!D133-'Amortissements et Emprunt'!D$157</f>
        <v/>
      </c>
      <c r="E45" s="9">
        <f>E$6-E$16-E$23-E$28-E$32-E$42-'Amortissements et Emprunt'!E$25-'Amortissements et Emprunt'!E$119-'Amortissements et Emprunt'!E133-'Amortissements et Emprunt'!E$157</f>
        <v/>
      </c>
      <c r="F45" s="9">
        <f>F$6-F$16-F$23-F$28-F$32-F$42-'Amortissements et Emprunt'!F$25-'Amortissements et Emprunt'!F$119-'Amortissements et Emprunt'!F133-'Amortissements et Emprunt'!F$157</f>
        <v/>
      </c>
      <c r="G45" s="9">
        <f>G$6-G$16-G$23-G$28-G$32-G$42-'Amortissements et Emprunt'!G$25-'Amortissements et Emprunt'!G$119-'Amortissements et Emprunt'!G133-'Amortissements et Emprunt'!G$157</f>
        <v/>
      </c>
      <c r="H45" s="9">
        <f>H$6-H$16-H$23-H$28-H$32-H$42-'Amortissements et Emprunt'!D$25-'Amortissements et Emprunt'!D$119-'Amortissements et Emprunt'!D133-'Amortissements et Emprunt'!D$157</f>
        <v/>
      </c>
      <c r="I45" s="9">
        <f>I$6-I$16-I$23-I$28-I$32-I$42-'Amortissements et Emprunt'!E$25-'Amortissements et Emprunt'!E$119-'Amortissements et Emprunt'!E133-'Amortissements et Emprunt'!E$157</f>
        <v/>
      </c>
      <c r="J45" s="9">
        <f>J$6-J$16-J$23-J$28-J$32-J$42-'Amortissements et Emprunt'!F$25-'Amortissements et Emprunt'!F$119-'Amortissements et Emprunt'!F133-'Amortissements et Emprunt'!F$157</f>
        <v/>
      </c>
      <c r="K45" s="9">
        <f>K$6-K$16-K$23-K$28-K$32-K$42-'Amortissements et Emprunt'!G$25-'Amortissements et Emprunt'!G$119-'Amortissements et Emprunt'!G133-'Amortissements et Emprunt'!G$157</f>
        <v/>
      </c>
      <c r="L45" s="9">
        <f>L$6-L$16-L$23-L$28-L$32-L$42-'Amortissements et Emprunt'!H$25-'Amortissements et Emprunt'!H$119-'Amortissements et Emprunt'!H133-'Amortissements et Emprunt'!H$157</f>
        <v/>
      </c>
      <c r="M45" s="9">
        <f>M$6-M$16-M$23-M$28-M$32-M$42-'Amortissements et Emprunt'!I$25-'Amortissements et Emprunt'!I$119-'Amortissements et Emprunt'!I133-'Amortissements et Emprunt'!I$157</f>
        <v/>
      </c>
      <c r="N45" s="9">
        <f>N$6-N$16-N$23-N$28-N$32-N$42-'Amortissements et Emprunt'!J$25-'Amortissements et Emprunt'!J$119-'Amortissements et Emprunt'!J133-'Amortissements et Emprunt'!J$157</f>
        <v/>
      </c>
      <c r="O45" s="9">
        <f>O$6-O$16-O$23-O$28-O$32-O$42-'Amortissements et Emprunt'!K$25-'Amortissements et Emprunt'!K$119-'Amortissements et Emprunt'!K133-'Amortissements et Emprunt'!K$157</f>
        <v/>
      </c>
      <c r="P45" s="9">
        <f>P$6-P$16-P$23-P$28-P$32-P$42-'Amortissements et Emprunt'!L$25-'Amortissements et Emprunt'!L$119-'Amortissements et Emprunt'!L133-'Amortissements et Emprunt'!L$157</f>
        <v/>
      </c>
      <c r="Q45" s="9">
        <f>Q$6-Q$16-Q$23-Q$28-Q$32-Q$42-'Amortissements et Emprunt'!M$25-'Amortissements et Emprunt'!M$119-'Amortissements et Emprunt'!M133-'Amortissements et Emprunt'!M$157</f>
        <v/>
      </c>
      <c r="R45" s="9">
        <f>SUM($C45:$Q45)</f>
        <v/>
      </c>
      <c r="S45" s="9">
        <f>$C45+NPV(10%,$D45:$Q45)</f>
        <v/>
      </c>
    </row>
    <row r="46">
      <c r="A46" s="2" t="inlineStr">
        <is>
          <t>Report des pertes</t>
        </is>
      </c>
      <c r="B46" s="3" t="inlineStr">
        <is>
          <t>USD</t>
        </is>
      </c>
      <c r="C46" s="9" t="n"/>
      <c r="D46" s="9">
        <f>IF(C47&lt;0,C47,0)</f>
        <v/>
      </c>
      <c r="E46" s="9">
        <f>IF(D47&lt;0,D47,0)</f>
        <v/>
      </c>
      <c r="F46" s="9">
        <f>IF(E47&lt;0,E47,0)</f>
        <v/>
      </c>
      <c r="G46" s="9">
        <f>IF(F47&lt;0,F47,0)</f>
        <v/>
      </c>
      <c r="H46" s="9">
        <f>IF(C47&lt;0,C47,0)</f>
        <v/>
      </c>
      <c r="I46" s="9">
        <f>IF(H47&lt;0,H47,0)</f>
        <v/>
      </c>
      <c r="J46" s="9">
        <f>IF(I47&lt;0,I47,0)</f>
        <v/>
      </c>
      <c r="K46" s="9">
        <f>IF(J47&lt;0,J47,0)</f>
        <v/>
      </c>
      <c r="L46" s="9">
        <f>IF(G47&lt;0,G47,0)</f>
        <v/>
      </c>
      <c r="M46" s="9">
        <f>IF(L47&lt;0,L47,0)</f>
        <v/>
      </c>
      <c r="N46" s="9">
        <f>IF(M47&lt;0,M47,0)</f>
        <v/>
      </c>
      <c r="O46" s="9">
        <f>IF(N47&lt;0,N47,0)</f>
        <v/>
      </c>
      <c r="P46" s="9">
        <f>IF(O47&lt;0,O47,0)</f>
        <v/>
      </c>
      <c r="Q46" s="9">
        <f>IF(P47&lt;0,P47,0)</f>
        <v/>
      </c>
      <c r="R46" s="12" t="n"/>
      <c r="S46" s="12" t="n"/>
    </row>
    <row r="47">
      <c r="A47" s="2" t="inlineStr">
        <is>
          <t>Bénéfice fiscal</t>
        </is>
      </c>
      <c r="B47" s="3" t="inlineStr">
        <is>
          <t>USD</t>
        </is>
      </c>
      <c r="C47" s="9">
        <f>C$45+C$46</f>
        <v/>
      </c>
      <c r="D47" s="9">
        <f>D$45+D$46</f>
        <v/>
      </c>
      <c r="E47" s="9">
        <f>E$45+E$46</f>
        <v/>
      </c>
      <c r="F47" s="9">
        <f>F$45+F$46</f>
        <v/>
      </c>
      <c r="G47" s="9">
        <f>G$45+G$46</f>
        <v/>
      </c>
      <c r="H47" s="9">
        <f>H$45+H$46</f>
        <v/>
      </c>
      <c r="I47" s="9">
        <f>I$45+I$46</f>
        <v/>
      </c>
      <c r="J47" s="9">
        <f>J$45+J$46</f>
        <v/>
      </c>
      <c r="K47" s="9">
        <f>K$45+K$46</f>
        <v/>
      </c>
      <c r="L47" s="9">
        <f>L$45+L$46</f>
        <v/>
      </c>
      <c r="M47" s="9">
        <f>M$45+M$46</f>
        <v/>
      </c>
      <c r="N47" s="9">
        <f>N$45+N$46</f>
        <v/>
      </c>
      <c r="O47" s="9">
        <f>O$45+O$46</f>
        <v/>
      </c>
      <c r="P47" s="9">
        <f>P$45+P$46</f>
        <v/>
      </c>
      <c r="Q47" s="9">
        <f>Q$45+Q$46</f>
        <v/>
      </c>
      <c r="R47" s="9">
        <f>SUM($C47:$Q47)</f>
        <v/>
      </c>
      <c r="S47" s="9">
        <f>$C47+NPV(10%,$D47:$Q47)</f>
        <v/>
      </c>
    </row>
    <row r="48">
      <c r="A48" s="2" t="inlineStr">
        <is>
          <t>Taux de l'impôt sur les sociétés</t>
        </is>
      </c>
      <c r="B48" s="3" t="inlineStr">
        <is>
          <t>%</t>
        </is>
      </c>
      <c r="C48" s="21" t="n">
        <v>0.3</v>
      </c>
      <c r="D48" s="21" t="n">
        <v>0.3</v>
      </c>
      <c r="E48" s="21" t="n">
        <v>0.3</v>
      </c>
      <c r="F48" s="21" t="n">
        <v>0.3</v>
      </c>
      <c r="G48" s="21" t="n">
        <v>0.3</v>
      </c>
      <c r="H48" s="21" t="n">
        <v>0.3</v>
      </c>
      <c r="I48" s="21" t="n">
        <v>0.3</v>
      </c>
      <c r="J48" s="21" t="n">
        <v>0.3</v>
      </c>
      <c r="K48" s="21" t="n">
        <v>0.3</v>
      </c>
      <c r="L48" s="21" t="n">
        <v>0.3</v>
      </c>
      <c r="M48" s="21" t="n">
        <v>0.3</v>
      </c>
      <c r="N48" s="21" t="n">
        <v>0.3</v>
      </c>
      <c r="O48" s="21" t="n">
        <v>0.3</v>
      </c>
      <c r="P48" s="21" t="n">
        <v>0.3</v>
      </c>
      <c r="Q48" s="21" t="n">
        <v>0.3</v>
      </c>
      <c r="R48" s="12" t="n"/>
      <c r="S48" s="12" t="n"/>
    </row>
    <row r="49">
      <c r="A49" s="2" t="inlineStr">
        <is>
          <t>Impôt sur les sociétés</t>
        </is>
      </c>
      <c r="B49" s="3" t="inlineStr">
        <is>
          <t>USD</t>
        </is>
      </c>
      <c r="C49" s="10">
        <f>IF(C$47&gt;0,C$47*C$48,0)</f>
        <v/>
      </c>
      <c r="D49" s="10">
        <f>IF(D$47&gt;0,D$47*D$48,0)</f>
        <v/>
      </c>
      <c r="E49" s="10">
        <f>IF(E$47&gt;0,E$47*E$48,0)</f>
        <v/>
      </c>
      <c r="F49" s="10">
        <f>IF(F$47&gt;0,F$47*F$48,0)</f>
        <v/>
      </c>
      <c r="G49" s="10">
        <f>IF(G$47&gt;0,G$47*G$48,0)</f>
        <v/>
      </c>
      <c r="H49" s="10">
        <f>IF(H$47&gt;0,H$47*H$48,0)</f>
        <v/>
      </c>
      <c r="I49" s="10">
        <f>IF(I$47&gt;0,I$47*I$48,0)</f>
        <v/>
      </c>
      <c r="J49" s="10">
        <f>IF(J$47&gt;0,J$47*J$48,0)</f>
        <v/>
      </c>
      <c r="K49" s="10">
        <f>IF(K$47&gt;0,K$47*K$48,0)</f>
        <v/>
      </c>
      <c r="L49" s="10">
        <f>IF(L$47&gt;0,L$47*L$48,0)</f>
        <v/>
      </c>
      <c r="M49" s="10">
        <f>IF(M$47&gt;0,M$47*M$48,0)</f>
        <v/>
      </c>
      <c r="N49" s="10">
        <f>IF(N$47&gt;0,N$47*N$48,0)</f>
        <v/>
      </c>
      <c r="O49" s="10">
        <f>IF(O$47&gt;0,O$47*O$48,0)</f>
        <v/>
      </c>
      <c r="P49" s="10">
        <f>IF(P$47&gt;0,P$47*P$48,0)</f>
        <v/>
      </c>
      <c r="Q49" s="10">
        <f>IF(Q$47&gt;0,Q$47*Q$48,0)</f>
        <v/>
      </c>
      <c r="R49" s="10">
        <f>SUM($C49:$Q49)</f>
        <v/>
      </c>
      <c r="S49" s="10">
        <f>$C49+NPV(10%,$D49:$Q49)</f>
        <v/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>
      <c r="A51" s="5" t="inlineStr">
        <is>
          <t>IX. IMPÔT MINIMUM FORFAITAIRE (IMF)</t>
        </is>
      </c>
      <c r="B51" s="6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</row>
    <row r="52">
      <c r="A52" s="2" t="inlineStr">
        <is>
          <t>Montant minimum</t>
        </is>
      </c>
      <c r="B52" s="3" t="inlineStr">
        <is>
          <t>USD</t>
        </is>
      </c>
      <c r="C52" s="19" t="n">
        <v>2000</v>
      </c>
      <c r="D52" s="19" t="n">
        <v>2000</v>
      </c>
      <c r="E52" s="19" t="n">
        <v>2000</v>
      </c>
      <c r="F52" s="19" t="n">
        <v>2000</v>
      </c>
      <c r="G52" s="19" t="n">
        <v>2000</v>
      </c>
      <c r="H52" s="19" t="n">
        <v>2000</v>
      </c>
      <c r="I52" s="19" t="n">
        <v>2000</v>
      </c>
      <c r="J52" s="19" t="n">
        <v>2000</v>
      </c>
      <c r="K52" s="19" t="n">
        <v>2000</v>
      </c>
      <c r="L52" s="19" t="n">
        <v>2000</v>
      </c>
      <c r="M52" s="19" t="n">
        <v>2000</v>
      </c>
      <c r="N52" s="19" t="n">
        <v>2000</v>
      </c>
      <c r="O52" s="19" t="n">
        <v>2000</v>
      </c>
      <c r="P52" s="19" t="n">
        <v>2000</v>
      </c>
      <c r="Q52" s="19" t="n">
        <v>2000</v>
      </c>
      <c r="R52" s="12" t="n"/>
      <c r="S52" s="12" t="n"/>
    </row>
    <row r="53">
      <c r="A53" s="2" t="inlineStr">
        <is>
          <t>Taux de l'impôt minimum forfaitaire</t>
        </is>
      </c>
      <c r="B53" s="3" t="inlineStr">
        <is>
          <t>%</t>
        </is>
      </c>
      <c r="C53" s="21" t="n">
        <v>0.01</v>
      </c>
      <c r="D53" s="21" t="n">
        <v>0.01</v>
      </c>
      <c r="E53" s="21" t="n">
        <v>0.01</v>
      </c>
      <c r="F53" s="21" t="n">
        <v>0.01</v>
      </c>
      <c r="G53" s="21" t="n">
        <v>0.01</v>
      </c>
      <c r="H53" s="21" t="n">
        <v>0.01</v>
      </c>
      <c r="I53" s="21" t="n">
        <v>0.01</v>
      </c>
      <c r="J53" s="21" t="n">
        <v>0.01</v>
      </c>
      <c r="K53" s="21" t="n">
        <v>0.01</v>
      </c>
      <c r="L53" s="21" t="n">
        <v>0.01</v>
      </c>
      <c r="M53" s="21" t="n">
        <v>0.01</v>
      </c>
      <c r="N53" s="21" t="n">
        <v>0.01</v>
      </c>
      <c r="O53" s="21" t="n">
        <v>0.01</v>
      </c>
      <c r="P53" s="21" t="n">
        <v>0.01</v>
      </c>
      <c r="Q53" s="21" t="n">
        <v>0.01</v>
      </c>
      <c r="R53" s="12" t="n"/>
      <c r="S53" s="12" t="n"/>
    </row>
    <row r="54">
      <c r="A54" s="2" t="inlineStr">
        <is>
          <t>Impôt minimum forfaitaire</t>
        </is>
      </c>
      <c r="B54" s="3" t="inlineStr">
        <is>
          <t>USD</t>
        </is>
      </c>
      <c r="C54" s="10">
        <f>IF(C$6*C$53&gt;C$52,C$6*C$53,C$52)</f>
        <v/>
      </c>
      <c r="D54" s="10">
        <f>IF(D$6*D$53&gt;D$52,D$6*D$53,D$52)</f>
        <v/>
      </c>
      <c r="E54" s="10">
        <f>IF(E$6*E$53&gt;E$52,E$6*E$53,E$52)</f>
        <v/>
      </c>
      <c r="F54" s="10">
        <f>IF(F$6*F$53&gt;F$52,F$6*F$53,F$52)</f>
        <v/>
      </c>
      <c r="G54" s="10">
        <f>IF(G$6*G$53&gt;G$52,G$6*G$53,G$52)</f>
        <v/>
      </c>
      <c r="H54" s="10">
        <f>IF(H$6*H$53&gt;H$52,H$6*H$53,H$52)</f>
        <v/>
      </c>
      <c r="I54" s="10">
        <f>IF(I$6*I$53&gt;I$52,I$6*I$53,I$52)</f>
        <v/>
      </c>
      <c r="J54" s="10">
        <f>IF(J$6*J$53&gt;J$52,J$6*J$53,J$52)</f>
        <v/>
      </c>
      <c r="K54" s="10">
        <f>IF(K$6*K$53&gt;K$52,K$6*K$53,K$52)</f>
        <v/>
      </c>
      <c r="L54" s="10">
        <f>IF(L$6*L$53&gt;L$52,L$6*L$53,L$52)</f>
        <v/>
      </c>
      <c r="M54" s="10">
        <f>IF(M$6*M$53&gt;M$52,M$6*M$53,M$52)</f>
        <v/>
      </c>
      <c r="N54" s="10">
        <f>IF(N$6*N$53&gt;N$52,N$6*N$53,N$52)</f>
        <v/>
      </c>
      <c r="O54" s="10">
        <f>IF(O$6*O$53&gt;O$52,O$6*O$53,O$52)</f>
        <v/>
      </c>
      <c r="P54" s="10">
        <f>IF(P$6*P$53&gt;P$52,P$6*P$53,P$52)</f>
        <v/>
      </c>
      <c r="Q54" s="10">
        <f>IF(Q$6*Q$53&gt;Q$52,Q$6*Q$53,Q$52)</f>
        <v/>
      </c>
      <c r="R54" s="10">
        <f>SUM($C54:$Q54)</f>
        <v/>
      </c>
      <c r="S54" s="10">
        <f>$C54+NPV(10%,$D54:$Q54)</f>
        <v/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</row>
    <row r="56">
      <c r="A56" s="5" t="inlineStr">
        <is>
          <t>X. IMPÔT SUR LES SOCIETES (IS) / IMPÔT MINIMUM FORFAITAIRE (IMF)</t>
        </is>
      </c>
      <c r="B56" s="6" t="n"/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</row>
    <row r="57">
      <c r="A57" s="2" t="inlineStr">
        <is>
          <t>Impôt sur les sociétés / Impôt minimum forfaitaire</t>
        </is>
      </c>
      <c r="B57" s="3" t="inlineStr">
        <is>
          <t>USD</t>
        </is>
      </c>
      <c r="C57" s="10">
        <f>IF(C$54&gt;C$49,C$54,C$49)</f>
        <v/>
      </c>
      <c r="D57" s="10">
        <f>IF(D$54&gt;D$49,D$54,D$49)</f>
        <v/>
      </c>
      <c r="E57" s="10">
        <f>IF(E$54&gt;E$49,E$54,E$49)</f>
        <v/>
      </c>
      <c r="F57" s="10">
        <f>IF(F$54&gt;F$49,F$54,F$49)</f>
        <v/>
      </c>
      <c r="G57" s="10">
        <f>IF(G$54&gt;G$49,G$54,G$49)</f>
        <v/>
      </c>
      <c r="H57" s="10">
        <f>IF(H$54&gt;H$49,H$54,H$49)</f>
        <v/>
      </c>
      <c r="I57" s="10">
        <f>IF(I$54&gt;I$49,I$54,I$49)</f>
        <v/>
      </c>
      <c r="J57" s="10">
        <f>IF(J$54&gt;J$49,J$54,J$49)</f>
        <v/>
      </c>
      <c r="K57" s="10">
        <f>IF(K$54&gt;K$49,K$54,K$49)</f>
        <v/>
      </c>
      <c r="L57" s="10">
        <f>IF(L$54&gt;L$49,L$54,L$49)</f>
        <v/>
      </c>
      <c r="M57" s="10">
        <f>IF(M$54&gt;M$49,M$54,M$49)</f>
        <v/>
      </c>
      <c r="N57" s="10">
        <f>IF(N$54&gt;N$49,N$54,N$49)</f>
        <v/>
      </c>
      <c r="O57" s="10">
        <f>IF(O$54&gt;O$49,O$54,O$49)</f>
        <v/>
      </c>
      <c r="P57" s="10">
        <f>IF(P$54&gt;P$49,P$54,P$49)</f>
        <v/>
      </c>
      <c r="Q57" s="10">
        <f>IF(Q$54&gt;Q$49,Q$54,Q$49)</f>
        <v/>
      </c>
      <c r="R57" s="10">
        <f>SUM($C57:$Q57)</f>
        <v/>
      </c>
      <c r="S57" s="10">
        <f>$C57+NPV(10%,$D57:$Q57)</f>
        <v/>
      </c>
    </row>
    <row r="58">
      <c r="A58" s="29" t="n"/>
      <c r="B58" s="29" t="n"/>
      <c r="C58" s="30" t="n"/>
      <c r="D58" s="30" t="n"/>
      <c r="E58" s="30" t="n"/>
      <c r="F58" s="30" t="n"/>
      <c r="G58" s="30" t="n"/>
      <c r="H58" s="30" t="n"/>
      <c r="I58" s="30" t="n"/>
      <c r="J58" s="30" t="n"/>
      <c r="K58" s="30" t="n"/>
      <c r="L58" s="30" t="n"/>
      <c r="M58" s="30" t="n"/>
      <c r="N58" s="30" t="n"/>
      <c r="O58" s="30" t="n"/>
      <c r="P58" s="30" t="n"/>
      <c r="Q58" s="30" t="n"/>
      <c r="R58" s="30" t="n"/>
      <c r="S58" s="30" t="n"/>
    </row>
    <row r="59">
      <c r="A59" s="5" t="inlineStr">
        <is>
          <t>XI. PARTICIPATION DE L'ETAT</t>
        </is>
      </c>
      <c r="B59" s="6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</row>
    <row r="60">
      <c r="A60" s="2" t="inlineStr">
        <is>
          <t>Bénéfice distribuable</t>
        </is>
      </c>
      <c r="B60" s="3" t="inlineStr">
        <is>
          <t>USD</t>
        </is>
      </c>
      <c r="C60" s="9">
        <f>IF(C$47-C$57&gt;0,C$47-C$57,0)</f>
        <v/>
      </c>
      <c r="D60" s="9">
        <f>IF(D$47-D$57&gt;0,D$47-D$57,0)</f>
        <v/>
      </c>
      <c r="E60" s="9">
        <f>IF(E$47-E$57&gt;0,E$47-E$57,0)</f>
        <v/>
      </c>
      <c r="F60" s="9">
        <f>IF(F$47-F$57&gt;0,F$47-F$57,0)</f>
        <v/>
      </c>
      <c r="G60" s="9">
        <f>IF(G$47-G$57&gt;0,G$47-G$57,0)</f>
        <v/>
      </c>
      <c r="H60" s="9">
        <f>IF(H$47-H$57&gt;0,H$47-H$57,0)</f>
        <v/>
      </c>
      <c r="I60" s="9">
        <f>IF(I$47-I$57&gt;0,I$47-I$57,0)</f>
        <v/>
      </c>
      <c r="J60" s="9">
        <f>IF(J$47-J$57&gt;0,J$47-J$57,0)</f>
        <v/>
      </c>
      <c r="K60" s="9">
        <f>IF(K$47-K$57&gt;0,K$47-K$57,0)</f>
        <v/>
      </c>
      <c r="L60" s="9">
        <f>IF(L$47-L$57&gt;0,L$47-L$57,0)</f>
        <v/>
      </c>
      <c r="M60" s="9">
        <f>IF(M$47-M$57&gt;0,M$47-M$57,0)</f>
        <v/>
      </c>
      <c r="N60" s="9">
        <f>IF(N$47-N$57&gt;0,N$47-N$57,0)</f>
        <v/>
      </c>
      <c r="O60" s="9">
        <f>IF(O$47-O$57&gt;0,O$47-O$57,0)</f>
        <v/>
      </c>
      <c r="P60" s="9">
        <f>IF(P$47-P$57&gt;0,P$47-P$57,0)</f>
        <v/>
      </c>
      <c r="Q60" s="9">
        <f>IF(Q$47-Q$57&gt;0,Q$47-Q$57,0)</f>
        <v/>
      </c>
      <c r="R60" s="9">
        <f>SUM($C60:$Q60)</f>
        <v/>
      </c>
      <c r="S60" s="9">
        <f>$C60+NPV(10%,$D60:$Q60)</f>
        <v/>
      </c>
    </row>
    <row r="61">
      <c r="A61" s="2" t="inlineStr">
        <is>
          <t>Taux de la participation de l'Etat</t>
        </is>
      </c>
      <c r="B61" s="3" t="inlineStr">
        <is>
          <t>%</t>
        </is>
      </c>
      <c r="C61" s="21" t="n">
        <v>0.1</v>
      </c>
      <c r="D61" s="21" t="n">
        <v>0.1</v>
      </c>
      <c r="E61" s="21" t="n">
        <v>0.1</v>
      </c>
      <c r="F61" s="21" t="n">
        <v>0.1</v>
      </c>
      <c r="G61" s="21" t="n">
        <v>0.1</v>
      </c>
      <c r="H61" s="21" t="n">
        <v>0.1</v>
      </c>
      <c r="I61" s="21" t="n">
        <v>0.1</v>
      </c>
      <c r="J61" s="21" t="n">
        <v>0.1</v>
      </c>
      <c r="K61" s="21" t="n">
        <v>0.1</v>
      </c>
      <c r="L61" s="21" t="n">
        <v>0.1</v>
      </c>
      <c r="M61" s="21" t="n">
        <v>0.1</v>
      </c>
      <c r="N61" s="21" t="n">
        <v>0.1</v>
      </c>
      <c r="O61" s="21" t="n">
        <v>0.1</v>
      </c>
      <c r="P61" s="21" t="n">
        <v>0.1</v>
      </c>
      <c r="Q61" s="21" t="n">
        <v>0.1</v>
      </c>
      <c r="R61" s="9" t="n"/>
      <c r="S61" s="9" t="n"/>
    </row>
    <row r="62">
      <c r="A62" s="2" t="inlineStr">
        <is>
          <t>Participation de l'Etat</t>
        </is>
      </c>
      <c r="B62" s="3" t="inlineStr">
        <is>
          <t>USD</t>
        </is>
      </c>
      <c r="C62" s="10">
        <f>C$60*C$61</f>
        <v/>
      </c>
      <c r="D62" s="10">
        <f>D$60*D$61</f>
        <v/>
      </c>
      <c r="E62" s="10">
        <f>E$60*E$61</f>
        <v/>
      </c>
      <c r="F62" s="10">
        <f>F$60*F$61</f>
        <v/>
      </c>
      <c r="G62" s="10">
        <f>G$60*G$61</f>
        <v/>
      </c>
      <c r="H62" s="10">
        <f>H$60*H$61</f>
        <v/>
      </c>
      <c r="I62" s="10">
        <f>I$60*I$61</f>
        <v/>
      </c>
      <c r="J62" s="10">
        <f>J$60*J$61</f>
        <v/>
      </c>
      <c r="K62" s="10">
        <f>K$60*K$61</f>
        <v/>
      </c>
      <c r="L62" s="10">
        <f>L$60*L$61</f>
        <v/>
      </c>
      <c r="M62" s="10">
        <f>M$60*M$61</f>
        <v/>
      </c>
      <c r="N62" s="10">
        <f>N$60*N$61</f>
        <v/>
      </c>
      <c r="O62" s="10">
        <f>O$60*O$61</f>
        <v/>
      </c>
      <c r="P62" s="10">
        <f>P$60*P$61</f>
        <v/>
      </c>
      <c r="Q62" s="10">
        <f>Q$60*Q$61</f>
        <v/>
      </c>
      <c r="R62" s="10">
        <f>SUM($C62:$Q62)</f>
        <v/>
      </c>
      <c r="S62" s="10">
        <f>$C62+NPV(10%,$D62:$Q62)</f>
        <v/>
      </c>
      <c r="U62" s="34" t="n"/>
    </row>
    <row r="63">
      <c r="A63" s="2" t="n"/>
      <c r="B63" s="3" t="n"/>
      <c r="C63" s="30" t="n"/>
      <c r="D63" s="30" t="n"/>
      <c r="E63" s="30" t="n"/>
      <c r="F63" s="30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30" t="n"/>
      <c r="P63" s="30" t="n"/>
      <c r="Q63" s="30" t="n"/>
      <c r="R63" s="30" t="n"/>
      <c r="S63" s="30" t="n"/>
    </row>
    <row r="64">
      <c r="A64" s="5" t="inlineStr">
        <is>
          <t>XII. IMPÔT SUR LE REVENU DES VALEURS MOBILIERS (IRVM)</t>
        </is>
      </c>
      <c r="B64" s="6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</row>
    <row r="65">
      <c r="A65" s="2" t="inlineStr">
        <is>
          <t>Part distribuée aux actionnaires privés</t>
        </is>
      </c>
      <c r="B65" s="3" t="inlineStr">
        <is>
          <t>%</t>
        </is>
      </c>
      <c r="C65" s="35" t="n">
        <v>0.2</v>
      </c>
      <c r="D65" s="35" t="n">
        <v>0.2</v>
      </c>
      <c r="E65" s="35" t="n">
        <v>0.2</v>
      </c>
      <c r="F65" s="35" t="n">
        <v>0.2</v>
      </c>
      <c r="G65" s="35" t="n">
        <v>0.2</v>
      </c>
      <c r="H65" s="35" t="n">
        <v>0.2</v>
      </c>
      <c r="I65" s="35" t="n">
        <v>0.2</v>
      </c>
      <c r="J65" s="35" t="n">
        <v>0.2</v>
      </c>
      <c r="K65" s="35" t="n">
        <v>0.2</v>
      </c>
      <c r="L65" s="35" t="n">
        <v>0.2</v>
      </c>
      <c r="M65" s="35" t="n">
        <v>0.2</v>
      </c>
      <c r="N65" s="35" t="n">
        <v>0.2</v>
      </c>
      <c r="O65" s="35" t="n">
        <v>0.2</v>
      </c>
      <c r="P65" s="35" t="n">
        <v>0.2</v>
      </c>
      <c r="Q65" s="35" t="n">
        <v>0.2</v>
      </c>
      <c r="R65" s="9" t="n"/>
      <c r="S65" s="9" t="n"/>
    </row>
    <row r="66">
      <c r="A66" s="2" t="inlineStr">
        <is>
          <t>Dividendes distribués aux actionnaires privés</t>
        </is>
      </c>
      <c r="B66" s="3" t="inlineStr">
        <is>
          <t>USD</t>
        </is>
      </c>
      <c r="C66" s="9">
        <f>C$60*C$65</f>
        <v/>
      </c>
      <c r="D66" s="9">
        <f>D$60*D$65</f>
        <v/>
      </c>
      <c r="E66" s="9">
        <f>E$60*E$65</f>
        <v/>
      </c>
      <c r="F66" s="9">
        <f>F$60*F$65</f>
        <v/>
      </c>
      <c r="G66" s="9">
        <f>G$60*G$65</f>
        <v/>
      </c>
      <c r="H66" s="9">
        <f>H$60*H$65</f>
        <v/>
      </c>
      <c r="I66" s="9">
        <f>I$60*I$65</f>
        <v/>
      </c>
      <c r="J66" s="9">
        <f>J$60*J$65</f>
        <v/>
      </c>
      <c r="K66" s="9">
        <f>K$60*K$65</f>
        <v/>
      </c>
      <c r="L66" s="9">
        <f>L$60*L$65</f>
        <v/>
      </c>
      <c r="M66" s="9">
        <f>M$60*M$65</f>
        <v/>
      </c>
      <c r="N66" s="9">
        <f>N$60*N$65</f>
        <v/>
      </c>
      <c r="O66" s="9">
        <f>O$60*O$65</f>
        <v/>
      </c>
      <c r="P66" s="9">
        <f>P$60*P$65</f>
        <v/>
      </c>
      <c r="Q66" s="9">
        <f>Q$60*Q$65</f>
        <v/>
      </c>
      <c r="R66" s="9">
        <f>SUM($C66:$Q66)</f>
        <v/>
      </c>
      <c r="S66" s="9">
        <f>$C66+NPV(10%,$D66:$Q66)</f>
        <v/>
      </c>
    </row>
    <row r="67">
      <c r="A67" s="2" t="inlineStr">
        <is>
          <t>Taux de l'impöt sur le revenu des valeurs mobilières</t>
        </is>
      </c>
      <c r="B67" s="3" t="inlineStr">
        <is>
          <t>%</t>
        </is>
      </c>
      <c r="C67" s="21" t="n">
        <v>0.1</v>
      </c>
      <c r="D67" s="21" t="n">
        <v>0.1</v>
      </c>
      <c r="E67" s="21" t="n">
        <v>0.1</v>
      </c>
      <c r="F67" s="21" t="n">
        <v>0.1</v>
      </c>
      <c r="G67" s="21" t="n">
        <v>0.1</v>
      </c>
      <c r="H67" s="21" t="n">
        <v>0.1</v>
      </c>
      <c r="I67" s="21" t="n">
        <v>0.1</v>
      </c>
      <c r="J67" s="21" t="n">
        <v>0.1</v>
      </c>
      <c r="K67" s="21" t="n">
        <v>0.1</v>
      </c>
      <c r="L67" s="21" t="n">
        <v>0.1</v>
      </c>
      <c r="M67" s="21" t="n">
        <v>0.1</v>
      </c>
      <c r="N67" s="21" t="n">
        <v>0.1</v>
      </c>
      <c r="O67" s="21" t="n">
        <v>0.1</v>
      </c>
      <c r="P67" s="21" t="n">
        <v>0.1</v>
      </c>
      <c r="Q67" s="21" t="n">
        <v>0.1</v>
      </c>
      <c r="R67" s="9" t="n"/>
      <c r="S67" s="9" t="n"/>
    </row>
    <row r="68">
      <c r="A68" s="2" t="inlineStr">
        <is>
          <t>Impöt sur le revenu des valeurs mobilières</t>
        </is>
      </c>
      <c r="B68" s="3" t="inlineStr">
        <is>
          <t>USD</t>
        </is>
      </c>
      <c r="C68" s="10">
        <f>C$66*C$67</f>
        <v/>
      </c>
      <c r="D68" s="10">
        <f>D$66*D$67</f>
        <v/>
      </c>
      <c r="E68" s="10">
        <f>E$66*E$67</f>
        <v/>
      </c>
      <c r="F68" s="10">
        <f>F$66*F$67</f>
        <v/>
      </c>
      <c r="G68" s="10">
        <f>G$66*G$67</f>
        <v/>
      </c>
      <c r="H68" s="10">
        <f>H$66*H$67</f>
        <v/>
      </c>
      <c r="I68" s="10">
        <f>I$66*I$67</f>
        <v/>
      </c>
      <c r="J68" s="10">
        <f>J$66*J$67</f>
        <v/>
      </c>
      <c r="K68" s="10">
        <f>K$66*K$67</f>
        <v/>
      </c>
      <c r="L68" s="10">
        <f>L$66*L$67</f>
        <v/>
      </c>
      <c r="M68" s="10">
        <f>M$66*M$67</f>
        <v/>
      </c>
      <c r="N68" s="10">
        <f>N$66*N$67</f>
        <v/>
      </c>
      <c r="O68" s="10">
        <f>O$66*O$67</f>
        <v/>
      </c>
      <c r="P68" s="10">
        <f>P$66*P$67</f>
        <v/>
      </c>
      <c r="Q68" s="10">
        <f>Q$66*Q$67</f>
        <v/>
      </c>
      <c r="R68" s="10">
        <f>SUM($C68:$Q68)</f>
        <v/>
      </c>
      <c r="S68" s="10">
        <f>$C68+NPV(10%,$D68:$Q68)</f>
        <v/>
      </c>
    </row>
    <row r="69">
      <c r="A69" s="2" t="n"/>
      <c r="B69" s="3" t="n"/>
      <c r="C69" s="30" t="n"/>
      <c r="D69" s="30" t="n"/>
      <c r="E69" s="30" t="n"/>
      <c r="F69" s="30" t="n"/>
      <c r="G69" s="30" t="n"/>
      <c r="H69" s="30" t="n"/>
      <c r="I69" s="30" t="n"/>
      <c r="J69" s="30" t="n"/>
      <c r="K69" s="30" t="n"/>
      <c r="L69" s="30" t="n"/>
      <c r="M69" s="30" t="n"/>
      <c r="N69" s="30" t="n"/>
      <c r="O69" s="30" t="n"/>
      <c r="P69" s="30" t="n"/>
      <c r="Q69" s="30" t="n"/>
      <c r="R69" s="30" t="n"/>
      <c r="S69" s="30" t="n"/>
    </row>
    <row r="70">
      <c r="A70" s="5" t="inlineStr">
        <is>
          <t>XIII. PRELEVEMENTS PUBLICS</t>
        </is>
      </c>
      <c r="B70" s="6" t="n"/>
      <c r="C70" s="20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</row>
    <row r="71">
      <c r="A71" s="2" t="inlineStr">
        <is>
          <t>Total des prélèvements publics</t>
        </is>
      </c>
      <c r="B71" s="3" t="inlineStr">
        <is>
          <t>USD</t>
        </is>
      </c>
      <c r="C71" s="10">
        <f>C$23+C$28+C$32+C$42+C$57+C$62+C$68</f>
        <v/>
      </c>
      <c r="D71" s="10">
        <f>D$23+D$28+D$32+D$42+D$57+D$62+D$68</f>
        <v/>
      </c>
      <c r="E71" s="10">
        <f>E$23+E$28+E$32+E$42+E$57+E$62+E$68</f>
        <v/>
      </c>
      <c r="F71" s="10">
        <f>F$23+F$28+F$32+F$42+F$57+F$62+F$68</f>
        <v/>
      </c>
      <c r="G71" s="10">
        <f>G$23+G$28+G$32+G$42+G$57+G$62+G$68</f>
        <v/>
      </c>
      <c r="H71" s="10">
        <f>H$23+H$28+H$32+H$42+H$57+H$62+H$68</f>
        <v/>
      </c>
      <c r="I71" s="10">
        <f>I$23+I$28+I$32+I$42+I$57+I$62+I$68</f>
        <v/>
      </c>
      <c r="J71" s="10">
        <f>J$23+J$28+J$32+J$42+J$57+J$62+J$68</f>
        <v/>
      </c>
      <c r="K71" s="10">
        <f>K$23+K$28+K$32+K$42+K$57+K$62+K$68</f>
        <v/>
      </c>
      <c r="L71" s="10">
        <f>L$23+L$28+L$32+L$42+L$57+L$62+L$68</f>
        <v/>
      </c>
      <c r="M71" s="10">
        <f>M$23+M$28+M$32+M$42+M$57+M$62+M$68</f>
        <v/>
      </c>
      <c r="N71" s="10">
        <f>N$23+N$28+N$32+N$42+N$57+N$62+N$68</f>
        <v/>
      </c>
      <c r="O71" s="10">
        <f>O$23+O$28+O$32+O$42+O$57+O$62+O$68</f>
        <v/>
      </c>
      <c r="P71" s="10">
        <f>P$23+P$28+P$32+P$42+P$57+P$62+P$68</f>
        <v/>
      </c>
      <c r="Q71" s="10">
        <f>Q$23+Q$28+Q$32+Q$42+Q$57+Q$62+Q$68</f>
        <v/>
      </c>
      <c r="R71" s="10">
        <f>SUM($C71:$Q71)</f>
        <v/>
      </c>
      <c r="S71" s="10">
        <f>$C71+NPV(10%,$D71:$Q71)</f>
        <v/>
      </c>
    </row>
    <row r="72">
      <c r="A72" s="29" t="n"/>
      <c r="B72" s="29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</row>
    <row r="73">
      <c r="A73" s="5" t="inlineStr">
        <is>
          <t>XIV. FLUX NETS DE TRESORERIE APRES IMPÔTS</t>
        </is>
      </c>
      <c r="B73" s="6" t="n"/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</row>
    <row r="74">
      <c r="A74" s="2" t="inlineStr">
        <is>
          <t>Flux nets de trésorerie après impôts</t>
        </is>
      </c>
      <c r="B74" s="3" t="inlineStr">
        <is>
          <t>USD</t>
        </is>
      </c>
      <c r="C74" s="10">
        <f>C$19-C$71</f>
        <v/>
      </c>
      <c r="D74" s="10">
        <f>D$19-D$71</f>
        <v/>
      </c>
      <c r="E74" s="10">
        <f>E$19-E$71</f>
        <v/>
      </c>
      <c r="F74" s="10">
        <f>F$19-F$71</f>
        <v/>
      </c>
      <c r="G74" s="10">
        <f>G$19-G$71</f>
        <v/>
      </c>
      <c r="H74" s="10">
        <f>H$19-H$71</f>
        <v/>
      </c>
      <c r="I74" s="10">
        <f>I$19-I$71</f>
        <v/>
      </c>
      <c r="J74" s="10">
        <f>J$19-J$71</f>
        <v/>
      </c>
      <c r="K74" s="10">
        <f>K$19-K$71</f>
        <v/>
      </c>
      <c r="L74" s="10">
        <f>L$19-L$71</f>
        <v/>
      </c>
      <c r="M74" s="10">
        <f>M$19-M$71</f>
        <v/>
      </c>
      <c r="N74" s="10">
        <f>N$19-N$71</f>
        <v/>
      </c>
      <c r="O74" s="10">
        <f>O$19-O$71</f>
        <v/>
      </c>
      <c r="P74" s="10">
        <f>P$19-P$71</f>
        <v/>
      </c>
      <c r="Q74" s="10">
        <f>Q$19-Q$71</f>
        <v/>
      </c>
      <c r="R74" s="10">
        <f>SUM($C74:$Q74)</f>
        <v/>
      </c>
      <c r="S74" s="10">
        <f>$C74+NPV(10%,$D74:$Q74)</f>
        <v/>
      </c>
    </row>
    <row r="75">
      <c r="A75" s="2" t="inlineStr">
        <is>
          <t>Taux de rendement interne après impôts</t>
        </is>
      </c>
      <c r="B75" s="3" t="inlineStr">
        <is>
          <t>%</t>
        </is>
      </c>
      <c r="C75" s="14">
        <f>IF(ISNUMBER(IRR($C74:C74)),IF(IRR($C74:C74)&gt;0,IRR($C74:C74),""),"")</f>
        <v/>
      </c>
      <c r="D75" s="14">
        <f>IF(ISNUMBER(IRR($C74:D74)),IF(IRR($C74:D74)&gt;0,IRR($C74:D74),""),"")</f>
        <v/>
      </c>
      <c r="E75" s="14">
        <f>IF(ISNUMBER(IRR($C74:E74)),IF(IRR($C74:E74)&gt;0,IRR($C74:E74),""),"")</f>
        <v/>
      </c>
      <c r="F75" s="14">
        <f>IF(ISNUMBER(IRR($C74:F74)),IF(IRR($C74:F74)&gt;0,IRR($C74:F74),""),"")</f>
        <v/>
      </c>
      <c r="G75" s="14">
        <f>IF(ISNUMBER(IRR($C74:G74)),IF(IRR($C74:G74)&gt;0,IRR($C74:G74),""),"")</f>
        <v/>
      </c>
      <c r="H75" s="14">
        <f>IF(ISNUMBER(IRR($C74:H74)),IF(IRR($C74:H74)&gt;0,IRR($C74:H74),""),"")</f>
        <v/>
      </c>
      <c r="I75" s="14">
        <f>IF(ISNUMBER(IRR($C74:I74)),IF(IRR($C74:I74)&gt;0,IRR($C74:I74),""),"")</f>
        <v/>
      </c>
      <c r="J75" s="14">
        <f>IF(ISNUMBER(IRR($C74:J74)),IF(IRR($C74:J74)&gt;0,IRR($C74:J74),""),"")</f>
        <v/>
      </c>
      <c r="K75" s="14">
        <f>IF(ISNUMBER(IRR($C74:K74)),IF(IRR($C74:K74)&gt;0,IRR($C74:K74),""),"")</f>
        <v/>
      </c>
      <c r="L75" s="14">
        <f>IF(ISNUMBER(IRR($C74:L74)),IF(IRR($C74:L74)&gt;0,IRR($C74:L74),""),"")</f>
        <v/>
      </c>
      <c r="M75" s="14">
        <f>IF(ISNUMBER(IRR($C74:M74)),IF(IRR($C74:M74)&gt;0,IRR($C74:M74),""),"")</f>
        <v/>
      </c>
      <c r="N75" s="14">
        <f>IF(ISNUMBER(IRR($C74:N74)),IF(IRR($C74:N74)&gt;0,IRR($C74:N74),""),"")</f>
        <v/>
      </c>
      <c r="O75" s="14">
        <f>IF(ISNUMBER(IRR($C74:O74)),IF(IRR($C74:O74)&gt;0,IRR($C74:O74),""),"")</f>
        <v/>
      </c>
      <c r="P75" s="14">
        <f>IF(ISNUMBER(IRR($C74:P74)),IF(IRR($C74:P74)&gt;0,IRR($C74:P74),""),"")</f>
        <v/>
      </c>
      <c r="Q75" s="14">
        <f>IF(ISNUMBER(IRR($C74:Q74)),IF(IRR($C74:Q74)&gt;0,IRR($C74:Q74),""),"")</f>
        <v/>
      </c>
      <c r="R75" s="15" t="n"/>
      <c r="S75" s="15" t="n"/>
    </row>
    <row r="76">
      <c r="A76" s="29" t="n"/>
      <c r="B76" s="29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</row>
    <row r="77">
      <c r="A77" s="5" t="inlineStr">
        <is>
          <t>XV. PARTAGE DE LA RENTE MINIERE</t>
        </is>
      </c>
      <c r="B77" s="6" t="n"/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</row>
    <row r="78">
      <c r="A78" s="2" t="inlineStr">
        <is>
          <t>Rente minière</t>
        </is>
      </c>
      <c r="B78" s="3" t="inlineStr">
        <is>
          <t>USD</t>
        </is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>
        <f>R$19</f>
        <v/>
      </c>
      <c r="S78" s="10">
        <f>S$19</f>
        <v/>
      </c>
    </row>
    <row r="79">
      <c r="A79" s="2" t="inlineStr">
        <is>
          <t>Part de l'Etat</t>
        </is>
      </c>
      <c r="B79" s="3" t="inlineStr">
        <is>
          <t>%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2">
        <f>R$71/R$78</f>
        <v/>
      </c>
      <c r="S79" s="32">
        <f>S$71/S$78</f>
        <v/>
      </c>
    </row>
    <row r="80">
      <c r="A80" s="2" t="inlineStr">
        <is>
          <t>Part de l'investisseur</t>
        </is>
      </c>
      <c r="B80" s="3" t="inlineStr">
        <is>
          <t>%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2">
        <f>R$74/R$78</f>
        <v/>
      </c>
      <c r="S80" s="32">
        <f>S$74/S$78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57"/>
  <sheetViews>
    <sheetView workbookViewId="0">
      <selection activeCell="A1" sqref="A1"/>
    </sheetView>
  </sheetViews>
  <sheetFormatPr baseColWidth="8" defaultRowHeight="15"/>
  <cols>
    <col width="40.77734375" customWidth="1" min="1" max="1"/>
    <col width="10.77734375" customWidth="1" min="2" max="2"/>
    <col width="15.77734375" customWidth="1" min="3" max="3"/>
    <col width="10.77734375" customWidth="1" min="14" max="14"/>
  </cols>
  <sheetData>
    <row r="1">
      <c r="A1" s="1" t="inlineStr">
        <is>
          <t>Nom</t>
        </is>
      </c>
      <c r="B1" s="1" t="inlineStr">
        <is>
          <t>Unité</t>
        </is>
      </c>
      <c r="C1" s="1" t="inlineStr">
        <is>
          <t>Année 1</t>
        </is>
      </c>
      <c r="D1" s="1" t="inlineStr">
        <is>
          <t>Année 2</t>
        </is>
      </c>
      <c r="E1" s="1" t="inlineStr">
        <is>
          <t>Année 3</t>
        </is>
      </c>
      <c r="F1" s="1" t="inlineStr">
        <is>
          <t>Année 4</t>
        </is>
      </c>
      <c r="G1" s="1" t="inlineStr">
        <is>
          <t>Année 5</t>
        </is>
      </c>
      <c r="H1" s="1" t="inlineStr">
        <is>
          <t>Année 6</t>
        </is>
      </c>
      <c r="I1" s="1" t="inlineStr">
        <is>
          <t>Année 7</t>
        </is>
      </c>
      <c r="J1" s="1" t="inlineStr">
        <is>
          <t>Année 8</t>
        </is>
      </c>
      <c r="K1" s="1" t="inlineStr">
        <is>
          <t>Année 9</t>
        </is>
      </c>
      <c r="L1" s="1" t="inlineStr">
        <is>
          <t>Année 10</t>
        </is>
      </c>
      <c r="M1" s="1" t="inlineStr">
        <is>
          <t>Année 11</t>
        </is>
      </c>
    </row>
    <row r="2"/>
    <row r="3">
      <c r="A3" s="2" t="inlineStr">
        <is>
          <t>Durée restante maximum</t>
        </is>
      </c>
      <c r="B3" s="22" t="inlineStr">
        <is>
          <t>Années</t>
        </is>
      </c>
      <c r="C3" s="23" t="n">
        <v>11</v>
      </c>
      <c r="D3" s="23" t="n">
        <v>10</v>
      </c>
      <c r="E3" s="23" t="n">
        <v>9</v>
      </c>
      <c r="F3" s="23" t="n">
        <v>8</v>
      </c>
      <c r="G3" s="23" t="n">
        <v>7</v>
      </c>
      <c r="H3" s="23" t="n">
        <v>6</v>
      </c>
      <c r="I3" s="23" t="n">
        <v>5</v>
      </c>
      <c r="J3" s="23" t="n">
        <v>4</v>
      </c>
      <c r="K3" s="23" t="n">
        <v>3</v>
      </c>
      <c r="L3" s="23" t="n">
        <v>2</v>
      </c>
      <c r="M3" s="23" t="n">
        <v>1</v>
      </c>
    </row>
    <row r="4">
      <c r="A4" s="22" t="n"/>
      <c r="B4" s="22" t="n"/>
    </row>
    <row r="5">
      <c r="A5" s="5" t="inlineStr">
        <is>
          <t>I. AMORTISSEMENTS DES CONSTRUCTIONS INDUSTRIELLES</t>
        </is>
      </c>
      <c r="B5" s="24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</row>
    <row r="6">
      <c r="A6" s="2" t="inlineStr">
        <is>
          <t>Durée d'amortissement linéaire</t>
        </is>
      </c>
      <c r="B6" s="22" t="inlineStr">
        <is>
          <t>Années</t>
        </is>
      </c>
      <c r="C6" s="19" t="n">
        <v>10</v>
      </c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</row>
    <row r="7">
      <c r="A7" s="2" t="inlineStr">
        <is>
          <t>Coefficient d'amortissement dégressif</t>
        </is>
      </c>
      <c r="B7" s="22" t="inlineStr">
        <is>
          <t>Coefficient</t>
        </is>
      </c>
      <c r="C7" s="19" t="n">
        <v>1</v>
      </c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</row>
    <row r="8">
      <c r="A8" s="22" t="n"/>
      <c r="B8" s="22" t="n"/>
    </row>
    <row r="9">
      <c r="A9" s="2" t="inlineStr">
        <is>
          <t>Immobilisations de l'année A1</t>
        </is>
      </c>
      <c r="B9" s="22" t="n"/>
    </row>
    <row r="10">
      <c r="A10" s="22" t="inlineStr">
        <is>
          <t>Durée restante</t>
        </is>
      </c>
      <c r="B10" s="22" t="inlineStr">
        <is>
          <t>Années</t>
        </is>
      </c>
      <c r="C10" s="23">
        <f>IF($C$6&lt;C$3,$C$6,C$3)</f>
        <v/>
      </c>
      <c r="D10" s="8">
        <f>IF(C10=0,0,IF(C10-1&lt;D$3,C10-1,D$3))</f>
        <v/>
      </c>
      <c r="E10" s="8">
        <f>IF(D10=0,0,IF(D10-1&lt;E$3,D10-1,E$3))</f>
        <v/>
      </c>
      <c r="F10" s="8">
        <f>IF(E10=0,0,IF(E10-1&lt;F$3,E10-1,F$3))</f>
        <v/>
      </c>
      <c r="G10" s="8">
        <f>IF(F10=0,0,IF(F10-1&lt;G$3,F10-1,G$3))</f>
        <v/>
      </c>
      <c r="H10" s="8">
        <f>IF(G10=0,0,IF(G10-1&lt;H$3,G10-1,H$3))</f>
        <v/>
      </c>
      <c r="I10" s="8">
        <f>IF(H10=0,0,IF(H10-1&lt;I$3,H10-1,I$3))</f>
        <v/>
      </c>
      <c r="J10" s="8">
        <f>IF(I10=0,0,IF(I10-1&lt;J$3,I10-1,J$3))</f>
        <v/>
      </c>
      <c r="K10" s="8">
        <f>IF(J10=0,0,IF(J10-1&lt;K$3,J10-1,K$3))</f>
        <v/>
      </c>
      <c r="L10" s="8">
        <f>IF(K10=0,0,IF(K10-1&lt;L$3,K10-1,L$3))</f>
        <v/>
      </c>
      <c r="M10" s="8">
        <f>IF(L10=0,0,IF(L10-1&lt;M$3,L10-1,M$3))</f>
        <v/>
      </c>
    </row>
    <row r="11">
      <c r="A11" s="22" t="inlineStr">
        <is>
          <t>Base amortissable</t>
        </is>
      </c>
      <c r="B11" s="22" t="inlineStr">
        <is>
          <t>USD</t>
        </is>
      </c>
      <c r="C11" s="23">
        <f>Modèle!C$9</f>
        <v/>
      </c>
      <c r="D11" s="8">
        <f>C15</f>
        <v/>
      </c>
      <c r="E11" s="8">
        <f>D15</f>
        <v/>
      </c>
      <c r="F11" s="8">
        <f>E15</f>
        <v/>
      </c>
      <c r="G11" s="8">
        <f>F15</f>
        <v/>
      </c>
      <c r="H11" s="8">
        <f>G15</f>
        <v/>
      </c>
      <c r="I11" s="8">
        <f>H15</f>
        <v/>
      </c>
      <c r="J11" s="8">
        <f>I15</f>
        <v/>
      </c>
      <c r="K11" s="8">
        <f>J15</f>
        <v/>
      </c>
      <c r="L11" s="8">
        <f>K15</f>
        <v/>
      </c>
      <c r="M11" s="8">
        <f>L15</f>
        <v/>
      </c>
    </row>
    <row r="12">
      <c r="A12" s="22" t="inlineStr">
        <is>
          <t>Inverse de la durée restante</t>
        </is>
      </c>
      <c r="B12" s="22" t="inlineStr">
        <is>
          <t>%</t>
        </is>
      </c>
      <c r="C12" s="27">
        <f>IF(C10=0,0,1/C10)</f>
        <v/>
      </c>
      <c r="D12" s="27">
        <f>IF(D10=0,0,1/D10)</f>
        <v/>
      </c>
      <c r="E12" s="27">
        <f>IF(E10=0,0,1/E10)</f>
        <v/>
      </c>
      <c r="F12" s="27">
        <f>IF(F10=0,0,1/F10)</f>
        <v/>
      </c>
      <c r="G12" s="27">
        <f>IF(G10=0,0,1/G10)</f>
        <v/>
      </c>
      <c r="H12" s="27">
        <f>IF(H10=0,0,1/H10)</f>
        <v/>
      </c>
      <c r="I12" s="27">
        <f>IF(I10=0,0,1/I10)</f>
        <v/>
      </c>
      <c r="J12" s="27">
        <f>IF(J10=0,0,1/J10)</f>
        <v/>
      </c>
      <c r="K12" s="27">
        <f>IF(K10=0,0,1/K10)</f>
        <v/>
      </c>
      <c r="L12" s="27">
        <f>IF(L10=0,0,1/L10)</f>
        <v/>
      </c>
      <c r="M12" s="27">
        <f>IF(M10=0,0,1/M10)</f>
        <v/>
      </c>
    </row>
    <row r="13">
      <c r="A13" s="22" t="inlineStr">
        <is>
          <t>Taux dégressif</t>
        </is>
      </c>
      <c r="B13" s="22" t="inlineStr">
        <is>
          <t>%</t>
        </is>
      </c>
      <c r="C13" s="27">
        <f>IF(C10=0,0,IF($C$7*1/$C$6&gt;C12,$C$7*1/$C$6,C12))</f>
        <v/>
      </c>
      <c r="D13" s="27">
        <f>IF(D10=0,0,IF($C$7*1/$C$6&gt;D12,$C$7*1/$C$6,D12))</f>
        <v/>
      </c>
      <c r="E13" s="27">
        <f>IF(E10=0,0,IF($C$7*1/$C$6&gt;E12,$C$7*1/$C$6,E12))</f>
        <v/>
      </c>
      <c r="F13" s="27">
        <f>IF(F10=0,0,IF($C$7*1/$C$6&gt;F12,$C$7*1/$C$6,F12))</f>
        <v/>
      </c>
      <c r="G13" s="27">
        <f>IF(G10=0,0,IF($C$7*1/$C$6&gt;G12,$C$7*1/$C$6,G12))</f>
        <v/>
      </c>
      <c r="H13" s="27">
        <f>IF(H10=0,0,IF($C$7*1/$C$6&gt;H12,$C$7*1/$C$6,H12))</f>
        <v/>
      </c>
      <c r="I13" s="27">
        <f>IF(I10=0,0,IF($C$7*1/$C$6&gt;I12,$C$7*1/$C$6,I12))</f>
        <v/>
      </c>
      <c r="J13" s="27">
        <f>IF(J10=0,0,IF($C$7*1/$C$6&gt;J12,$C$7*1/$C$6,J12))</f>
        <v/>
      </c>
      <c r="K13" s="27">
        <f>IF(K10=0,0,IF($C$7*1/$C$6&gt;K12,$C$7*1/$C$6,K12))</f>
        <v/>
      </c>
      <c r="L13" s="27">
        <f>IF(L10=0,0,IF($C$7*1/$C$6&gt;L12,$C$7*1/$C$6,L12))</f>
        <v/>
      </c>
      <c r="M13" s="27">
        <f>IF(M10=0,0,IF($C$7*1/$C$6&gt;M12,$C$7*1/$C$6,M12))</f>
        <v/>
      </c>
    </row>
    <row r="14">
      <c r="A14" s="22" t="inlineStr">
        <is>
          <t>Charge d'amortissement</t>
        </is>
      </c>
      <c r="B14" s="22" t="inlineStr">
        <is>
          <t>USD</t>
        </is>
      </c>
      <c r="C14" s="8">
        <f>C11*C13</f>
        <v/>
      </c>
      <c r="D14" s="8">
        <f>D11*D13</f>
        <v/>
      </c>
      <c r="E14" s="8">
        <f>E11*E13</f>
        <v/>
      </c>
      <c r="F14" s="8">
        <f>F11*F13</f>
        <v/>
      </c>
      <c r="G14" s="8">
        <f>G11*G13</f>
        <v/>
      </c>
      <c r="H14" s="8">
        <f>H11*H13</f>
        <v/>
      </c>
      <c r="I14" s="8">
        <f>I11*I13</f>
        <v/>
      </c>
      <c r="J14" s="8">
        <f>J11*J13</f>
        <v/>
      </c>
      <c r="K14" s="8">
        <f>K11*K13</f>
        <v/>
      </c>
      <c r="L14" s="8">
        <f>L11*L13</f>
        <v/>
      </c>
      <c r="M14" s="8">
        <f>M11*M13</f>
        <v/>
      </c>
    </row>
    <row r="15">
      <c r="A15" s="22" t="inlineStr">
        <is>
          <t>Amortissement restant</t>
        </is>
      </c>
      <c r="B15" s="22" t="inlineStr">
        <is>
          <t>USD</t>
        </is>
      </c>
      <c r="C15" s="8">
        <f>C11-C14</f>
        <v/>
      </c>
      <c r="D15" s="8">
        <f>D11-D14</f>
        <v/>
      </c>
      <c r="E15" s="8">
        <f>E11-E14</f>
        <v/>
      </c>
      <c r="F15" s="8">
        <f>F11-F14</f>
        <v/>
      </c>
      <c r="G15" s="8">
        <f>G11-G14</f>
        <v/>
      </c>
      <c r="H15" s="8">
        <f>H11-H14</f>
        <v/>
      </c>
      <c r="I15" s="8">
        <f>I11-I14</f>
        <v/>
      </c>
      <c r="J15" s="8">
        <f>J11-J14</f>
        <v/>
      </c>
      <c r="K15" s="8">
        <f>K11-K14</f>
        <v/>
      </c>
      <c r="L15" s="8">
        <f>L11-L14</f>
        <v/>
      </c>
      <c r="M15" s="8">
        <f>M11-M14</f>
        <v/>
      </c>
    </row>
    <row r="16">
      <c r="A16" s="22" t="n"/>
      <c r="B16" s="22" t="n"/>
    </row>
    <row r="17">
      <c r="A17" s="2" t="inlineStr">
        <is>
          <t>Immobilisations de l'année A2</t>
        </is>
      </c>
      <c r="B17" s="22" t="n"/>
    </row>
    <row r="18">
      <c r="A18" s="22" t="inlineStr">
        <is>
          <t>Durée restante</t>
        </is>
      </c>
      <c r="B18" s="22" t="inlineStr">
        <is>
          <t>Années</t>
        </is>
      </c>
      <c r="D18" s="23">
        <f>IF($C$6&lt;D$3,$C$6,D$3)</f>
        <v/>
      </c>
      <c r="E18" s="8">
        <f>IF(D18=0,0,IF(D18-1&lt;E$3,D18-1,E$3))</f>
        <v/>
      </c>
      <c r="F18" s="8">
        <f>IF(E18=0,0,IF(E18-1&lt;F$3,E18-1,F$3))</f>
        <v/>
      </c>
      <c r="G18" s="8">
        <f>IF(F18=0,0,IF(F18-1&lt;G$3,F18-1,G$3))</f>
        <v/>
      </c>
      <c r="H18" s="8">
        <f>IF(G18=0,0,IF(G18-1&lt;H$3,G18-1,H$3))</f>
        <v/>
      </c>
      <c r="I18" s="8">
        <f>IF(H18=0,0,IF(H18-1&lt;I$3,H18-1,I$3))</f>
        <v/>
      </c>
      <c r="J18" s="8">
        <f>IF(I18=0,0,IF(I18-1&lt;J$3,I18-1,J$3))</f>
        <v/>
      </c>
      <c r="K18" s="8">
        <f>IF(J18=0,0,IF(J18-1&lt;K$3,J18-1,K$3))</f>
        <v/>
      </c>
      <c r="L18" s="8">
        <f>IF(K18=0,0,IF(K18-1&lt;L$3,K18-1,L$3))</f>
        <v/>
      </c>
      <c r="M18" s="8">
        <f>IF(L18=0,0,IF(L18-1&lt;M$3,L18-1,M$3))</f>
        <v/>
      </c>
    </row>
    <row r="19">
      <c r="A19" s="22" t="inlineStr">
        <is>
          <t>Base amortissable</t>
        </is>
      </c>
      <c r="B19" s="22" t="inlineStr">
        <is>
          <t>USD</t>
        </is>
      </c>
      <c r="D19" s="23">
        <f>Modèle!D$9</f>
        <v/>
      </c>
      <c r="E19" s="8">
        <f>D23</f>
        <v/>
      </c>
      <c r="F19" s="8">
        <f>E23</f>
        <v/>
      </c>
      <c r="G19" s="8">
        <f>F23</f>
        <v/>
      </c>
      <c r="H19" s="8">
        <f>G23</f>
        <v/>
      </c>
      <c r="I19" s="8">
        <f>H23</f>
        <v/>
      </c>
      <c r="J19" s="8">
        <f>I23</f>
        <v/>
      </c>
      <c r="K19" s="8">
        <f>J23</f>
        <v/>
      </c>
      <c r="L19" s="8">
        <f>K23</f>
        <v/>
      </c>
      <c r="M19" s="8">
        <f>L23</f>
        <v/>
      </c>
    </row>
    <row r="20">
      <c r="A20" s="22" t="inlineStr">
        <is>
          <t>Inverse de la durée restante</t>
        </is>
      </c>
      <c r="B20" s="22" t="inlineStr">
        <is>
          <t>%</t>
        </is>
      </c>
      <c r="D20" s="27">
        <f>IF(D18=0,0,1/D18)</f>
        <v/>
      </c>
      <c r="E20" s="27">
        <f>IF(E18=0,0,1/E18)</f>
        <v/>
      </c>
      <c r="F20" s="27">
        <f>IF(F18=0,0,1/F18)</f>
        <v/>
      </c>
      <c r="G20" s="27">
        <f>IF(G18=0,0,1/G18)</f>
        <v/>
      </c>
      <c r="H20" s="27">
        <f>IF(H18=0,0,1/H18)</f>
        <v/>
      </c>
      <c r="I20" s="27">
        <f>IF(I18=0,0,1/I18)</f>
        <v/>
      </c>
      <c r="J20" s="27">
        <f>IF(J18=0,0,1/J18)</f>
        <v/>
      </c>
      <c r="K20" s="27">
        <f>IF(K18=0,0,1/K18)</f>
        <v/>
      </c>
      <c r="L20" s="27">
        <f>IF(L18=0,0,1/L18)</f>
        <v/>
      </c>
      <c r="M20" s="27">
        <f>IF(M18=0,0,1/M18)</f>
        <v/>
      </c>
    </row>
    <row r="21">
      <c r="A21" s="22" t="inlineStr">
        <is>
          <t>Taux dégressif</t>
        </is>
      </c>
      <c r="B21" s="22" t="inlineStr">
        <is>
          <t>%</t>
        </is>
      </c>
      <c r="D21" s="27">
        <f>IF(D18=0,0,IF($C$7*1/$C$6&gt;D20,$C$7*1/$C$6,D20))</f>
        <v/>
      </c>
      <c r="E21" s="27">
        <f>IF(E18=0,0,IF($C$7*1/$C$6&gt;E20,$C$7*1/$C$6,E20))</f>
        <v/>
      </c>
      <c r="F21" s="27">
        <f>IF(F18=0,0,IF($C$7*1/$C$6&gt;F20,$C$7*1/$C$6,F20))</f>
        <v/>
      </c>
      <c r="G21" s="27">
        <f>IF(G18=0,0,IF($C$7*1/$C$6&gt;G20,$C$7*1/$C$6,G20))</f>
        <v/>
      </c>
      <c r="H21" s="27">
        <f>IF(H18=0,0,IF($C$7*1/$C$6&gt;H20,$C$7*1/$C$6,H20))</f>
        <v/>
      </c>
      <c r="I21" s="27">
        <f>IF(I18=0,0,IF($C$7*1/$C$6&gt;I20,$C$7*1/$C$6,I20))</f>
        <v/>
      </c>
      <c r="J21" s="27">
        <f>IF(J18=0,0,IF($C$7*1/$C$6&gt;J20,$C$7*1/$C$6,J20))</f>
        <v/>
      </c>
      <c r="K21" s="27">
        <f>IF(K18=0,0,IF($C$7*1/$C$6&gt;K20,$C$7*1/$C$6,K20))</f>
        <v/>
      </c>
      <c r="L21" s="27">
        <f>IF(L18=0,0,IF($C$7*1/$C$6&gt;L20,$C$7*1/$C$6,L20))</f>
        <v/>
      </c>
      <c r="M21" s="27">
        <f>IF(M18=0,0,IF($C$7*1/$C$6&gt;M20,$C$7*1/$C$6,M20))</f>
        <v/>
      </c>
    </row>
    <row r="22">
      <c r="A22" s="22" t="inlineStr">
        <is>
          <t>Charge d'amortissement</t>
        </is>
      </c>
      <c r="B22" s="22" t="inlineStr">
        <is>
          <t>USD</t>
        </is>
      </c>
      <c r="D22" s="8">
        <f>D19*D21</f>
        <v/>
      </c>
      <c r="E22" s="8">
        <f>E19*E21</f>
        <v/>
      </c>
      <c r="F22" s="8">
        <f>F19*F21</f>
        <v/>
      </c>
      <c r="G22" s="8">
        <f>G19*G21</f>
        <v/>
      </c>
      <c r="H22" s="8">
        <f>H19*H21</f>
        <v/>
      </c>
      <c r="I22" s="8">
        <f>I19*I21</f>
        <v/>
      </c>
      <c r="J22" s="8">
        <f>J19*J21</f>
        <v/>
      </c>
      <c r="K22" s="8">
        <f>K19*K21</f>
        <v/>
      </c>
      <c r="L22" s="8">
        <f>L19*L21</f>
        <v/>
      </c>
      <c r="M22" s="8">
        <f>M19*M21</f>
        <v/>
      </c>
    </row>
    <row r="23">
      <c r="A23" s="22" t="inlineStr">
        <is>
          <t>Amortissement restant</t>
        </is>
      </c>
      <c r="B23" s="22" t="inlineStr">
        <is>
          <t>USD</t>
        </is>
      </c>
      <c r="D23" s="8">
        <f>D19-D22</f>
        <v/>
      </c>
      <c r="E23" s="8">
        <f>E19-E22</f>
        <v/>
      </c>
      <c r="F23" s="8">
        <f>F19-F22</f>
        <v/>
      </c>
      <c r="G23" s="8">
        <f>G19-G22</f>
        <v/>
      </c>
      <c r="H23" s="8">
        <f>H19-H22</f>
        <v/>
      </c>
      <c r="I23" s="8">
        <f>I19-I22</f>
        <v/>
      </c>
      <c r="J23" s="8">
        <f>J19-J22</f>
        <v/>
      </c>
      <c r="K23" s="8">
        <f>K19-K22</f>
        <v/>
      </c>
      <c r="L23" s="8">
        <f>L19-L22</f>
        <v/>
      </c>
      <c r="M23" s="8">
        <f>M19-M22</f>
        <v/>
      </c>
    </row>
    <row r="24">
      <c r="A24" s="22" t="n"/>
      <c r="B24" s="22" t="n"/>
    </row>
    <row r="25">
      <c r="A25" s="2" t="inlineStr">
        <is>
          <t>Amortissements des constructions industrielles</t>
        </is>
      </c>
      <c r="B25" s="22" t="inlineStr">
        <is>
          <t>USD</t>
        </is>
      </c>
      <c r="C25" s="8">
        <f>C$14+C$22</f>
        <v/>
      </c>
      <c r="D25" s="8">
        <f>D$14+D$22</f>
        <v/>
      </c>
      <c r="E25" s="8">
        <f>E$14+E$22</f>
        <v/>
      </c>
      <c r="F25" s="8">
        <f>F$14+F$22</f>
        <v/>
      </c>
      <c r="G25" s="8">
        <f>G$14+G$22</f>
        <v/>
      </c>
      <c r="H25" s="8">
        <f>H$14+H$22</f>
        <v/>
      </c>
      <c r="I25" s="8">
        <f>I$14+I$22</f>
        <v/>
      </c>
      <c r="J25" s="8">
        <f>J$14+J$22</f>
        <v/>
      </c>
      <c r="K25" s="8">
        <f>K$14+K$22</f>
        <v/>
      </c>
      <c r="L25" s="8">
        <f>L$14+L$22</f>
        <v/>
      </c>
      <c r="M25" s="8">
        <f>M$14+M$22</f>
        <v/>
      </c>
    </row>
    <row r="26">
      <c r="A26" s="22" t="n"/>
      <c r="B26" s="22" t="n"/>
    </row>
    <row r="27">
      <c r="A27" s="5" t="inlineStr">
        <is>
          <t>II. AMORTISSEMENTS DES BIENS D'EQUIPEMENT</t>
        </is>
      </c>
      <c r="B27" s="24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</row>
    <row r="28">
      <c r="A28" s="2" t="inlineStr">
        <is>
          <t>Durée d'amortissement linéaire</t>
        </is>
      </c>
      <c r="B28" s="22" t="inlineStr">
        <is>
          <t>Années</t>
        </is>
      </c>
      <c r="C28" s="19" t="n">
        <v>5</v>
      </c>
    </row>
    <row r="29">
      <c r="A29" s="2" t="inlineStr">
        <is>
          <t>Coefficient d'amortissement dégressif</t>
        </is>
      </c>
      <c r="B29" s="22" t="inlineStr">
        <is>
          <t>Coefficient</t>
        </is>
      </c>
      <c r="C29" s="19" t="n">
        <v>2</v>
      </c>
    </row>
    <row r="30">
      <c r="A30" s="22" t="n"/>
      <c r="B30" s="22" t="n"/>
    </row>
    <row r="31">
      <c r="A31" s="2" t="inlineStr">
        <is>
          <t>Immobilisations de l'année A1</t>
        </is>
      </c>
      <c r="B31" s="22" t="n"/>
    </row>
    <row r="32">
      <c r="A32" s="22" t="inlineStr">
        <is>
          <t>Durée restante</t>
        </is>
      </c>
      <c r="B32" s="22" t="inlineStr">
        <is>
          <t>Années</t>
        </is>
      </c>
      <c r="C32" s="23">
        <f>IF($C$28&lt;C$3,$C$28,C$3)</f>
        <v/>
      </c>
      <c r="D32" s="8">
        <f>IF(C32=0,0,IF(C32-1&lt;D$3,C32-1,D$3))</f>
        <v/>
      </c>
      <c r="E32" s="8">
        <f>IF(D32=0,0,IF(D32-1&lt;E$3,D32-1,E$3))</f>
        <v/>
      </c>
      <c r="F32" s="8">
        <f>IF(E32=0,0,IF(E32-1&lt;F$3,E32-1,F$3))</f>
        <v/>
      </c>
      <c r="G32" s="8">
        <f>IF(F32=0,0,IF(F32-1&lt;G$3,F32-1,G$3))</f>
        <v/>
      </c>
      <c r="H32" s="8">
        <f>IF(G32=0,0,IF(G32-1&lt;H$3,G32-1,H$3))</f>
        <v/>
      </c>
      <c r="I32" s="8">
        <f>IF(H32=0,0,IF(H32-1&lt;I$3,H32-1,I$3))</f>
        <v/>
      </c>
      <c r="J32" s="8">
        <f>IF(I32=0,0,IF(I32-1&lt;J$3,I32-1,J$3))</f>
        <v/>
      </c>
      <c r="K32" s="8">
        <f>IF(J32=0,0,IF(J32-1&lt;K$3,J32-1,K$3))</f>
        <v/>
      </c>
      <c r="L32" s="8">
        <f>IF(K32=0,0,IF(K32-1&lt;L$3,K32-1,L$3))</f>
        <v/>
      </c>
      <c r="M32" s="8">
        <f>IF(L32=0,0,IF(L32-1&lt;M$3,L32-1,M$3))</f>
        <v/>
      </c>
    </row>
    <row r="33">
      <c r="A33" s="22" t="inlineStr">
        <is>
          <t>Base amortissable</t>
        </is>
      </c>
      <c r="B33" s="22" t="inlineStr">
        <is>
          <t>USD</t>
        </is>
      </c>
      <c r="C33" s="23">
        <f>Modèle!C$10</f>
        <v/>
      </c>
      <c r="D33" s="8">
        <f>C37</f>
        <v/>
      </c>
      <c r="E33" s="8">
        <f>D37</f>
        <v/>
      </c>
      <c r="F33" s="8">
        <f>E37</f>
        <v/>
      </c>
      <c r="G33" s="8">
        <f>F37</f>
        <v/>
      </c>
      <c r="H33" s="8">
        <f>G37</f>
        <v/>
      </c>
      <c r="I33" s="8">
        <f>H37</f>
        <v/>
      </c>
      <c r="J33" s="8">
        <f>I37</f>
        <v/>
      </c>
      <c r="K33" s="8">
        <f>J37</f>
        <v/>
      </c>
      <c r="L33" s="8">
        <f>K37</f>
        <v/>
      </c>
      <c r="M33" s="8">
        <f>L37</f>
        <v/>
      </c>
    </row>
    <row r="34">
      <c r="A34" s="22" t="inlineStr">
        <is>
          <t>Inverse de la durée restante</t>
        </is>
      </c>
      <c r="B34" s="22" t="inlineStr">
        <is>
          <t>%</t>
        </is>
      </c>
      <c r="C34" s="27">
        <f>IF(C32=0,0,1/C32)</f>
        <v/>
      </c>
      <c r="D34" s="27">
        <f>IF(D32=0,0,1/D32)</f>
        <v/>
      </c>
      <c r="E34" s="27">
        <f>IF(E32=0,0,1/E32)</f>
        <v/>
      </c>
      <c r="F34" s="27">
        <f>IF(F32=0,0,1/F32)</f>
        <v/>
      </c>
      <c r="G34" s="27">
        <f>IF(G32=0,0,1/G32)</f>
        <v/>
      </c>
      <c r="H34" s="27">
        <f>IF(H32=0,0,1/H32)</f>
        <v/>
      </c>
      <c r="I34" s="27">
        <f>IF(I32=0,0,1/I32)</f>
        <v/>
      </c>
      <c r="J34" s="27">
        <f>IF(J32=0,0,1/J32)</f>
        <v/>
      </c>
      <c r="K34" s="27">
        <f>IF(K32=0,0,1/K32)</f>
        <v/>
      </c>
      <c r="L34" s="27">
        <f>IF(L32=0,0,1/L32)</f>
        <v/>
      </c>
      <c r="M34" s="27">
        <f>IF(M32=0,0,1/M32)</f>
        <v/>
      </c>
    </row>
    <row r="35">
      <c r="A35" s="22" t="inlineStr">
        <is>
          <t>Taux dégressif</t>
        </is>
      </c>
      <c r="B35" s="22" t="inlineStr">
        <is>
          <t>%</t>
        </is>
      </c>
      <c r="C35" s="27">
        <f>IF(C32=0,0,IF($C$29*1/$C$28&gt;C34,$C$29*1/$C$28,C34))</f>
        <v/>
      </c>
      <c r="D35" s="27">
        <f>IF(D32=0,0,IF($C$29*1/$C$28&gt;D34,$C$29*1/$C$28,D34))</f>
        <v/>
      </c>
      <c r="E35" s="27">
        <f>IF(E32=0,0,IF($C$29*1/$C$28&gt;E34,$C$29*1/$C$28,E34))</f>
        <v/>
      </c>
      <c r="F35" s="27">
        <f>IF(F32=0,0,IF($C$29*1/$C$28&gt;F34,$C$29*1/$C$28,F34))</f>
        <v/>
      </c>
      <c r="G35" s="27">
        <f>IF(G32=0,0,IF($C$29*1/$C$28&gt;G34,$C$29*1/$C$28,G34))</f>
        <v/>
      </c>
      <c r="H35" s="27">
        <f>IF(H32=0,0,IF($C$29*1/$C$28&gt;H34,$C$29*1/$C$28,H34))</f>
        <v/>
      </c>
      <c r="I35" s="27">
        <f>IF(I32=0,0,IF($C$29*1/$C$28&gt;I34,$C$29*1/$C$28,I34))</f>
        <v/>
      </c>
      <c r="J35" s="27">
        <f>IF(J32=0,0,IF($C$29*1/$C$28&gt;J34,$C$29*1/$C$28,J34))</f>
        <v/>
      </c>
      <c r="K35" s="27">
        <f>IF(K32=0,0,IF($C$29*1/$C$28&gt;K34,$C$29*1/$C$28,K34))</f>
        <v/>
      </c>
      <c r="L35" s="27">
        <f>IF(L32=0,0,IF($C$29*1/$C$28&gt;L34,$C$29*1/$C$28,L34))</f>
        <v/>
      </c>
      <c r="M35" s="27">
        <f>IF(M32=0,0,IF($C$29*1/$C$28&gt;M34,$C$29*1/$C$28,M34))</f>
        <v/>
      </c>
    </row>
    <row r="36">
      <c r="A36" s="22" t="inlineStr">
        <is>
          <t>Charge d'amortissement</t>
        </is>
      </c>
      <c r="B36" s="22" t="inlineStr">
        <is>
          <t>USD</t>
        </is>
      </c>
      <c r="C36" s="8">
        <f>C33*C35</f>
        <v/>
      </c>
      <c r="D36" s="8">
        <f>D33*D35</f>
        <v/>
      </c>
      <c r="E36" s="8">
        <f>E33*E35</f>
        <v/>
      </c>
      <c r="F36" s="8">
        <f>F33*F35</f>
        <v/>
      </c>
      <c r="G36" s="8">
        <f>G33*G35</f>
        <v/>
      </c>
      <c r="H36" s="8">
        <f>H33*H35</f>
        <v/>
      </c>
      <c r="I36" s="8">
        <f>I33*I35</f>
        <v/>
      </c>
      <c r="J36" s="8">
        <f>J33*J35</f>
        <v/>
      </c>
      <c r="K36" s="8">
        <f>K33*K35</f>
        <v/>
      </c>
      <c r="L36" s="8">
        <f>L33*L35</f>
        <v/>
      </c>
      <c r="M36" s="8">
        <f>M33*M35</f>
        <v/>
      </c>
    </row>
    <row r="37">
      <c r="A37" s="22" t="inlineStr">
        <is>
          <t>Amortissement restant</t>
        </is>
      </c>
      <c r="B37" s="22" t="inlineStr">
        <is>
          <t>USD</t>
        </is>
      </c>
      <c r="C37" s="8">
        <f>C33-C36</f>
        <v/>
      </c>
      <c r="D37" s="8">
        <f>D33-D36</f>
        <v/>
      </c>
      <c r="E37" s="8">
        <f>E33-E36</f>
        <v/>
      </c>
      <c r="F37" s="8">
        <f>F33-F36</f>
        <v/>
      </c>
      <c r="G37" s="8">
        <f>G33-G36</f>
        <v/>
      </c>
      <c r="H37" s="8">
        <f>H33-H36</f>
        <v/>
      </c>
      <c r="I37" s="8">
        <f>I33-I36</f>
        <v/>
      </c>
      <c r="J37" s="8">
        <f>J33-J36</f>
        <v/>
      </c>
      <c r="K37" s="8">
        <f>K33-K36</f>
        <v/>
      </c>
      <c r="L37" s="8">
        <f>L33-L36</f>
        <v/>
      </c>
      <c r="M37" s="8">
        <f>M33-M36</f>
        <v/>
      </c>
    </row>
    <row r="38">
      <c r="A38" s="22" t="n"/>
      <c r="B38" s="22" t="n"/>
    </row>
    <row r="39">
      <c r="A39" s="2" t="inlineStr">
        <is>
          <t>Immobilisations de l'année A2</t>
        </is>
      </c>
      <c r="B39" s="22" t="n"/>
    </row>
    <row r="40">
      <c r="A40" s="22" t="inlineStr">
        <is>
          <t>Durée restante</t>
        </is>
      </c>
      <c r="B40" s="22" t="inlineStr">
        <is>
          <t>Années</t>
        </is>
      </c>
      <c r="D40" s="23">
        <f>IF($C$28&lt;D$3,$C$28,D$3)</f>
        <v/>
      </c>
      <c r="E40" s="8">
        <f>IF(D40=0,0,IF(D40-1&lt;E$3,D40-1,E$3))</f>
        <v/>
      </c>
      <c r="F40" s="8">
        <f>IF(E40=0,0,IF(E40-1&lt;F$3,E40-1,F$3))</f>
        <v/>
      </c>
      <c r="G40" s="8">
        <f>IF(F40=0,0,IF(F40-1&lt;G$3,F40-1,G$3))</f>
        <v/>
      </c>
      <c r="H40" s="8">
        <f>IF(G40=0,0,IF(G40-1&lt;H$3,G40-1,H$3))</f>
        <v/>
      </c>
      <c r="I40" s="8">
        <f>IF(H40=0,0,IF(H40-1&lt;I$3,H40-1,I$3))</f>
        <v/>
      </c>
      <c r="J40" s="8">
        <f>IF(I40=0,0,IF(I40-1&lt;J$3,I40-1,J$3))</f>
        <v/>
      </c>
      <c r="K40" s="8">
        <f>IF(J40=0,0,IF(J40-1&lt;K$3,J40-1,K$3))</f>
        <v/>
      </c>
      <c r="L40" s="8">
        <f>IF(K40=0,0,IF(K40-1&lt;L$3,K40-1,L$3))</f>
        <v/>
      </c>
      <c r="M40" s="8">
        <f>IF(L40=0,0,IF(L40-1&lt;M$3,L40-1,M$3))</f>
        <v/>
      </c>
    </row>
    <row r="41">
      <c r="A41" s="22" t="inlineStr">
        <is>
          <t>Base amortissable</t>
        </is>
      </c>
      <c r="B41" s="22" t="inlineStr">
        <is>
          <t>USD</t>
        </is>
      </c>
      <c r="D41" s="23">
        <f>Modèle!D$10</f>
        <v/>
      </c>
      <c r="E41" s="8">
        <f>D45</f>
        <v/>
      </c>
      <c r="F41" s="8">
        <f>E45</f>
        <v/>
      </c>
      <c r="G41" s="8">
        <f>F45</f>
        <v/>
      </c>
      <c r="H41" s="8">
        <f>G45</f>
        <v/>
      </c>
      <c r="I41" s="8">
        <f>H45</f>
        <v/>
      </c>
      <c r="J41" s="8">
        <f>I45</f>
        <v/>
      </c>
      <c r="K41" s="8">
        <f>J45</f>
        <v/>
      </c>
      <c r="L41" s="8">
        <f>K45</f>
        <v/>
      </c>
      <c r="M41" s="8">
        <f>L45</f>
        <v/>
      </c>
    </row>
    <row r="42">
      <c r="A42" s="22" t="inlineStr">
        <is>
          <t>Inverse de la durée restante</t>
        </is>
      </c>
      <c r="B42" s="22" t="inlineStr">
        <is>
          <t>%</t>
        </is>
      </c>
      <c r="D42" s="27">
        <f>IF(D40=0,0,1/D40)</f>
        <v/>
      </c>
      <c r="E42" s="27">
        <f>IF(E40=0,0,1/E40)</f>
        <v/>
      </c>
      <c r="F42" s="27">
        <f>IF(F40=0,0,1/F40)</f>
        <v/>
      </c>
      <c r="G42" s="27">
        <f>IF(G40=0,0,1/G40)</f>
        <v/>
      </c>
      <c r="H42" s="27">
        <f>IF(H40=0,0,1/H40)</f>
        <v/>
      </c>
      <c r="I42" s="27">
        <f>IF(I40=0,0,1/I40)</f>
        <v/>
      </c>
      <c r="J42" s="27">
        <f>IF(J40=0,0,1/J40)</f>
        <v/>
      </c>
      <c r="K42" s="27">
        <f>IF(K40=0,0,1/K40)</f>
        <v/>
      </c>
      <c r="L42" s="27">
        <f>IF(L40=0,0,1/L40)</f>
        <v/>
      </c>
      <c r="M42" s="27">
        <f>IF(M40=0,0,1/M40)</f>
        <v/>
      </c>
    </row>
    <row r="43">
      <c r="A43" s="22" t="inlineStr">
        <is>
          <t>Taux dégressif</t>
        </is>
      </c>
      <c r="B43" s="22" t="inlineStr">
        <is>
          <t>%</t>
        </is>
      </c>
      <c r="D43" s="27">
        <f>IF(D40=0,0,IF($C$29*1/$C$28&gt;D42,$C$29*1/$C$28,D42))</f>
        <v/>
      </c>
      <c r="E43" s="27">
        <f>IF(E40=0,0,IF($C$29*1/$C$28&gt;E42,$C$29*1/$C$28,E42))</f>
        <v/>
      </c>
      <c r="F43" s="27">
        <f>IF(F40=0,0,IF($C$29*1/$C$28&gt;F42,$C$29*1/$C$28,F42))</f>
        <v/>
      </c>
      <c r="G43" s="27">
        <f>IF(G40=0,0,IF($C$29*1/$C$28&gt;G42,$C$29*1/$C$28,G42))</f>
        <v/>
      </c>
      <c r="H43" s="27">
        <f>IF(H40=0,0,IF($C$29*1/$C$28&gt;H42,$C$29*1/$C$28,H42))</f>
        <v/>
      </c>
      <c r="I43" s="27">
        <f>IF(I40=0,0,IF($C$29*1/$C$28&gt;I42,$C$29*1/$C$28,I42))</f>
        <v/>
      </c>
      <c r="J43" s="27">
        <f>IF(J40=0,0,IF($C$29*1/$C$28&gt;J42,$C$29*1/$C$28,J42))</f>
        <v/>
      </c>
      <c r="K43" s="27">
        <f>IF(K40=0,0,IF($C$29*1/$C$28&gt;K42,$C$29*1/$C$28,K42))</f>
        <v/>
      </c>
      <c r="L43" s="27">
        <f>IF(L40=0,0,IF($C$29*1/$C$28&gt;L42,$C$29*1/$C$28,L42))</f>
        <v/>
      </c>
      <c r="M43" s="27">
        <f>IF(M40=0,0,IF($C$29*1/$C$28&gt;M42,$C$29*1/$C$28,M42))</f>
        <v/>
      </c>
    </row>
    <row r="44">
      <c r="A44" s="22" t="inlineStr">
        <is>
          <t>Charge d'amortissement</t>
        </is>
      </c>
      <c r="B44" s="22" t="inlineStr">
        <is>
          <t>USD</t>
        </is>
      </c>
      <c r="D44" s="8">
        <f>D41*D43</f>
        <v/>
      </c>
      <c r="E44" s="8">
        <f>E41*E43</f>
        <v/>
      </c>
      <c r="F44" s="8">
        <f>F41*F43</f>
        <v/>
      </c>
      <c r="G44" s="8">
        <f>G41*G43</f>
        <v/>
      </c>
      <c r="H44" s="8">
        <f>H41*H43</f>
        <v/>
      </c>
      <c r="I44" s="8">
        <f>I41*I43</f>
        <v/>
      </c>
      <c r="J44" s="8">
        <f>J41*J43</f>
        <v/>
      </c>
      <c r="K44" s="8">
        <f>K41*K43</f>
        <v/>
      </c>
      <c r="L44" s="8">
        <f>L41*L43</f>
        <v/>
      </c>
      <c r="M44" s="8">
        <f>M41*M43</f>
        <v/>
      </c>
    </row>
    <row r="45">
      <c r="A45" s="22" t="inlineStr">
        <is>
          <t>Amortissement restant</t>
        </is>
      </c>
      <c r="B45" s="22" t="inlineStr">
        <is>
          <t>USD</t>
        </is>
      </c>
      <c r="D45" s="8">
        <f>D41-D44</f>
        <v/>
      </c>
      <c r="E45" s="8">
        <f>E41-E44</f>
        <v/>
      </c>
      <c r="F45" s="8">
        <f>F41-F44</f>
        <v/>
      </c>
      <c r="G45" s="8">
        <f>G41-G44</f>
        <v/>
      </c>
      <c r="H45" s="8">
        <f>H41-H44</f>
        <v/>
      </c>
      <c r="I45" s="8">
        <f>I41-I44</f>
        <v/>
      </c>
      <c r="J45" s="8">
        <f>J41-J44</f>
        <v/>
      </c>
      <c r="K45" s="8">
        <f>K41-K44</f>
        <v/>
      </c>
      <c r="L45" s="8">
        <f>L41-L44</f>
        <v/>
      </c>
      <c r="M45" s="8">
        <f>M41-M44</f>
        <v/>
      </c>
    </row>
    <row r="46">
      <c r="A46" s="22" t="n"/>
      <c r="B46" s="22" t="n"/>
    </row>
    <row r="47">
      <c r="A47" s="2" t="inlineStr">
        <is>
          <t>Immobilisations de l'année A3</t>
        </is>
      </c>
      <c r="B47" s="22" t="n"/>
    </row>
    <row r="48">
      <c r="A48" s="22" t="inlineStr">
        <is>
          <t>Durée restante</t>
        </is>
      </c>
      <c r="B48" s="22" t="inlineStr">
        <is>
          <t>Années</t>
        </is>
      </c>
      <c r="E48" s="23">
        <f>IF($C$28&lt;E$3,$C$28,E$3)</f>
        <v/>
      </c>
      <c r="F48" s="8">
        <f>IF(E48=0,0,IF(E48-1&lt;F$3,E48-1,F$3))</f>
        <v/>
      </c>
      <c r="G48" s="8">
        <f>IF(F48=0,0,IF(F48-1&lt;G$3,F48-1,G$3))</f>
        <v/>
      </c>
      <c r="H48" s="8">
        <f>IF(G48=0,0,IF(G48-1&lt;H$3,G48-1,H$3))</f>
        <v/>
      </c>
      <c r="I48" s="8">
        <f>IF(H48=0,0,IF(H48-1&lt;I$3,H48-1,I$3))</f>
        <v/>
      </c>
      <c r="J48" s="8">
        <f>IF(I48=0,0,IF(I48-1&lt;J$3,I48-1,J$3))</f>
        <v/>
      </c>
      <c r="K48" s="8">
        <f>IF(J48=0,0,IF(J48-1&lt;K$3,J48-1,K$3))</f>
        <v/>
      </c>
      <c r="L48" s="8">
        <f>IF(K48=0,0,IF(K48-1&lt;L$3,K48-1,L$3))</f>
        <v/>
      </c>
      <c r="M48" s="8">
        <f>IF(L48=0,0,IF(L48-1&lt;M$3,L48-1,M$3))</f>
        <v/>
      </c>
    </row>
    <row r="49">
      <c r="A49" s="22" t="inlineStr">
        <is>
          <t>Base amortissable</t>
        </is>
      </c>
      <c r="B49" s="22" t="inlineStr">
        <is>
          <t>USD</t>
        </is>
      </c>
      <c r="E49" s="23">
        <f>Modèle!E$10</f>
        <v/>
      </c>
      <c r="F49" s="8">
        <f>E53</f>
        <v/>
      </c>
      <c r="G49" s="8">
        <f>F53</f>
        <v/>
      </c>
      <c r="H49" s="8">
        <f>G53</f>
        <v/>
      </c>
      <c r="I49" s="8">
        <f>H53</f>
        <v/>
      </c>
      <c r="J49" s="8">
        <f>I53</f>
        <v/>
      </c>
      <c r="K49" s="8">
        <f>J53</f>
        <v/>
      </c>
      <c r="L49" s="8">
        <f>K53</f>
        <v/>
      </c>
      <c r="M49" s="8">
        <f>L53</f>
        <v/>
      </c>
    </row>
    <row r="50">
      <c r="A50" s="22" t="inlineStr">
        <is>
          <t>Inverse de la durée restante</t>
        </is>
      </c>
      <c r="B50" s="22" t="inlineStr">
        <is>
          <t>%</t>
        </is>
      </c>
      <c r="E50" s="27">
        <f>IF(E48=0,0,1/E48)</f>
        <v/>
      </c>
      <c r="F50" s="27">
        <f>IF(F48=0,0,1/F48)</f>
        <v/>
      </c>
      <c r="G50" s="27">
        <f>IF(G48=0,0,1/G48)</f>
        <v/>
      </c>
      <c r="H50" s="27">
        <f>IF(H48=0,0,1/H48)</f>
        <v/>
      </c>
      <c r="I50" s="27">
        <f>IF(I48=0,0,1/I48)</f>
        <v/>
      </c>
      <c r="J50" s="27">
        <f>IF(J48=0,0,1/J48)</f>
        <v/>
      </c>
      <c r="K50" s="27">
        <f>IF(K48=0,0,1/K48)</f>
        <v/>
      </c>
      <c r="L50" s="27">
        <f>IF(L48=0,0,1/L48)</f>
        <v/>
      </c>
      <c r="M50" s="27">
        <f>IF(M48=0,0,1/M48)</f>
        <v/>
      </c>
    </row>
    <row r="51">
      <c r="A51" s="22" t="inlineStr">
        <is>
          <t>Taux dégressif</t>
        </is>
      </c>
      <c r="B51" s="22" t="inlineStr">
        <is>
          <t>%</t>
        </is>
      </c>
      <c r="E51" s="27">
        <f>IF(E48=0,0,IF($C$29*1/$C$28&gt;E50,$C$29*1/$C$28,E50))</f>
        <v/>
      </c>
      <c r="F51" s="27">
        <f>IF(F48=0,0,IF($C$29*1/$C$28&gt;F50,$C$29*1/$C$28,F50))</f>
        <v/>
      </c>
      <c r="G51" s="27">
        <f>IF(G48=0,0,IF($C$29*1/$C$28&gt;G50,$C$29*1/$C$28,G50))</f>
        <v/>
      </c>
      <c r="H51" s="27">
        <f>IF(H48=0,0,IF($C$29*1/$C$28&gt;H50,$C$29*1/$C$28,H50))</f>
        <v/>
      </c>
      <c r="I51" s="27">
        <f>IF(I48=0,0,IF($C$29*1/$C$28&gt;I50,$C$29*1/$C$28,I50))</f>
        <v/>
      </c>
      <c r="J51" s="27">
        <f>IF(J48=0,0,IF($C$29*1/$C$28&gt;J50,$C$29*1/$C$28,J50))</f>
        <v/>
      </c>
      <c r="K51" s="27">
        <f>IF(K48=0,0,IF($C$29*1/$C$28&gt;K50,$C$29*1/$C$28,K50))</f>
        <v/>
      </c>
      <c r="L51" s="27">
        <f>IF(L48=0,0,IF($C$29*1/$C$28&gt;L50,$C$29*1/$C$28,L50))</f>
        <v/>
      </c>
      <c r="M51" s="27">
        <f>IF(M48=0,0,IF($C$29*1/$C$28&gt;M50,$C$29*1/$C$28,M50))</f>
        <v/>
      </c>
    </row>
    <row r="52">
      <c r="A52" s="22" t="inlineStr">
        <is>
          <t>Charge d'amortissement</t>
        </is>
      </c>
      <c r="B52" s="22" t="inlineStr">
        <is>
          <t>USD</t>
        </is>
      </c>
      <c r="E52" s="8">
        <f>E49*E51</f>
        <v/>
      </c>
      <c r="F52" s="8">
        <f>F49*F51</f>
        <v/>
      </c>
      <c r="G52" s="8">
        <f>G49*G51</f>
        <v/>
      </c>
      <c r="H52" s="8">
        <f>H49*H51</f>
        <v/>
      </c>
      <c r="I52" s="8">
        <f>I49*I51</f>
        <v/>
      </c>
      <c r="J52" s="8">
        <f>J49*J51</f>
        <v/>
      </c>
      <c r="K52" s="8">
        <f>K49*K51</f>
        <v/>
      </c>
      <c r="L52" s="8">
        <f>L49*L51</f>
        <v/>
      </c>
      <c r="M52" s="8">
        <f>M49*M51</f>
        <v/>
      </c>
    </row>
    <row r="53">
      <c r="A53" s="22" t="inlineStr">
        <is>
          <t>Amortissement restant</t>
        </is>
      </c>
      <c r="B53" s="22" t="inlineStr">
        <is>
          <t>USD</t>
        </is>
      </c>
      <c r="E53" s="8">
        <f>E49-E52</f>
        <v/>
      </c>
      <c r="F53" s="8">
        <f>F49-F52</f>
        <v/>
      </c>
      <c r="G53" s="8">
        <f>G49-G52</f>
        <v/>
      </c>
      <c r="H53" s="8">
        <f>H49-H52</f>
        <v/>
      </c>
      <c r="I53" s="8">
        <f>I49-I52</f>
        <v/>
      </c>
      <c r="J53" s="8">
        <f>J49-J52</f>
        <v/>
      </c>
      <c r="K53" s="8">
        <f>K49-K52</f>
        <v/>
      </c>
      <c r="L53" s="8">
        <f>L49-L52</f>
        <v/>
      </c>
      <c r="M53" s="8">
        <f>M49-M52</f>
        <v/>
      </c>
    </row>
    <row r="54">
      <c r="A54" s="22" t="n"/>
      <c r="B54" s="22" t="n"/>
    </row>
    <row r="55">
      <c r="A55" s="2" t="inlineStr">
        <is>
          <t>Immobilisations de l'année A4</t>
        </is>
      </c>
      <c r="B55" s="22" t="n"/>
    </row>
    <row r="56">
      <c r="A56" s="22" t="inlineStr">
        <is>
          <t>Durée restante</t>
        </is>
      </c>
      <c r="B56" s="22" t="inlineStr">
        <is>
          <t>Années</t>
        </is>
      </c>
      <c r="F56" s="23">
        <f>IF($C$28&lt;F$3,$C$28,F$3)</f>
        <v/>
      </c>
      <c r="G56" s="8">
        <f>IF(F56=0,0,IF(F56-1&lt;G$3,F56-1,G$3))</f>
        <v/>
      </c>
      <c r="H56" s="8">
        <f>IF(G56=0,0,IF(G56-1&lt;H$3,G56-1,H$3))</f>
        <v/>
      </c>
      <c r="I56" s="8">
        <f>IF(H56=0,0,IF(H56-1&lt;I$3,H56-1,I$3))</f>
        <v/>
      </c>
      <c r="J56" s="8">
        <f>IF(I56=0,0,IF(I56-1&lt;J$3,I56-1,J$3))</f>
        <v/>
      </c>
      <c r="K56" s="8">
        <f>IF(J56=0,0,IF(J56-1&lt;K$3,J56-1,K$3))</f>
        <v/>
      </c>
      <c r="L56" s="8">
        <f>IF(K56=0,0,IF(K56-1&lt;L$3,K56-1,L$3))</f>
        <v/>
      </c>
      <c r="M56" s="8">
        <f>IF(L56=0,0,IF(L56-1&lt;M$3,L56-1,M$3))</f>
        <v/>
      </c>
    </row>
    <row r="57">
      <c r="A57" s="22" t="inlineStr">
        <is>
          <t>Base amortissable</t>
        </is>
      </c>
      <c r="B57" s="22" t="inlineStr">
        <is>
          <t>USD</t>
        </is>
      </c>
      <c r="F57" s="23">
        <f>Modèle!F$10</f>
        <v/>
      </c>
      <c r="G57" s="8">
        <f>F61</f>
        <v/>
      </c>
      <c r="H57" s="8">
        <f>G61</f>
        <v/>
      </c>
      <c r="I57" s="8">
        <f>H61</f>
        <v/>
      </c>
      <c r="J57" s="8">
        <f>I61</f>
        <v/>
      </c>
      <c r="K57" s="8">
        <f>J61</f>
        <v/>
      </c>
      <c r="L57" s="8">
        <f>K61</f>
        <v/>
      </c>
      <c r="M57" s="8">
        <f>L61</f>
        <v/>
      </c>
    </row>
    <row r="58">
      <c r="A58" s="22" t="inlineStr">
        <is>
          <t>Inverse de la durée restante</t>
        </is>
      </c>
      <c r="B58" s="22" t="inlineStr">
        <is>
          <t>%</t>
        </is>
      </c>
      <c r="F58" s="27">
        <f>IF(F56=0,0,1/F56)</f>
        <v/>
      </c>
      <c r="G58" s="27">
        <f>IF(G56=0,0,1/G56)</f>
        <v/>
      </c>
      <c r="H58" s="27">
        <f>IF(H56=0,0,1/H56)</f>
        <v/>
      </c>
      <c r="I58" s="27">
        <f>IF(I56=0,0,1/I56)</f>
        <v/>
      </c>
      <c r="J58" s="27">
        <f>IF(J56=0,0,1/J56)</f>
        <v/>
      </c>
      <c r="K58" s="27">
        <f>IF(K56=0,0,1/K56)</f>
        <v/>
      </c>
      <c r="L58" s="27">
        <f>IF(L56=0,0,1/L56)</f>
        <v/>
      </c>
      <c r="M58" s="27">
        <f>IF(M56=0,0,1/M56)</f>
        <v/>
      </c>
    </row>
    <row r="59">
      <c r="A59" s="22" t="inlineStr">
        <is>
          <t>Taux dégressif</t>
        </is>
      </c>
      <c r="B59" s="22" t="inlineStr">
        <is>
          <t>%</t>
        </is>
      </c>
      <c r="F59" s="27">
        <f>IF(F56=0,0,IF($C$29*1/$C$28&gt;F58,$C$29*1/$C$28,F58))</f>
        <v/>
      </c>
      <c r="G59" s="27">
        <f>IF(G56=0,0,IF($C$29*1/$C$28&gt;G58,$C$29*1/$C$28,G58))</f>
        <v/>
      </c>
      <c r="H59" s="27">
        <f>IF(H56=0,0,IF($C$29*1/$C$28&gt;H58,$C$29*1/$C$28,H58))</f>
        <v/>
      </c>
      <c r="I59" s="27">
        <f>IF(I56=0,0,IF($C$29*1/$C$28&gt;I58,$C$29*1/$C$28,I58))</f>
        <v/>
      </c>
      <c r="J59" s="27">
        <f>IF(J56=0,0,IF($C$29*1/$C$28&gt;J58,$C$29*1/$C$28,J58))</f>
        <v/>
      </c>
      <c r="K59" s="27">
        <f>IF(K56=0,0,IF($C$29*1/$C$28&gt;K58,$C$29*1/$C$28,K58))</f>
        <v/>
      </c>
      <c r="L59" s="27">
        <f>IF(L56=0,0,IF($C$29*1/$C$28&gt;L58,$C$29*1/$C$28,L58))</f>
        <v/>
      </c>
      <c r="M59" s="27">
        <f>IF(M56=0,0,IF($C$29*1/$C$28&gt;M58,$C$29*1/$C$28,M58))</f>
        <v/>
      </c>
    </row>
    <row r="60">
      <c r="A60" s="22" t="inlineStr">
        <is>
          <t>Charge d'amortissement</t>
        </is>
      </c>
      <c r="B60" s="22" t="inlineStr">
        <is>
          <t>USD</t>
        </is>
      </c>
      <c r="F60" s="8">
        <f>F57*F59</f>
        <v/>
      </c>
      <c r="G60" s="8">
        <f>G57*G59</f>
        <v/>
      </c>
      <c r="H60" s="8">
        <f>H57*H59</f>
        <v/>
      </c>
      <c r="I60" s="8">
        <f>I57*I59</f>
        <v/>
      </c>
      <c r="J60" s="8">
        <f>J57*J59</f>
        <v/>
      </c>
      <c r="K60" s="8">
        <f>K57*K59</f>
        <v/>
      </c>
      <c r="L60" s="8">
        <f>L57*L59</f>
        <v/>
      </c>
      <c r="M60" s="8">
        <f>M57*M59</f>
        <v/>
      </c>
    </row>
    <row r="61">
      <c r="A61" s="22" t="inlineStr">
        <is>
          <t>Amortissement restant</t>
        </is>
      </c>
      <c r="B61" s="22" t="inlineStr">
        <is>
          <t>USD</t>
        </is>
      </c>
      <c r="F61" s="8">
        <f>F57-F60</f>
        <v/>
      </c>
      <c r="G61" s="8">
        <f>G57-G60</f>
        <v/>
      </c>
      <c r="H61" s="8">
        <f>H57-H60</f>
        <v/>
      </c>
      <c r="I61" s="8">
        <f>I57-I60</f>
        <v/>
      </c>
      <c r="J61" s="8">
        <f>J57-J60</f>
        <v/>
      </c>
      <c r="K61" s="8">
        <f>K57-K60</f>
        <v/>
      </c>
      <c r="L61" s="8">
        <f>L57-L60</f>
        <v/>
      </c>
      <c r="M61" s="8">
        <f>M57-M60</f>
        <v/>
      </c>
    </row>
    <row r="62">
      <c r="A62" s="22" t="n"/>
      <c r="B62" s="22" t="n"/>
    </row>
    <row r="63">
      <c r="A63" s="2" t="inlineStr">
        <is>
          <t>Immobilisations de l'année A5</t>
        </is>
      </c>
      <c r="B63" s="22" t="n"/>
    </row>
    <row r="64">
      <c r="A64" s="22" t="inlineStr">
        <is>
          <t>Durée restante</t>
        </is>
      </c>
      <c r="B64" s="22" t="inlineStr">
        <is>
          <t>Années</t>
        </is>
      </c>
      <c r="G64" s="23">
        <f>IF($C$28&lt;G$3,$C$28,G$3)</f>
        <v/>
      </c>
      <c r="H64" s="8">
        <f>IF(G64=0,0,IF(G64-1&lt;H$3,G64-1,H$3))</f>
        <v/>
      </c>
      <c r="I64" s="8">
        <f>IF(H64=0,0,IF(H64-1&lt;I$3,H64-1,I$3))</f>
        <v/>
      </c>
      <c r="J64" s="8">
        <f>IF(I64=0,0,IF(I64-1&lt;J$3,I64-1,J$3))</f>
        <v/>
      </c>
      <c r="K64" s="8">
        <f>IF(J64=0,0,IF(J64-1&lt;K$3,J64-1,K$3))</f>
        <v/>
      </c>
      <c r="L64" s="8">
        <f>IF(K64=0,0,IF(K64-1&lt;L$3,K64-1,L$3))</f>
        <v/>
      </c>
      <c r="M64" s="8">
        <f>IF(L64=0,0,IF(L64-1&lt;M$3,L64-1,M$3))</f>
        <v/>
      </c>
    </row>
    <row r="65">
      <c r="A65" s="22" t="inlineStr">
        <is>
          <t>Base amortissable</t>
        </is>
      </c>
      <c r="B65" s="22" t="inlineStr">
        <is>
          <t>USD</t>
        </is>
      </c>
      <c r="G65" s="23">
        <f>Modèle!G$10</f>
        <v/>
      </c>
      <c r="H65" s="8">
        <f>G69</f>
        <v/>
      </c>
      <c r="I65" s="8">
        <f>H69</f>
        <v/>
      </c>
      <c r="J65" s="8">
        <f>I69</f>
        <v/>
      </c>
      <c r="K65" s="8">
        <f>J69</f>
        <v/>
      </c>
      <c r="L65" s="8">
        <f>K69</f>
        <v/>
      </c>
      <c r="M65" s="8">
        <f>L69</f>
        <v/>
      </c>
    </row>
    <row r="66">
      <c r="A66" s="22" t="inlineStr">
        <is>
          <t>Inverse de la durée restante</t>
        </is>
      </c>
      <c r="B66" s="22" t="inlineStr">
        <is>
          <t>%</t>
        </is>
      </c>
      <c r="G66" s="27">
        <f>IF(G64=0,0,1/G64)</f>
        <v/>
      </c>
      <c r="H66" s="27">
        <f>IF(H64=0,0,1/H64)</f>
        <v/>
      </c>
      <c r="I66" s="27">
        <f>IF(I64=0,0,1/I64)</f>
        <v/>
      </c>
      <c r="J66" s="27">
        <f>IF(J64=0,0,1/J64)</f>
        <v/>
      </c>
      <c r="K66" s="27">
        <f>IF(K64=0,0,1/K64)</f>
        <v/>
      </c>
      <c r="L66" s="27">
        <f>IF(L64=0,0,1/L64)</f>
        <v/>
      </c>
      <c r="M66" s="27">
        <f>IF(M64=0,0,1/M64)</f>
        <v/>
      </c>
    </row>
    <row r="67">
      <c r="A67" s="22" t="inlineStr">
        <is>
          <t>Taux dégressif</t>
        </is>
      </c>
      <c r="B67" s="22" t="inlineStr">
        <is>
          <t>%</t>
        </is>
      </c>
      <c r="G67" s="27">
        <f>IF(G64=0,0,IF($C$29*1/$C$28&gt;G66,$C$29*1/$C$28,G66))</f>
        <v/>
      </c>
      <c r="H67" s="27">
        <f>IF(H64=0,0,IF($C$29*1/$C$28&gt;H66,$C$29*1/$C$28,H66))</f>
        <v/>
      </c>
      <c r="I67" s="27">
        <f>IF(I64=0,0,IF($C$29*1/$C$28&gt;I66,$C$29*1/$C$28,I66))</f>
        <v/>
      </c>
      <c r="J67" s="27">
        <f>IF(J64=0,0,IF($C$29*1/$C$28&gt;J66,$C$29*1/$C$28,J66))</f>
        <v/>
      </c>
      <c r="K67" s="27">
        <f>IF(K64=0,0,IF($C$29*1/$C$28&gt;K66,$C$29*1/$C$28,K66))</f>
        <v/>
      </c>
      <c r="L67" s="27">
        <f>IF(L64=0,0,IF($C$29*1/$C$28&gt;L66,$C$29*1/$C$28,L66))</f>
        <v/>
      </c>
      <c r="M67" s="27">
        <f>IF(M64=0,0,IF($C$29*1/$C$28&gt;M66,$C$29*1/$C$28,M66))</f>
        <v/>
      </c>
    </row>
    <row r="68">
      <c r="A68" s="22" t="inlineStr">
        <is>
          <t>Charge d'amortissement</t>
        </is>
      </c>
      <c r="B68" s="22" t="inlineStr">
        <is>
          <t>USD</t>
        </is>
      </c>
      <c r="G68" s="8">
        <f>G65*G67</f>
        <v/>
      </c>
      <c r="H68" s="8">
        <f>H65*H67</f>
        <v/>
      </c>
      <c r="I68" s="8">
        <f>I65*I67</f>
        <v/>
      </c>
      <c r="J68" s="8">
        <f>J65*J67</f>
        <v/>
      </c>
      <c r="K68" s="8">
        <f>K65*K67</f>
        <v/>
      </c>
      <c r="L68" s="8">
        <f>L65*L67</f>
        <v/>
      </c>
      <c r="M68" s="8">
        <f>M65*M67</f>
        <v/>
      </c>
    </row>
    <row r="69">
      <c r="A69" s="22" t="inlineStr">
        <is>
          <t>Amortissement restant</t>
        </is>
      </c>
      <c r="B69" s="22" t="inlineStr">
        <is>
          <t>USD</t>
        </is>
      </c>
      <c r="G69" s="8">
        <f>G65-G68</f>
        <v/>
      </c>
      <c r="H69" s="8">
        <f>H65-H68</f>
        <v/>
      </c>
      <c r="I69" s="8">
        <f>I65-I68</f>
        <v/>
      </c>
      <c r="J69" s="8">
        <f>J65-J68</f>
        <v/>
      </c>
      <c r="K69" s="8">
        <f>K65-K68</f>
        <v/>
      </c>
      <c r="L69" s="8">
        <f>L65-L68</f>
        <v/>
      </c>
      <c r="M69" s="8">
        <f>M65-M68</f>
        <v/>
      </c>
    </row>
    <row r="70">
      <c r="A70" s="22" t="n"/>
      <c r="B70" s="22" t="n"/>
    </row>
    <row r="71">
      <c r="A71" s="2" t="inlineStr">
        <is>
          <t>Immobilisations de l'année A6</t>
        </is>
      </c>
      <c r="B71" s="22" t="n"/>
    </row>
    <row r="72">
      <c r="A72" s="22" t="inlineStr">
        <is>
          <t>Durée restante</t>
        </is>
      </c>
      <c r="B72" s="22" t="inlineStr">
        <is>
          <t>Années</t>
        </is>
      </c>
      <c r="H72" s="23">
        <f>IF($C$28&lt;H$3,$C$28,H$3)</f>
        <v/>
      </c>
      <c r="I72" s="8">
        <f>IF(H72=0,0,IF(H72-1&lt;I$3,H72-1,I$3))</f>
        <v/>
      </c>
      <c r="J72" s="8">
        <f>IF(I72=0,0,IF(I72-1&lt;J$3,I72-1,J$3))</f>
        <v/>
      </c>
      <c r="K72" s="8">
        <f>IF(J72=0,0,IF(J72-1&lt;K$3,J72-1,K$3))</f>
        <v/>
      </c>
      <c r="L72" s="8">
        <f>IF(K72=0,0,IF(K72-1&lt;L$3,K72-1,L$3))</f>
        <v/>
      </c>
      <c r="M72" s="8">
        <f>IF(L72=0,0,IF(L72-1&lt;M$3,L72-1,M$3))</f>
        <v/>
      </c>
    </row>
    <row r="73">
      <c r="A73" s="22" t="inlineStr">
        <is>
          <t>Base amortissable</t>
        </is>
      </c>
      <c r="B73" s="22" t="inlineStr">
        <is>
          <t>USD</t>
        </is>
      </c>
      <c r="H73" s="23">
        <f>Modèle!L$10</f>
        <v/>
      </c>
      <c r="I73" s="8">
        <f>H77</f>
        <v/>
      </c>
      <c r="J73" s="8">
        <f>I77</f>
        <v/>
      </c>
      <c r="K73" s="8">
        <f>J77</f>
        <v/>
      </c>
      <c r="L73" s="8">
        <f>K77</f>
        <v/>
      </c>
      <c r="M73" s="8">
        <f>L77</f>
        <v/>
      </c>
    </row>
    <row r="74">
      <c r="A74" s="22" t="inlineStr">
        <is>
          <t>Inverse de la durée restante</t>
        </is>
      </c>
      <c r="B74" s="22" t="inlineStr">
        <is>
          <t>%</t>
        </is>
      </c>
      <c r="H74" s="27">
        <f>IF(H72=0,0,1/H72)</f>
        <v/>
      </c>
      <c r="I74" s="27">
        <f>IF(I72=0,0,1/I72)</f>
        <v/>
      </c>
      <c r="J74" s="27">
        <f>IF(J72=0,0,1/J72)</f>
        <v/>
      </c>
      <c r="K74" s="27">
        <f>IF(K72=0,0,1/K72)</f>
        <v/>
      </c>
      <c r="L74" s="27">
        <f>IF(L72=0,0,1/L72)</f>
        <v/>
      </c>
      <c r="M74" s="27">
        <f>IF(M72=0,0,1/M72)</f>
        <v/>
      </c>
    </row>
    <row r="75">
      <c r="A75" s="22" t="inlineStr">
        <is>
          <t>Taux dégressif</t>
        </is>
      </c>
      <c r="B75" s="22" t="inlineStr">
        <is>
          <t>%</t>
        </is>
      </c>
      <c r="H75" s="27">
        <f>IF(H72=0,0,IF($C$29*1/$C$28&gt;H74,$C$29*1/$C$28,H74))</f>
        <v/>
      </c>
      <c r="I75" s="27">
        <f>IF(I72=0,0,IF($C$29*1/$C$28&gt;I74,$C$29*1/$C$28,I74))</f>
        <v/>
      </c>
      <c r="J75" s="27">
        <f>IF(J72=0,0,IF($C$29*1/$C$28&gt;J74,$C$29*1/$C$28,J74))</f>
        <v/>
      </c>
      <c r="K75" s="27">
        <f>IF(K72=0,0,IF($C$29*1/$C$28&gt;K74,$C$29*1/$C$28,K74))</f>
        <v/>
      </c>
      <c r="L75" s="27">
        <f>IF(L72=0,0,IF($C$29*1/$C$28&gt;L74,$C$29*1/$C$28,L74))</f>
        <v/>
      </c>
      <c r="M75" s="27">
        <f>IF(M72=0,0,IF($C$29*1/$C$28&gt;M74,$C$29*1/$C$28,M74))</f>
        <v/>
      </c>
    </row>
    <row r="76">
      <c r="A76" s="22" t="inlineStr">
        <is>
          <t>Charge d'amortissement</t>
        </is>
      </c>
      <c r="B76" s="22" t="inlineStr">
        <is>
          <t>USD</t>
        </is>
      </c>
      <c r="H76" s="8">
        <f>H73*H75</f>
        <v/>
      </c>
      <c r="I76" s="8">
        <f>I73*I75</f>
        <v/>
      </c>
      <c r="J76" s="8">
        <f>J73*J75</f>
        <v/>
      </c>
      <c r="K76" s="8">
        <f>K73*K75</f>
        <v/>
      </c>
      <c r="L76" s="8">
        <f>L73*L75</f>
        <v/>
      </c>
      <c r="M76" s="8">
        <f>M73*M75</f>
        <v/>
      </c>
    </row>
    <row r="77">
      <c r="A77" s="22" t="inlineStr">
        <is>
          <t>Amortissement restant</t>
        </is>
      </c>
      <c r="B77" s="22" t="inlineStr">
        <is>
          <t>USD</t>
        </is>
      </c>
      <c r="H77" s="8">
        <f>H73-H76</f>
        <v/>
      </c>
      <c r="I77" s="8">
        <f>I73-I76</f>
        <v/>
      </c>
      <c r="J77" s="8">
        <f>J73-J76</f>
        <v/>
      </c>
      <c r="K77" s="8">
        <f>K73-K76</f>
        <v/>
      </c>
      <c r="L77" s="8">
        <f>L73-L76</f>
        <v/>
      </c>
      <c r="M77" s="8">
        <f>M73-M76</f>
        <v/>
      </c>
    </row>
    <row r="78">
      <c r="A78" s="22" t="n"/>
      <c r="B78" s="22" t="n"/>
    </row>
    <row r="79">
      <c r="A79" s="2" t="inlineStr">
        <is>
          <t>Immobilisations de l'année A7</t>
        </is>
      </c>
      <c r="B79" s="22" t="n"/>
    </row>
    <row r="80">
      <c r="A80" s="22" t="inlineStr">
        <is>
          <t>Durée restante</t>
        </is>
      </c>
      <c r="B80" s="22" t="inlineStr">
        <is>
          <t>Années</t>
        </is>
      </c>
      <c r="I80" s="23">
        <f>IF($C$28&lt;I$3,$C$28,I$3)</f>
        <v/>
      </c>
      <c r="J80" s="8">
        <f>IF(I80=0,0,IF(I80-1&lt;J$3,I80-1,J$3))</f>
        <v/>
      </c>
      <c r="K80" s="8">
        <f>IF(J80=0,0,IF(J80-1&lt;K$3,J80-1,K$3))</f>
        <v/>
      </c>
      <c r="L80" s="8">
        <f>IF(K80=0,0,IF(K80-1&lt;L$3,K80-1,L$3))</f>
        <v/>
      </c>
      <c r="M80" s="8">
        <f>IF(L80=0,0,IF(L80-1&lt;M$3,L80-1,M$3))</f>
        <v/>
      </c>
    </row>
    <row r="81">
      <c r="A81" s="22" t="inlineStr">
        <is>
          <t>Base amortissable</t>
        </is>
      </c>
      <c r="B81" s="22" t="inlineStr">
        <is>
          <t>USD</t>
        </is>
      </c>
      <c r="I81" s="23">
        <f>Modèle!M$10</f>
        <v/>
      </c>
      <c r="J81" s="8">
        <f>I85</f>
        <v/>
      </c>
      <c r="K81" s="8">
        <f>J85</f>
        <v/>
      </c>
      <c r="L81" s="8">
        <f>K85</f>
        <v/>
      </c>
      <c r="M81" s="8">
        <f>L85</f>
        <v/>
      </c>
    </row>
    <row r="82">
      <c r="A82" s="22" t="inlineStr">
        <is>
          <t>Inverse de la durée restante</t>
        </is>
      </c>
      <c r="B82" s="22" t="inlineStr">
        <is>
          <t>%</t>
        </is>
      </c>
      <c r="I82" s="27">
        <f>IF(I80=0,0,1/I80)</f>
        <v/>
      </c>
      <c r="J82" s="27">
        <f>IF(J80=0,0,1/J80)</f>
        <v/>
      </c>
      <c r="K82" s="27">
        <f>IF(K80=0,0,1/K80)</f>
        <v/>
      </c>
      <c r="L82" s="27">
        <f>IF(L80=0,0,1/L80)</f>
        <v/>
      </c>
      <c r="M82" s="27">
        <f>IF(M80=0,0,1/M80)</f>
        <v/>
      </c>
    </row>
    <row r="83">
      <c r="A83" s="22" t="inlineStr">
        <is>
          <t>Taux dégressif</t>
        </is>
      </c>
      <c r="B83" s="22" t="inlineStr">
        <is>
          <t>%</t>
        </is>
      </c>
      <c r="I83" s="27">
        <f>IF(I80=0,0,IF($C$29*1/$C$28&gt;I82,$C$29*1/$C$28,I82))</f>
        <v/>
      </c>
      <c r="J83" s="27">
        <f>IF(J80=0,0,IF($C$29*1/$C$28&gt;J82,$C$29*1/$C$28,J82))</f>
        <v/>
      </c>
      <c r="K83" s="27">
        <f>IF(K80=0,0,IF($C$29*1/$C$28&gt;K82,$C$29*1/$C$28,K82))</f>
        <v/>
      </c>
      <c r="L83" s="27">
        <f>IF(L80=0,0,IF($C$29*1/$C$28&gt;L82,$C$29*1/$C$28,L82))</f>
        <v/>
      </c>
      <c r="M83" s="27">
        <f>IF(M80=0,0,IF($C$29*1/$C$28&gt;M82,$C$29*1/$C$28,M82))</f>
        <v/>
      </c>
    </row>
    <row r="84">
      <c r="A84" s="22" t="inlineStr">
        <is>
          <t>Charge d'amortissement</t>
        </is>
      </c>
      <c r="B84" s="22" t="inlineStr">
        <is>
          <t>USD</t>
        </is>
      </c>
      <c r="I84" s="8">
        <f>I81*I83</f>
        <v/>
      </c>
      <c r="J84" s="8">
        <f>J81*J83</f>
        <v/>
      </c>
      <c r="K84" s="8">
        <f>K81*K83</f>
        <v/>
      </c>
      <c r="L84" s="8">
        <f>L81*L83</f>
        <v/>
      </c>
      <c r="M84" s="8">
        <f>M81*M83</f>
        <v/>
      </c>
    </row>
    <row r="85">
      <c r="A85" s="22" t="inlineStr">
        <is>
          <t>Amortissement restant</t>
        </is>
      </c>
      <c r="B85" s="22" t="inlineStr">
        <is>
          <t>USD</t>
        </is>
      </c>
      <c r="I85" s="8">
        <f>I81-I84</f>
        <v/>
      </c>
      <c r="J85" s="8">
        <f>J81-J84</f>
        <v/>
      </c>
      <c r="K85" s="8">
        <f>K81-K84</f>
        <v/>
      </c>
      <c r="L85" s="8">
        <f>L81-L84</f>
        <v/>
      </c>
      <c r="M85" s="8">
        <f>M81-M84</f>
        <v/>
      </c>
    </row>
    <row r="86">
      <c r="A86" s="22" t="n"/>
      <c r="B86" s="22" t="n"/>
    </row>
    <row r="87">
      <c r="A87" s="2" t="inlineStr">
        <is>
          <t>Immobilisations de l'année A8</t>
        </is>
      </c>
      <c r="B87" s="22" t="n"/>
    </row>
    <row r="88">
      <c r="A88" s="22" t="inlineStr">
        <is>
          <t>Durée restante</t>
        </is>
      </c>
      <c r="B88" s="22" t="inlineStr">
        <is>
          <t>Années</t>
        </is>
      </c>
      <c r="J88" s="23">
        <f>IF($C$28&lt;J$3,$C$28,J$3)</f>
        <v/>
      </c>
      <c r="K88" s="8">
        <f>IF(J88=0,0,IF(J88-1&lt;K$3,J88-1,K$3))</f>
        <v/>
      </c>
      <c r="L88" s="8">
        <f>IF(K88=0,0,IF(K88-1&lt;L$3,K88-1,L$3))</f>
        <v/>
      </c>
      <c r="M88" s="8">
        <f>IF(L88=0,0,IF(L88-1&lt;M$3,L88-1,M$3))</f>
        <v/>
      </c>
    </row>
    <row r="89">
      <c r="A89" s="22" t="inlineStr">
        <is>
          <t>Base amortissable</t>
        </is>
      </c>
      <c r="B89" s="22" t="inlineStr">
        <is>
          <t>USD</t>
        </is>
      </c>
      <c r="J89" s="23">
        <f>Modèle!N$10</f>
        <v/>
      </c>
      <c r="K89" s="8">
        <f>J93</f>
        <v/>
      </c>
      <c r="L89" s="8">
        <f>K93</f>
        <v/>
      </c>
      <c r="M89" s="8">
        <f>L93</f>
        <v/>
      </c>
    </row>
    <row r="90">
      <c r="A90" s="22" t="inlineStr">
        <is>
          <t>Inverse de la durée restante</t>
        </is>
      </c>
      <c r="B90" s="22" t="inlineStr">
        <is>
          <t>%</t>
        </is>
      </c>
      <c r="J90" s="27">
        <f>IF(J88=0,0,1/J88)</f>
        <v/>
      </c>
      <c r="K90" s="27">
        <f>IF(K88=0,0,1/K88)</f>
        <v/>
      </c>
      <c r="L90" s="27">
        <f>IF(L88=0,0,1/L88)</f>
        <v/>
      </c>
      <c r="M90" s="27">
        <f>IF(M88=0,0,1/M88)</f>
        <v/>
      </c>
    </row>
    <row r="91">
      <c r="A91" s="22" t="inlineStr">
        <is>
          <t>Taux dégressif</t>
        </is>
      </c>
      <c r="B91" s="22" t="inlineStr">
        <is>
          <t>%</t>
        </is>
      </c>
      <c r="J91" s="27">
        <f>IF(J88=0,0,IF($C$29*1/$C$28&gt;J90,$C$29*1/$C$28,J90))</f>
        <v/>
      </c>
      <c r="K91" s="27">
        <f>IF(K88=0,0,IF($C$29*1/$C$28&gt;K90,$C$29*1/$C$28,K90))</f>
        <v/>
      </c>
      <c r="L91" s="27">
        <f>IF(L88=0,0,IF($C$29*1/$C$28&gt;L90,$C$29*1/$C$28,L90))</f>
        <v/>
      </c>
      <c r="M91" s="27">
        <f>IF(M88=0,0,IF($C$29*1/$C$28&gt;M90,$C$29*1/$C$28,M90))</f>
        <v/>
      </c>
    </row>
    <row r="92">
      <c r="A92" s="22" t="inlineStr">
        <is>
          <t>Charge d'amortissement</t>
        </is>
      </c>
      <c r="B92" s="22" t="inlineStr">
        <is>
          <t>USD</t>
        </is>
      </c>
      <c r="J92" s="8">
        <f>J89*J91</f>
        <v/>
      </c>
      <c r="K92" s="8">
        <f>K89*K91</f>
        <v/>
      </c>
      <c r="L92" s="8">
        <f>L89*L91</f>
        <v/>
      </c>
      <c r="M92" s="8">
        <f>M89*M91</f>
        <v/>
      </c>
    </row>
    <row r="93">
      <c r="A93" s="22" t="inlineStr">
        <is>
          <t>Amortissement restant</t>
        </is>
      </c>
      <c r="B93" s="22" t="inlineStr">
        <is>
          <t>USD</t>
        </is>
      </c>
      <c r="J93" s="8">
        <f>J89-J92</f>
        <v/>
      </c>
      <c r="K93" s="8">
        <f>K89-K92</f>
        <v/>
      </c>
      <c r="L93" s="8">
        <f>L89-L92</f>
        <v/>
      </c>
      <c r="M93" s="8">
        <f>M89-M92</f>
        <v/>
      </c>
    </row>
    <row r="94">
      <c r="A94" s="22" t="n"/>
      <c r="B94" s="22" t="n"/>
    </row>
    <row r="95">
      <c r="A95" s="2" t="inlineStr">
        <is>
          <t>Immobilisations de l'année A9</t>
        </is>
      </c>
      <c r="B95" s="22" t="n"/>
    </row>
    <row r="96">
      <c r="A96" s="22" t="inlineStr">
        <is>
          <t>Durée restante</t>
        </is>
      </c>
      <c r="B96" s="22" t="inlineStr">
        <is>
          <t>Années</t>
        </is>
      </c>
      <c r="K96" s="23">
        <f>IF($C$28&lt;K$3,$C$28,K$3)</f>
        <v/>
      </c>
      <c r="L96" s="8">
        <f>IF(K96=0,0,IF(K96-1&lt;L$3,K96-1,L$3))</f>
        <v/>
      </c>
      <c r="M96" s="8">
        <f>IF(L96=0,0,IF(L96-1&lt;M$3,L96-1,M$3))</f>
        <v/>
      </c>
    </row>
    <row r="97">
      <c r="A97" s="22" t="inlineStr">
        <is>
          <t>Base amortissable</t>
        </is>
      </c>
      <c r="B97" s="22" t="inlineStr">
        <is>
          <t>USD</t>
        </is>
      </c>
      <c r="K97" s="23">
        <f>Modèle!O$10</f>
        <v/>
      </c>
      <c r="L97" s="8">
        <f>K101</f>
        <v/>
      </c>
      <c r="M97" s="8">
        <f>L101</f>
        <v/>
      </c>
    </row>
    <row r="98">
      <c r="A98" s="22" t="inlineStr">
        <is>
          <t>Inverse de la durée restante</t>
        </is>
      </c>
      <c r="B98" s="22" t="inlineStr">
        <is>
          <t>%</t>
        </is>
      </c>
      <c r="K98" s="27">
        <f>IF(K96=0,0,1/K96)</f>
        <v/>
      </c>
      <c r="L98" s="27">
        <f>IF(L96=0,0,1/L96)</f>
        <v/>
      </c>
      <c r="M98" s="27">
        <f>IF(M96=0,0,1/M96)</f>
        <v/>
      </c>
    </row>
    <row r="99">
      <c r="A99" s="22" t="inlineStr">
        <is>
          <t>Taux dégressif</t>
        </is>
      </c>
      <c r="B99" s="22" t="inlineStr">
        <is>
          <t>%</t>
        </is>
      </c>
      <c r="K99" s="27">
        <f>IF(K96=0,0,IF($C$29*1/$C$28&gt;K98,$C$29*1/$C$28,K98))</f>
        <v/>
      </c>
      <c r="L99" s="27">
        <f>IF(L96=0,0,IF($C$29*1/$C$28&gt;L98,$C$29*1/$C$28,L98))</f>
        <v/>
      </c>
      <c r="M99" s="27">
        <f>IF(M96=0,0,IF($C$29*1/$C$28&gt;M98,$C$29*1/$C$28,M98))</f>
        <v/>
      </c>
    </row>
    <row r="100">
      <c r="A100" s="22" t="inlineStr">
        <is>
          <t>Charge d'amortissement</t>
        </is>
      </c>
      <c r="B100" s="22" t="inlineStr">
        <is>
          <t>USD</t>
        </is>
      </c>
      <c r="K100" s="8">
        <f>K97*K99</f>
        <v/>
      </c>
      <c r="L100" s="8">
        <f>L97*L99</f>
        <v/>
      </c>
      <c r="M100" s="8">
        <f>M97*M99</f>
        <v/>
      </c>
    </row>
    <row r="101">
      <c r="A101" s="22" t="inlineStr">
        <is>
          <t>Amortissement restant</t>
        </is>
      </c>
      <c r="B101" s="22" t="inlineStr">
        <is>
          <t>USD</t>
        </is>
      </c>
      <c r="K101" s="8">
        <f>K97-K100</f>
        <v/>
      </c>
      <c r="L101" s="8">
        <f>L97-L100</f>
        <v/>
      </c>
      <c r="M101" s="8">
        <f>M97-M100</f>
        <v/>
      </c>
    </row>
    <row r="102">
      <c r="A102" s="22" t="n"/>
      <c r="B102" s="22" t="n"/>
    </row>
    <row r="103">
      <c r="A103" s="2" t="inlineStr">
        <is>
          <t>Immobilisations de l'année A10</t>
        </is>
      </c>
      <c r="B103" s="22" t="n"/>
    </row>
    <row r="104">
      <c r="A104" s="22" t="inlineStr">
        <is>
          <t>Durée restante</t>
        </is>
      </c>
      <c r="B104" s="22" t="inlineStr">
        <is>
          <t>Années</t>
        </is>
      </c>
      <c r="L104" s="23">
        <f>IF($C$28&lt;L$3,$C$28,L$3)</f>
        <v/>
      </c>
      <c r="M104" s="8">
        <f>IF(L104=0,0,IF(L104-1&lt;M$3,L104-1,M$3))</f>
        <v/>
      </c>
    </row>
    <row r="105">
      <c r="A105" s="22" t="inlineStr">
        <is>
          <t>Base amortissable</t>
        </is>
      </c>
      <c r="B105" s="22" t="inlineStr">
        <is>
          <t>USD</t>
        </is>
      </c>
      <c r="L105" s="23">
        <f>Modèle!P$10</f>
        <v/>
      </c>
      <c r="M105" s="8">
        <f>L109</f>
        <v/>
      </c>
    </row>
    <row r="106">
      <c r="A106" s="22" t="inlineStr">
        <is>
          <t>Inverse de la durée restante</t>
        </is>
      </c>
      <c r="B106" s="22" t="inlineStr">
        <is>
          <t>%</t>
        </is>
      </c>
      <c r="L106" s="27">
        <f>IF(L104=0,0,1/L104)</f>
        <v/>
      </c>
      <c r="M106" s="27">
        <f>IF(M104=0,0,1/M104)</f>
        <v/>
      </c>
    </row>
    <row r="107">
      <c r="A107" s="22" t="inlineStr">
        <is>
          <t>Taux dégressif</t>
        </is>
      </c>
      <c r="B107" s="22" t="inlineStr">
        <is>
          <t>%</t>
        </is>
      </c>
      <c r="L107" s="27">
        <f>IF(L104=0,0,IF($C$29*1/$C$28&gt;L106,$C$29*1/$C$28,L106))</f>
        <v/>
      </c>
      <c r="M107" s="27">
        <f>IF(M104=0,0,IF($C$29*1/$C$28&gt;M106,$C$29*1/$C$28,M106))</f>
        <v/>
      </c>
    </row>
    <row r="108">
      <c r="A108" s="22" t="inlineStr">
        <is>
          <t>Charge d'amortissement</t>
        </is>
      </c>
      <c r="B108" s="22" t="inlineStr">
        <is>
          <t>USD</t>
        </is>
      </c>
      <c r="L108" s="8">
        <f>L105*L107</f>
        <v/>
      </c>
      <c r="M108" s="8">
        <f>M105*M107</f>
        <v/>
      </c>
    </row>
    <row r="109">
      <c r="A109" s="22" t="inlineStr">
        <is>
          <t>Amortissement restant</t>
        </is>
      </c>
      <c r="B109" s="22" t="inlineStr">
        <is>
          <t>USD</t>
        </is>
      </c>
      <c r="L109" s="8">
        <f>L105-L108</f>
        <v/>
      </c>
      <c r="M109" s="8">
        <f>M105-M108</f>
        <v/>
      </c>
    </row>
    <row r="110">
      <c r="A110" s="22" t="n"/>
      <c r="B110" s="22" t="n"/>
    </row>
    <row r="111">
      <c r="A111" s="2" t="inlineStr">
        <is>
          <t>Immobilisations de l'année A11</t>
        </is>
      </c>
      <c r="B111" s="22" t="n"/>
    </row>
    <row r="112">
      <c r="A112" s="22" t="inlineStr">
        <is>
          <t>Durée restante</t>
        </is>
      </c>
      <c r="B112" s="22" t="inlineStr">
        <is>
          <t>Années</t>
        </is>
      </c>
      <c r="M112" s="23">
        <f>IF($C$28&lt;M$3,$C$28,M$3)</f>
        <v/>
      </c>
    </row>
    <row r="113">
      <c r="A113" s="22" t="inlineStr">
        <is>
          <t>Base amortissable</t>
        </is>
      </c>
      <c r="B113" s="22" t="inlineStr">
        <is>
          <t>USD</t>
        </is>
      </c>
      <c r="M113" s="23">
        <f>Modèle!Q$10</f>
        <v/>
      </c>
    </row>
    <row r="114">
      <c r="A114" s="22" t="inlineStr">
        <is>
          <t>Inverse de la durée restante</t>
        </is>
      </c>
      <c r="B114" s="22" t="inlineStr">
        <is>
          <t>%</t>
        </is>
      </c>
      <c r="M114" s="27">
        <f>IF(M112=0,0,1/M112)</f>
        <v/>
      </c>
    </row>
    <row r="115">
      <c r="A115" s="22" t="inlineStr">
        <is>
          <t>Taux dégressif</t>
        </is>
      </c>
      <c r="B115" s="22" t="inlineStr">
        <is>
          <t>%</t>
        </is>
      </c>
      <c r="M115" s="27">
        <f>IF(M112=0,0,IF($C$29*1/$C$28&gt;M114,$C$29*1/$C$28,M114))</f>
        <v/>
      </c>
    </row>
    <row r="116">
      <c r="A116" s="22" t="inlineStr">
        <is>
          <t>Charge d'amortissement</t>
        </is>
      </c>
      <c r="B116" s="22" t="inlineStr">
        <is>
          <t>USD</t>
        </is>
      </c>
      <c r="M116" s="8">
        <f>M113*M115</f>
        <v/>
      </c>
    </row>
    <row r="117">
      <c r="A117" s="22" t="inlineStr">
        <is>
          <t>Amortissement restant</t>
        </is>
      </c>
      <c r="B117" s="22" t="inlineStr">
        <is>
          <t>USD</t>
        </is>
      </c>
      <c r="M117" s="8">
        <f>M113-M116</f>
        <v/>
      </c>
    </row>
    <row r="118">
      <c r="A118" s="22" t="n"/>
      <c r="B118" s="22" t="n"/>
    </row>
    <row r="119">
      <c r="A119" s="2" t="inlineStr">
        <is>
          <t>Amortissements des biens d'équipement</t>
        </is>
      </c>
      <c r="B119" s="22" t="inlineStr">
        <is>
          <t>USD</t>
        </is>
      </c>
      <c r="C119" s="8">
        <f>C$36+C$44+C$52+C$60+C$68+C$76+C$84+C$92+C$100+C$108+C$116</f>
        <v/>
      </c>
      <c r="D119" s="8">
        <f>D$36+D$44+D$52+D$60+D$68+D$76+D$84+D$92+D$100+D$108+D$116</f>
        <v/>
      </c>
      <c r="E119" s="8">
        <f>E$36+E$44+E$52+E$60+E$68+E$76+E$84+E$92+E$100+E$108+E$116</f>
        <v/>
      </c>
      <c r="F119" s="8">
        <f>F$36+F$44+F$52+F$60+F$68+F$76+F$84+F$92+F$100+F$108+F$116</f>
        <v/>
      </c>
      <c r="G119" s="8">
        <f>G$36+G$44+G$52+G$60+G$68+G$76+G$84+G$92+G$100+G$108+G$116</f>
        <v/>
      </c>
      <c r="H119" s="8">
        <f>H$36+H$44+H$52+H$60+H$68+H$76+H$84+H$92+H$100+H$108+H$116</f>
        <v/>
      </c>
      <c r="I119" s="8">
        <f>I$36+I$44+I$52+I$60+I$68+I$76+I$84+I$92+I$100+I$108+I$116</f>
        <v/>
      </c>
      <c r="J119" s="8">
        <f>J$36+J$44+J$52+J$60+J$68+J$76+J$84+J$92+J$100+J$108+J$116</f>
        <v/>
      </c>
      <c r="K119" s="8">
        <f>K$36+K$44+K$52+K$60+K$68+K$76+K$84+K$92+K$100+K$108+K$116</f>
        <v/>
      </c>
      <c r="L119" s="8">
        <f>L$36+L$44+L$52+L$60+L$68+L$76+L$84+L$92+L$100+L$108+L$116</f>
        <v/>
      </c>
      <c r="M119" s="8">
        <f>M$36+M$44+M$52+M$60+M$68+M$76+M$84+M$92+M$100+M$108+M$116</f>
        <v/>
      </c>
    </row>
    <row r="120">
      <c r="A120" s="22" t="n"/>
      <c r="B120" s="22" t="n"/>
    </row>
    <row r="121">
      <c r="A121" s="5" t="inlineStr">
        <is>
          <t>III. AMORTISSEMENTS DES DEPENSES DE REHABILITATION</t>
        </is>
      </c>
      <c r="B121" s="24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</row>
    <row r="122">
      <c r="A122" s="2" t="inlineStr">
        <is>
          <t>Durée d'amortissement linéaire</t>
        </is>
      </c>
      <c r="B122" s="22" t="inlineStr">
        <is>
          <t>Années</t>
        </is>
      </c>
      <c r="C122" s="19" t="n">
        <v>1</v>
      </c>
    </row>
    <row r="123">
      <c r="A123" s="2" t="inlineStr">
        <is>
          <t>Coefficient d'amortissement dégressif</t>
        </is>
      </c>
      <c r="B123" s="22" t="inlineStr">
        <is>
          <t>Coefficient</t>
        </is>
      </c>
      <c r="C123" s="19" t="n">
        <v>1</v>
      </c>
    </row>
    <row r="124">
      <c r="A124" s="22" t="n"/>
      <c r="B124" s="22" t="n"/>
    </row>
    <row r="125">
      <c r="A125" s="2" t="inlineStr">
        <is>
          <t>Immobilisations de l'année A11</t>
        </is>
      </c>
      <c r="B125" s="22" t="n"/>
    </row>
    <row r="126">
      <c r="A126" s="22" t="inlineStr">
        <is>
          <t>Durée restante</t>
        </is>
      </c>
      <c r="B126" s="22" t="inlineStr">
        <is>
          <t>Années</t>
        </is>
      </c>
      <c r="M126" s="23">
        <f>IF($C$122&lt;M$3,$C$122,M$3)</f>
        <v/>
      </c>
    </row>
    <row r="127">
      <c r="A127" s="22" t="inlineStr">
        <is>
          <t>Base amortissable</t>
        </is>
      </c>
      <c r="B127" s="22" t="inlineStr">
        <is>
          <t>USD</t>
        </is>
      </c>
      <c r="M127" s="23">
        <f>Modèle!Q$11</f>
        <v/>
      </c>
    </row>
    <row r="128">
      <c r="A128" s="22" t="inlineStr">
        <is>
          <t>Inverse de la durée restante</t>
        </is>
      </c>
      <c r="B128" s="22" t="inlineStr">
        <is>
          <t>%</t>
        </is>
      </c>
      <c r="M128" s="27">
        <f>IF(M126=0,0,1/M126)</f>
        <v/>
      </c>
    </row>
    <row r="129">
      <c r="A129" s="22" t="inlineStr">
        <is>
          <t>Taux dégressif</t>
        </is>
      </c>
      <c r="B129" s="22" t="inlineStr">
        <is>
          <t>%</t>
        </is>
      </c>
      <c r="M129" s="27">
        <f>IF(M126=0,0,IF($C$123*1/$C$122&gt;M128,$C$123*1/$C$122,M128))</f>
        <v/>
      </c>
    </row>
    <row r="130">
      <c r="A130" s="22" t="inlineStr">
        <is>
          <t>Charge d'amortissement</t>
        </is>
      </c>
      <c r="B130" s="22" t="inlineStr">
        <is>
          <t>USD</t>
        </is>
      </c>
      <c r="M130" s="8">
        <f>M127*M129</f>
        <v/>
      </c>
    </row>
    <row r="131">
      <c r="A131" s="22" t="inlineStr">
        <is>
          <t>Amortissement restant</t>
        </is>
      </c>
      <c r="B131" s="22" t="inlineStr">
        <is>
          <t>USD</t>
        </is>
      </c>
      <c r="M131" s="8">
        <f>M127-M130</f>
        <v/>
      </c>
    </row>
    <row r="132">
      <c r="A132" s="22" t="n"/>
      <c r="B132" s="22" t="n"/>
    </row>
    <row r="133">
      <c r="A133" s="2" t="inlineStr">
        <is>
          <t>Amortissements des dépenses de réhabilitation</t>
        </is>
      </c>
      <c r="B133" s="22" t="inlineStr">
        <is>
          <t>USD</t>
        </is>
      </c>
      <c r="C133" s="8">
        <f>C130</f>
        <v/>
      </c>
      <c r="D133" s="8">
        <f>D130</f>
        <v/>
      </c>
      <c r="E133" s="8">
        <f>E130</f>
        <v/>
      </c>
      <c r="F133" s="8">
        <f>F130</f>
        <v/>
      </c>
      <c r="G133" s="8">
        <f>G130</f>
        <v/>
      </c>
      <c r="H133" s="8">
        <f>H130</f>
        <v/>
      </c>
      <c r="I133" s="8">
        <f>I130</f>
        <v/>
      </c>
      <c r="J133" s="8">
        <f>J130</f>
        <v/>
      </c>
      <c r="K133" s="8">
        <f>K130</f>
        <v/>
      </c>
      <c r="L133" s="8">
        <f>L130</f>
        <v/>
      </c>
      <c r="M133" s="8">
        <f>M130</f>
        <v/>
      </c>
    </row>
    <row r="134">
      <c r="A134" s="22" t="n"/>
      <c r="B134" s="22" t="n"/>
    </row>
    <row r="135">
      <c r="A135" s="5" t="inlineStr">
        <is>
          <t>IV. CHARGES FINANCIERES</t>
        </is>
      </c>
      <c r="B135" s="24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</row>
    <row r="136">
      <c r="A136" s="2" t="inlineStr">
        <is>
          <t>Emprunt</t>
        </is>
      </c>
      <c r="B136" s="22" t="n"/>
    </row>
    <row r="137">
      <c r="A137" s="22" t="inlineStr">
        <is>
          <t>Durée de l'emprunt</t>
        </is>
      </c>
      <c r="B137" s="22" t="inlineStr">
        <is>
          <t>Années</t>
        </is>
      </c>
      <c r="C137" s="19" t="n">
        <v>5</v>
      </c>
    </row>
    <row r="138">
      <c r="A138" s="22" t="inlineStr">
        <is>
          <t>Taux d'intérêt de l'emprunt</t>
        </is>
      </c>
      <c r="B138" s="22" t="inlineStr">
        <is>
          <t>%</t>
        </is>
      </c>
      <c r="C138" s="21" t="n">
        <v>0.1</v>
      </c>
    </row>
    <row r="139">
      <c r="A139" s="2" t="inlineStr">
        <is>
          <t>Régle de sous-capitalisation</t>
        </is>
      </c>
      <c r="B139" s="22" t="n"/>
    </row>
    <row r="140">
      <c r="A140" s="22" t="inlineStr">
        <is>
          <t>Taux d'intérêt légal maximum</t>
        </is>
      </c>
      <c r="B140" s="22" t="inlineStr">
        <is>
          <t>%</t>
        </is>
      </c>
      <c r="C140" s="21" t="n">
        <v>0.05</v>
      </c>
    </row>
    <row r="141">
      <c r="A141" s="22" t="n"/>
      <c r="B141" s="22" t="n"/>
    </row>
    <row r="142">
      <c r="A142" s="2" t="inlineStr">
        <is>
          <t>Emprunt de l'année A1</t>
        </is>
      </c>
      <c r="B142" s="22" t="n"/>
    </row>
    <row r="143">
      <c r="A143" s="22" t="inlineStr">
        <is>
          <t>Durée restante</t>
        </is>
      </c>
      <c r="B143" s="22" t="inlineStr">
        <is>
          <t>Années</t>
        </is>
      </c>
      <c r="C143" s="23">
        <f>IF($C$137+1&lt;C$3,$C$137+1,C$3)</f>
        <v/>
      </c>
      <c r="D143" s="8">
        <f>IF(C143=0,0,IF(C143-1&lt;D$3,C143-1,D$3))</f>
        <v/>
      </c>
      <c r="E143" s="8">
        <f>IF(D143=0,0,IF(D143-1&lt;E$3,D143-1,E$3))</f>
        <v/>
      </c>
      <c r="F143" s="8">
        <f>IF(E143=0,0,IF(E143-1&lt;F$3,E143-1,F$3))</f>
        <v/>
      </c>
      <c r="G143" s="8">
        <f>IF(F143=0,0,IF(F143-1&lt;G$3,F143-1,G$3))</f>
        <v/>
      </c>
      <c r="H143" s="8">
        <f>IF(G143=0,0,IF(G143-1&lt;H$3,G143-1,H$3))</f>
        <v/>
      </c>
      <c r="I143" s="8">
        <f>IF(H143=0,0,IF(H143-1&lt;I$3,H143-1,I$3))</f>
        <v/>
      </c>
      <c r="J143" s="8">
        <f>IF(I143=0,0,IF(I143-1&lt;J$3,I143-1,J$3))</f>
        <v/>
      </c>
      <c r="K143" s="8">
        <f>IF(J143=0,0,IF(J143-1&lt;K$3,J143-1,K$3))</f>
        <v/>
      </c>
      <c r="L143" s="8">
        <f>IF(K143=0,0,IF(K143-1&lt;L$3,K143-1,L$3))</f>
        <v/>
      </c>
      <c r="M143" s="8">
        <f>IF(L143=0,0,IF(L143-1&lt;M$3,L143-1,M$3))</f>
        <v/>
      </c>
    </row>
    <row r="144">
      <c r="A144" s="22" t="inlineStr">
        <is>
          <t>Emprunt restant</t>
        </is>
      </c>
      <c r="B144" s="22" t="inlineStr">
        <is>
          <t>USD</t>
        </is>
      </c>
      <c r="C144" s="23">
        <f>Modèle!C$12</f>
        <v/>
      </c>
      <c r="D144" s="8">
        <f>C144-D145</f>
        <v/>
      </c>
      <c r="E144" s="8">
        <f>D144-E145</f>
        <v/>
      </c>
      <c r="F144" s="8">
        <f>E144-F145</f>
        <v/>
      </c>
      <c r="G144" s="8">
        <f>F144-G145</f>
        <v/>
      </c>
      <c r="H144" s="8">
        <f>G144-H145</f>
        <v/>
      </c>
      <c r="I144" s="8">
        <f>H144-I145</f>
        <v/>
      </c>
      <c r="J144" s="8">
        <f>I144-J145</f>
        <v/>
      </c>
      <c r="K144" s="8">
        <f>J144-K145</f>
        <v/>
      </c>
      <c r="L144" s="8">
        <f>K144-L145</f>
        <v/>
      </c>
      <c r="M144" s="8">
        <f>L144-M145</f>
        <v/>
      </c>
    </row>
    <row r="145">
      <c r="A145" s="22" t="inlineStr">
        <is>
          <t>Remboursement du principal</t>
        </is>
      </c>
      <c r="B145" s="22" t="inlineStr">
        <is>
          <t>USD</t>
        </is>
      </c>
      <c r="C145" s="24" t="n"/>
      <c r="D145" s="28">
        <f>IF(D143=0,0,C144/D143)</f>
        <v/>
      </c>
      <c r="E145" s="28">
        <f>IF(E143=0,0,D144/E143)</f>
        <v/>
      </c>
      <c r="F145" s="28">
        <f>IF(F143=0,0,E144/F143)</f>
        <v/>
      </c>
      <c r="G145" s="28">
        <f>IF(G143=0,0,F144/G143)</f>
        <v/>
      </c>
      <c r="H145" s="28">
        <f>IF(H143=0,0,G144/H143)</f>
        <v/>
      </c>
      <c r="I145" s="28">
        <f>IF(I143=0,0,H144/I143)</f>
        <v/>
      </c>
      <c r="J145" s="28">
        <f>IF(J143=0,0,I144/J143)</f>
        <v/>
      </c>
      <c r="K145" s="28">
        <f>IF(K143=0,0,J144/K143)</f>
        <v/>
      </c>
      <c r="L145" s="28">
        <f>IF(L143=0,0,K144/L143)</f>
        <v/>
      </c>
      <c r="M145" s="28">
        <f>IF(M143=0,0,L144/M143)</f>
        <v/>
      </c>
    </row>
    <row r="146">
      <c r="A146" s="22" t="inlineStr">
        <is>
          <t>Intérêts versés</t>
        </is>
      </c>
      <c r="B146" s="22" t="inlineStr">
        <is>
          <t>USD</t>
        </is>
      </c>
      <c r="C146" s="28">
        <f>C144*$C$138</f>
        <v/>
      </c>
      <c r="D146" s="28">
        <f>D144*$C$138</f>
        <v/>
      </c>
      <c r="E146" s="28">
        <f>E144*$C$138</f>
        <v/>
      </c>
      <c r="F146" s="28">
        <f>F144*$C$138</f>
        <v/>
      </c>
      <c r="G146" s="28">
        <f>G144*$C$138</f>
        <v/>
      </c>
      <c r="H146" s="28">
        <f>H144*$C$138</f>
        <v/>
      </c>
      <c r="I146" s="28">
        <f>I144*$C$138</f>
        <v/>
      </c>
      <c r="J146" s="28">
        <f>J144*$C$138</f>
        <v/>
      </c>
      <c r="K146" s="28">
        <f>K144*$C$138</f>
        <v/>
      </c>
      <c r="L146" s="28">
        <f>L144*$C$138</f>
        <v/>
      </c>
      <c r="M146" s="28">
        <f>M144*$C$138</f>
        <v/>
      </c>
    </row>
    <row r="147">
      <c r="A147" s="22" t="inlineStr">
        <is>
          <t>Intérêts déductibles</t>
        </is>
      </c>
      <c r="B147" s="22" t="inlineStr">
        <is>
          <t>USD</t>
        </is>
      </c>
      <c r="C147" s="28">
        <f>IF(C144*$C$140&lt;C146,C144*$C$140,C146)</f>
        <v/>
      </c>
      <c r="D147" s="28">
        <f>IF(D144*$C$140&lt;D146,D144*$C$140,D146)</f>
        <v/>
      </c>
      <c r="E147" s="28">
        <f>IF(E144*$C$140&lt;E146,E144*$C$140,E146)</f>
        <v/>
      </c>
      <c r="F147" s="28">
        <f>IF(F144*$C$140&lt;F146,F144*$C$140,F146)</f>
        <v/>
      </c>
      <c r="G147" s="28">
        <f>IF(G144*$C$140&lt;G146,G144*$C$140,G146)</f>
        <v/>
      </c>
      <c r="H147" s="28">
        <f>IF(H144*$C$140&lt;H146,H144*$C$140,H146)</f>
        <v/>
      </c>
      <c r="I147" s="28">
        <f>IF(I144*$C$140&lt;I146,I144*$C$140,I146)</f>
        <v/>
      </c>
      <c r="J147" s="28">
        <f>IF(J144*$C$140&lt;J146,J144*$C$140,J146)</f>
        <v/>
      </c>
      <c r="K147" s="28">
        <f>IF(K144*$C$140&lt;K146,K144*$C$140,K146)</f>
        <v/>
      </c>
      <c r="L147" s="28">
        <f>IF(L144*$C$140&lt;L146,L144*$C$140,L146)</f>
        <v/>
      </c>
      <c r="M147" s="28">
        <f>IF(M144*$C$140&lt;M146,M144*$C$140,M146)</f>
        <v/>
      </c>
    </row>
    <row r="148">
      <c r="A148" s="22" t="n"/>
      <c r="B148" s="22" t="n"/>
    </row>
    <row r="149">
      <c r="A149" s="2" t="inlineStr">
        <is>
          <t>Emprunt de l'année A2</t>
        </is>
      </c>
      <c r="B149" s="22" t="n"/>
    </row>
    <row r="150">
      <c r="A150" s="22" t="inlineStr">
        <is>
          <t>Durée restante</t>
        </is>
      </c>
      <c r="B150" s="22" t="inlineStr">
        <is>
          <t>Années</t>
        </is>
      </c>
      <c r="D150" s="23">
        <f>IF($C$137+1&lt;D$3,$C$137+1,D$3)</f>
        <v/>
      </c>
      <c r="E150" s="8">
        <f>IF(D150=0,0,IF(D150-1&lt;E$3,D150-1,E$3))</f>
        <v/>
      </c>
      <c r="F150" s="8">
        <f>IF(E150=0,0,IF(E150-1&lt;F$3,E150-1,F$3))</f>
        <v/>
      </c>
      <c r="G150" s="8">
        <f>IF(F150=0,0,IF(F150-1&lt;G$3,F150-1,G$3))</f>
        <v/>
      </c>
      <c r="H150" s="8">
        <f>IF(G150=0,0,IF(G150-1&lt;H$3,G150-1,H$3))</f>
        <v/>
      </c>
      <c r="I150" s="8">
        <f>IF(H150=0,0,IF(H150-1&lt;I$3,H150-1,I$3))</f>
        <v/>
      </c>
      <c r="J150" s="8">
        <f>IF(I150=0,0,IF(I150-1&lt;J$3,I150-1,J$3))</f>
        <v/>
      </c>
      <c r="K150" s="8">
        <f>IF(J150=0,0,IF(J150-1&lt;K$3,J150-1,K$3))</f>
        <v/>
      </c>
      <c r="L150" s="8">
        <f>IF(K150=0,0,IF(K150-1&lt;L$3,K150-1,L$3))</f>
        <v/>
      </c>
      <c r="M150" s="8">
        <f>IF(L150=0,0,IF(L150-1&lt;M$3,L150-1,M$3))</f>
        <v/>
      </c>
    </row>
    <row r="151">
      <c r="A151" s="22" t="inlineStr">
        <is>
          <t>Emprunt restant</t>
        </is>
      </c>
      <c r="B151" s="22" t="inlineStr">
        <is>
          <t>USD</t>
        </is>
      </c>
      <c r="D151" s="23">
        <f>Modèle!D$12</f>
        <v/>
      </c>
      <c r="E151" s="8">
        <f>D151-E152</f>
        <v/>
      </c>
      <c r="F151" s="8">
        <f>E151-F152</f>
        <v/>
      </c>
      <c r="G151" s="8">
        <f>F151-G152</f>
        <v/>
      </c>
      <c r="H151" s="8">
        <f>G151-H152</f>
        <v/>
      </c>
      <c r="I151" s="8">
        <f>H151-I152</f>
        <v/>
      </c>
      <c r="J151" s="8">
        <f>I151-J152</f>
        <v/>
      </c>
      <c r="K151" s="8">
        <f>J151-K152</f>
        <v/>
      </c>
      <c r="L151" s="8">
        <f>K151-L152</f>
        <v/>
      </c>
      <c r="M151" s="8">
        <f>L151-M152</f>
        <v/>
      </c>
    </row>
    <row r="152">
      <c r="A152" s="22" t="inlineStr">
        <is>
          <t>Remboursement du principal</t>
        </is>
      </c>
      <c r="B152" s="22" t="inlineStr">
        <is>
          <t>USD</t>
        </is>
      </c>
      <c r="D152" s="24" t="n"/>
      <c r="E152" s="28">
        <f>IF(E150=0,0,D151/E150)</f>
        <v/>
      </c>
      <c r="F152" s="28">
        <f>IF(F150=0,0,E151/F150)</f>
        <v/>
      </c>
      <c r="G152" s="28">
        <f>IF(G150=0,0,F151/G150)</f>
        <v/>
      </c>
      <c r="H152" s="28">
        <f>IF(H150=0,0,G151/H150)</f>
        <v/>
      </c>
      <c r="I152" s="28">
        <f>IF(I150=0,0,H151/I150)</f>
        <v/>
      </c>
      <c r="J152" s="28">
        <f>IF(J150=0,0,I151/J150)</f>
        <v/>
      </c>
      <c r="K152" s="28">
        <f>IF(K150=0,0,J151/K150)</f>
        <v/>
      </c>
      <c r="L152" s="28">
        <f>IF(L150=0,0,K151/L150)</f>
        <v/>
      </c>
      <c r="M152" s="28">
        <f>IF(M150=0,0,L151/M150)</f>
        <v/>
      </c>
    </row>
    <row r="153">
      <c r="A153" s="22" t="inlineStr">
        <is>
          <t>Intérêts versés</t>
        </is>
      </c>
      <c r="B153" s="22" t="inlineStr">
        <is>
          <t>USD</t>
        </is>
      </c>
      <c r="D153" s="28">
        <f>D151*$C$138</f>
        <v/>
      </c>
      <c r="E153" s="28">
        <f>E151*$C$138</f>
        <v/>
      </c>
      <c r="F153" s="28">
        <f>F151*$C$138</f>
        <v/>
      </c>
      <c r="G153" s="28">
        <f>G151*$C$138</f>
        <v/>
      </c>
      <c r="H153" s="28">
        <f>H151*$C$138</f>
        <v/>
      </c>
      <c r="I153" s="28">
        <f>I151*$C$138</f>
        <v/>
      </c>
      <c r="J153" s="28">
        <f>J151*$C$138</f>
        <v/>
      </c>
      <c r="K153" s="28">
        <f>K151*$C$138</f>
        <v/>
      </c>
      <c r="L153" s="28">
        <f>L151*$C$138</f>
        <v/>
      </c>
      <c r="M153" s="28">
        <f>M151*$C$138</f>
        <v/>
      </c>
    </row>
    <row r="154">
      <c r="A154" s="22" t="inlineStr">
        <is>
          <t>Intérêts déductibles</t>
        </is>
      </c>
      <c r="B154" s="22" t="inlineStr">
        <is>
          <t>USD</t>
        </is>
      </c>
      <c r="D154" s="28">
        <f>IF(D151*$C$140&lt;D153,D151*$C$140,D153)</f>
        <v/>
      </c>
      <c r="E154" s="28">
        <f>IF(E151*$C$140&lt;E153,E151*$C$140,E153)</f>
        <v/>
      </c>
      <c r="F154" s="28">
        <f>IF(F151*$C$140&lt;F153,F151*$C$140,F153)</f>
        <v/>
      </c>
      <c r="G154" s="28">
        <f>IF(G151*$C$140&lt;G153,G151*$C$140,G153)</f>
        <v/>
      </c>
      <c r="H154" s="28">
        <f>IF(H151*$C$140&lt;H153,H151*$C$140,H153)</f>
        <v/>
      </c>
      <c r="I154" s="28">
        <f>IF(I151*$C$140&lt;I153,I151*$C$140,I153)</f>
        <v/>
      </c>
      <c r="J154" s="28">
        <f>IF(J151*$C$140&lt;J153,J151*$C$140,J153)</f>
        <v/>
      </c>
      <c r="K154" s="28">
        <f>IF(K151*$C$140&lt;K153,K151*$C$140,K153)</f>
        <v/>
      </c>
      <c r="L154" s="28">
        <f>IF(L151*$C$140&lt;L153,L151*$C$140,L153)</f>
        <v/>
      </c>
      <c r="M154" s="28">
        <f>IF(M151*$C$140&lt;M153,M151*$C$140,M153)</f>
        <v/>
      </c>
    </row>
    <row r="155">
      <c r="A155" s="22" t="n"/>
      <c r="B155" s="22" t="n"/>
    </row>
    <row r="156">
      <c r="A156" s="2" t="inlineStr">
        <is>
          <t>Total des intérêts versés</t>
        </is>
      </c>
      <c r="B156" s="22" t="inlineStr">
        <is>
          <t>USD</t>
        </is>
      </c>
      <c r="C156" s="8">
        <f>C$146+C$153</f>
        <v/>
      </c>
      <c r="D156" s="8">
        <f>D$146+D$153</f>
        <v/>
      </c>
      <c r="E156" s="8">
        <f>E$146+E$153</f>
        <v/>
      </c>
      <c r="F156" s="8">
        <f>F$146+F$153</f>
        <v/>
      </c>
      <c r="G156" s="8">
        <f>G$146+G$153</f>
        <v/>
      </c>
      <c r="H156" s="8">
        <f>H$146+H$153</f>
        <v/>
      </c>
      <c r="I156" s="8">
        <f>I$146+I$153</f>
        <v/>
      </c>
      <c r="J156" s="8">
        <f>J$146+J$153</f>
        <v/>
      </c>
      <c r="K156" s="8">
        <f>K$146+K$153</f>
        <v/>
      </c>
      <c r="L156" s="8">
        <f>L$146+L$153</f>
        <v/>
      </c>
      <c r="M156" s="8">
        <f>M$146+M$153</f>
        <v/>
      </c>
    </row>
    <row r="157">
      <c r="A157" s="2" t="inlineStr">
        <is>
          <t>Total des intérêts déductibles</t>
        </is>
      </c>
      <c r="B157" s="22" t="inlineStr">
        <is>
          <t>USD</t>
        </is>
      </c>
      <c r="C157" s="8">
        <f>C$147+C$154</f>
        <v/>
      </c>
      <c r="D157" s="8">
        <f>D$147+D$154</f>
        <v/>
      </c>
      <c r="E157" s="8">
        <f>E$147+E$154</f>
        <v/>
      </c>
      <c r="F157" s="8">
        <f>F$147+F$154</f>
        <v/>
      </c>
      <c r="G157" s="8">
        <f>G$147+G$154</f>
        <v/>
      </c>
      <c r="H157" s="8">
        <f>H$147+H$154</f>
        <v/>
      </c>
      <c r="I157" s="8">
        <f>I$147+I$154</f>
        <v/>
      </c>
      <c r="J157" s="8">
        <f>J$147+J$154</f>
        <v/>
      </c>
      <c r="K157" s="8">
        <f>K$147+K$154</f>
        <v/>
      </c>
      <c r="L157" s="8">
        <f>L$147+L$154</f>
        <v/>
      </c>
      <c r="M157" s="8">
        <f>M$147+M$154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selection activeCell="A1" sqref="A1"/>
    </sheetView>
  </sheetViews>
  <sheetFormatPr baseColWidth="8" defaultRowHeight="15"/>
  <cols>
    <col width="12.77734375" customWidth="1" min="1" max="1"/>
    <col width="10.77734375" customWidth="1" min="9" max="9"/>
  </cols>
  <sheetData>
    <row r="1">
      <c r="A1" s="36" t="inlineStr">
        <is>
          <t>Le taux effectif moyen d'imposition (valeur actuelle)</t>
        </is>
      </c>
    </row>
    <row r="2">
      <c r="A2" s="37" t="inlineStr">
        <is>
          <t>Année</t>
        </is>
      </c>
      <c r="B2" s="37" t="inlineStr">
        <is>
          <t>État</t>
        </is>
      </c>
      <c r="C2" s="37" t="inlineStr">
        <is>
          <t>Investisseur</t>
        </is>
      </c>
    </row>
    <row r="3">
      <c r="A3" s="38" t="inlineStr">
        <is>
          <t>Toutes</t>
        </is>
      </c>
      <c r="B3" s="39">
        <f>Modèle!$S$79</f>
        <v/>
      </c>
      <c r="C3" s="39">
        <f>Modèle!$S$80</f>
        <v/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>
      <c r="A21" s="36" t="inlineStr">
        <is>
          <t>Les flux nets de trésorerie (valeur courante)</t>
        </is>
      </c>
    </row>
    <row r="22">
      <c r="A22" s="37" t="inlineStr">
        <is>
          <t>Année</t>
        </is>
      </c>
      <c r="B22" s="37" t="inlineStr">
        <is>
          <t>État</t>
        </is>
      </c>
      <c r="C22" s="37" t="inlineStr">
        <is>
          <t>Investisseur</t>
        </is>
      </c>
    </row>
    <row r="23">
      <c r="A23" s="38" t="n">
        <v>1</v>
      </c>
      <c r="B23" s="40">
        <f>Modèle!$C$71</f>
        <v/>
      </c>
      <c r="C23" s="40">
        <f>Modèle!$C$74</f>
        <v/>
      </c>
    </row>
    <row r="24">
      <c r="A24" s="38" t="n">
        <v>2</v>
      </c>
      <c r="B24" s="40">
        <f>Modèle!$D$71</f>
        <v/>
      </c>
      <c r="C24" s="40">
        <f>Modèle!$D$74</f>
        <v/>
      </c>
    </row>
    <row r="25">
      <c r="A25" s="38" t="n">
        <v>3</v>
      </c>
      <c r="B25" s="40">
        <f>Modèle!$E$71</f>
        <v/>
      </c>
      <c r="C25" s="40">
        <f>Modèle!$E$74</f>
        <v/>
      </c>
    </row>
    <row r="26">
      <c r="A26" s="38" t="n">
        <v>4</v>
      </c>
      <c r="B26" s="40">
        <f>Modèle!$F$71</f>
        <v/>
      </c>
      <c r="C26" s="40">
        <f>Modèle!$F$74</f>
        <v/>
      </c>
    </row>
    <row r="27">
      <c r="A27" s="38" t="n">
        <v>5</v>
      </c>
      <c r="B27" s="40">
        <f>Modèle!$G$71</f>
        <v/>
      </c>
      <c r="C27" s="40">
        <f>Modèle!$G$74</f>
        <v/>
      </c>
    </row>
    <row r="28">
      <c r="A28" s="38" t="n">
        <v>6</v>
      </c>
      <c r="B28" s="40">
        <f>Modèle!$L$71</f>
        <v/>
      </c>
      <c r="C28" s="40">
        <f>Modèle!$L$74</f>
        <v/>
      </c>
    </row>
    <row r="29">
      <c r="A29" s="38" t="n">
        <v>7</v>
      </c>
      <c r="B29" s="40">
        <f>Modèle!$M$71</f>
        <v/>
      </c>
      <c r="C29" s="40">
        <f>Modèle!$M$74</f>
        <v/>
      </c>
    </row>
    <row r="30">
      <c r="A30" s="38" t="n">
        <v>8</v>
      </c>
      <c r="B30" s="40">
        <f>Modèle!$N$71</f>
        <v/>
      </c>
      <c r="C30" s="40">
        <f>Modèle!$N$74</f>
        <v/>
      </c>
    </row>
    <row r="31">
      <c r="A31" s="38" t="n">
        <v>9</v>
      </c>
      <c r="B31" s="40">
        <f>Modèle!$O$71</f>
        <v/>
      </c>
      <c r="C31" s="40">
        <f>Modèle!$O$74</f>
        <v/>
      </c>
    </row>
    <row r="32">
      <c r="A32" s="38" t="n">
        <v>10</v>
      </c>
      <c r="B32" s="40">
        <f>Modèle!$P$71</f>
        <v/>
      </c>
      <c r="C32" s="40">
        <f>Modèle!$P$74</f>
        <v/>
      </c>
    </row>
    <row r="33">
      <c r="A33" s="38" t="n">
        <v>11</v>
      </c>
      <c r="B33" s="40">
        <f>Modèle!$Q$71</f>
        <v/>
      </c>
      <c r="C33" s="40">
        <f>Modèle!$Q$74</f>
        <v/>
      </c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29" t="n"/>
      <c r="R33" s="29" t="n"/>
      <c r="S33" s="29" t="n"/>
      <c r="T33" s="29" t="n"/>
    </row>
    <row r="34">
      <c r="A34" s="29" t="n"/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  <c r="T34" s="29" t="n"/>
    </row>
    <row r="35">
      <c r="A35" s="29" t="n"/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29" t="n"/>
      <c r="T35" s="29" t="n"/>
    </row>
    <row r="36">
      <c r="A36" s="29" t="n"/>
      <c r="B36" s="29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</row>
    <row r="37">
      <c r="A37" s="29" t="n"/>
      <c r="B37" s="29" t="n"/>
      <c r="C37" s="29" t="n"/>
      <c r="D37" s="29" t="n"/>
      <c r="E37" s="29" t="n"/>
      <c r="F37" s="29" t="n"/>
      <c r="G37" s="29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29" t="n"/>
      <c r="R37" s="29" t="n"/>
      <c r="S37" s="29" t="n"/>
      <c r="T37" s="29" t="n"/>
    </row>
    <row r="38">
      <c r="A38" s="29" t="n"/>
      <c r="B38" s="29" t="n"/>
      <c r="C38" s="29" t="n"/>
      <c r="D38" s="29" t="n"/>
      <c r="E38" s="29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29" t="n"/>
      <c r="T38" s="29" t="n"/>
    </row>
    <row r="39">
      <c r="A39" s="29" t="n"/>
      <c r="B39" s="29" t="n"/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</row>
    <row r="40">
      <c r="A40" s="29" t="n"/>
      <c r="B40" s="29" t="n"/>
      <c r="C40" s="29" t="n"/>
      <c r="D40" s="29" t="n"/>
      <c r="E40" s="29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29" t="n"/>
    </row>
    <row r="41">
      <c r="A41" s="29" t="n"/>
      <c r="B41" s="29" t="n"/>
      <c r="C41" s="29" t="n"/>
      <c r="D41" s="29" t="n"/>
      <c r="E41" s="29" t="n"/>
      <c r="F41" s="29" t="n"/>
      <c r="G41" s="29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29" t="n"/>
      <c r="R41" s="29" t="n"/>
      <c r="S41" s="29" t="n"/>
      <c r="T41" s="29" t="n"/>
    </row>
    <row r="42">
      <c r="A42" s="29" t="n"/>
      <c r="B42" s="29" t="n"/>
      <c r="C42" s="29" t="n"/>
      <c r="D42" s="29" t="n"/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29" t="n"/>
      <c r="R42" s="29" t="n"/>
      <c r="S42" s="29" t="n"/>
      <c r="T42" s="29" t="n"/>
    </row>
    <row r="43">
      <c r="A43" s="36" t="inlineStr">
        <is>
          <t>Le taux de rendement interne</t>
        </is>
      </c>
      <c r="B43" s="29" t="n"/>
      <c r="C43" s="29" t="n"/>
      <c r="D43" s="29" t="n"/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29" t="n"/>
    </row>
    <row r="44">
      <c r="A44" s="37" t="inlineStr">
        <is>
          <t>Année</t>
        </is>
      </c>
      <c r="B44" s="37" t="inlineStr">
        <is>
          <t>TRI avant impôts</t>
        </is>
      </c>
      <c r="C44" s="37" t="inlineStr">
        <is>
          <t>TRI après impôts</t>
        </is>
      </c>
      <c r="D44" s="29" t="n"/>
      <c r="E44" s="29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29" t="n"/>
      <c r="R44" s="29" t="n"/>
      <c r="S44" s="29" t="n"/>
    </row>
    <row r="45">
      <c r="A45" s="38" t="n">
        <v>1</v>
      </c>
      <c r="B45" s="39">
        <f>Modèle!$C$20</f>
        <v/>
      </c>
      <c r="C45" s="39">
        <f>Modèle!$C$75</f>
        <v/>
      </c>
      <c r="D45" s="29" t="n"/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29" t="n"/>
      <c r="R45" s="29" t="n"/>
      <c r="S45" s="29" t="n"/>
    </row>
    <row r="46">
      <c r="A46" s="38" t="n">
        <v>2</v>
      </c>
      <c r="B46" s="39">
        <f>Modèle!$D$20</f>
        <v/>
      </c>
      <c r="C46" s="39">
        <f>Modèle!$D$75</f>
        <v/>
      </c>
      <c r="D46" s="29" t="n"/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</row>
    <row r="47">
      <c r="A47" s="38" t="n">
        <v>3</v>
      </c>
      <c r="B47" s="39">
        <f>Modèle!$E$20</f>
        <v/>
      </c>
      <c r="C47" s="39">
        <f>Modèle!$E$75</f>
        <v/>
      </c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29" t="n"/>
      <c r="R47" s="29" t="n"/>
      <c r="S47" s="29" t="n"/>
    </row>
    <row r="48">
      <c r="A48" s="38" t="n">
        <v>4</v>
      </c>
      <c r="B48" s="39">
        <f>Modèle!$F$20</f>
        <v/>
      </c>
      <c r="C48" s="39">
        <f>Modèle!$F$75</f>
        <v/>
      </c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29" t="n"/>
      <c r="R48" s="29" t="n"/>
      <c r="S48" s="29" t="n"/>
    </row>
    <row r="49">
      <c r="A49" s="38" t="n">
        <v>5</v>
      </c>
      <c r="B49" s="39">
        <f>Modèle!$G$20</f>
        <v/>
      </c>
      <c r="C49" s="39">
        <f>Modèle!$G$75</f>
        <v/>
      </c>
      <c r="D49" s="29" t="n"/>
      <c r="E49" s="29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29" t="n"/>
      <c r="R49" s="29" t="n"/>
      <c r="S49" s="29" t="n"/>
    </row>
    <row r="50">
      <c r="A50" s="38" t="n">
        <v>6</v>
      </c>
      <c r="B50" s="39">
        <f>Modèle!$L$20</f>
        <v/>
      </c>
      <c r="C50" s="39">
        <f>Modèle!$L$75</f>
        <v/>
      </c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29" t="n"/>
      <c r="R50" s="29" t="n"/>
      <c r="S50" s="29" t="n"/>
    </row>
    <row r="51">
      <c r="A51" s="38" t="n">
        <v>7</v>
      </c>
      <c r="B51" s="39">
        <f>Modèle!$M$20</f>
        <v/>
      </c>
      <c r="C51" s="39">
        <f>Modèle!$M$75</f>
        <v/>
      </c>
      <c r="D51" s="29" t="n"/>
      <c r="E51" s="29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29" t="n"/>
      <c r="R51" s="29" t="n"/>
      <c r="S51" s="29" t="n"/>
    </row>
    <row r="52">
      <c r="A52" s="38" t="n">
        <v>8</v>
      </c>
      <c r="B52" s="39">
        <f>Modèle!$N$20</f>
        <v/>
      </c>
      <c r="C52" s="39">
        <f>Modèle!$N$75</f>
        <v/>
      </c>
      <c r="D52" s="29" t="n"/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29" t="n"/>
      <c r="R52" s="29" t="n"/>
      <c r="S52" s="29" t="n"/>
    </row>
    <row r="53">
      <c r="A53" s="38" t="n">
        <v>9</v>
      </c>
      <c r="B53" s="39">
        <f>Modèle!$O$20</f>
        <v/>
      </c>
      <c r="C53" s="39">
        <f>Modèle!$O$75</f>
        <v/>
      </c>
      <c r="D53" s="29" t="n"/>
      <c r="E53" s="29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29" t="n"/>
      <c r="R53" s="29" t="n"/>
      <c r="S53" s="29" t="n"/>
    </row>
    <row r="54">
      <c r="A54" s="38" t="n">
        <v>10</v>
      </c>
      <c r="B54" s="39">
        <f>Modèle!$P$20</f>
        <v/>
      </c>
      <c r="C54" s="39">
        <f>Modèle!$P$75</f>
        <v/>
      </c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29" t="n"/>
      <c r="S54" s="29" t="n"/>
    </row>
    <row r="55">
      <c r="A55" s="38" t="n">
        <v>11</v>
      </c>
      <c r="B55" s="39">
        <f>Modèle!$Q$20</f>
        <v/>
      </c>
      <c r="C55" s="39">
        <f>Modèle!$Q$75</f>
        <v/>
      </c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29" t="n"/>
      <c r="R55" s="29" t="n"/>
      <c r="S55" s="29" t="n"/>
    </row>
    <row r="56">
      <c r="A56" s="29" t="n"/>
      <c r="B56" s="29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29" t="n"/>
      <c r="R56" s="29" t="n"/>
      <c r="S56" s="29" t="n"/>
    </row>
    <row r="57">
      <c r="A57" s="29" t="n"/>
      <c r="B57" s="29" t="n"/>
      <c r="C57" s="29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29" t="n"/>
      <c r="R57" s="29" t="n"/>
      <c r="S57" s="29" t="n"/>
    </row>
    <row r="58">
      <c r="A58" s="29" t="n"/>
      <c r="B58" s="29" t="n"/>
      <c r="C58" s="29" t="n"/>
      <c r="D58" s="29" t="n"/>
      <c r="E58" s="29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29" t="n"/>
      <c r="S58" s="29" t="n"/>
    </row>
    <row r="59">
      <c r="A59" s="29" t="n"/>
      <c r="B59" s="29" t="n"/>
      <c r="C59" s="29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29" t="n"/>
      <c r="R59" s="29" t="n"/>
      <c r="S59" s="29" t="n"/>
    </row>
    <row r="60">
      <c r="A60" s="29" t="n"/>
      <c r="B60" s="29" t="n"/>
      <c r="C60" s="29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29" t="n"/>
      <c r="R60" s="29" t="n"/>
      <c r="S60" s="29" t="n"/>
    </row>
    <row r="61">
      <c r="A61" s="29" t="n"/>
      <c r="B61" s="29" t="n"/>
      <c r="C61" s="29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29" t="n"/>
      <c r="R61" s="29" t="n"/>
      <c r="S61" s="29" t="n"/>
    </row>
    <row r="62"/>
    <row r="63">
      <c r="A63" s="36" t="inlineStr">
        <is>
          <t>Les recettes fiscales annuelles (valeur courante)</t>
        </is>
      </c>
      <c r="B63" s="29" t="n"/>
      <c r="C63" s="29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29" t="n"/>
      <c r="R63" s="29" t="n"/>
      <c r="S63" s="29" t="n"/>
    </row>
    <row r="64">
      <c r="A64" s="37" t="inlineStr">
        <is>
          <t>Année</t>
        </is>
      </c>
      <c r="B64" s="37" t="inlineStr">
        <is>
          <t>Droits fixes</t>
        </is>
      </c>
      <c r="C64" s="37" t="inlineStr">
        <is>
          <t>Redevance superficiaire</t>
        </is>
      </c>
      <c r="D64" s="37" t="inlineStr">
        <is>
          <t>Redevance minière</t>
        </is>
      </c>
      <c r="E64" s="37" t="inlineStr">
        <is>
          <t>Taxe sur la rente</t>
        </is>
      </c>
      <c r="F64" s="37" t="inlineStr">
        <is>
          <t>IS et IMF</t>
        </is>
      </c>
      <c r="G64" s="37" t="inlineStr">
        <is>
          <t>Participation de l'Etat</t>
        </is>
      </c>
      <c r="H64" s="37" t="inlineStr">
        <is>
          <t>IRVM</t>
        </is>
      </c>
      <c r="I64" s="29" t="n"/>
      <c r="J64" s="29" t="n"/>
      <c r="K64" s="29" t="n"/>
      <c r="L64" s="29" t="n"/>
      <c r="M64" s="29" t="n"/>
      <c r="N64" s="29" t="n"/>
      <c r="O64" s="29" t="n"/>
      <c r="P64" s="29" t="n"/>
      <c r="Q64" s="29" t="n"/>
      <c r="R64" s="29" t="n"/>
      <c r="S64" s="29" t="n"/>
    </row>
    <row r="65">
      <c r="A65" s="38" t="n">
        <v>1</v>
      </c>
      <c r="B65" s="40">
        <f>Modèle!$C$23</f>
        <v/>
      </c>
      <c r="C65" s="40">
        <f>Modèle!$C$28</f>
        <v/>
      </c>
      <c r="D65" s="40">
        <f>Modèle!$C$32</f>
        <v/>
      </c>
      <c r="E65" s="40">
        <f>Modèle!$C$42</f>
        <v/>
      </c>
      <c r="F65" s="40">
        <f>Modèle!$C$57</f>
        <v/>
      </c>
      <c r="G65" s="40">
        <f>Modèle!$C$62</f>
        <v/>
      </c>
      <c r="H65" s="40">
        <f>Modèle!$C$68</f>
        <v/>
      </c>
      <c r="I65" s="29" t="n"/>
      <c r="J65" s="29" t="n"/>
      <c r="K65" s="29" t="n"/>
      <c r="L65" s="29" t="n"/>
      <c r="M65" s="29" t="n"/>
      <c r="N65" s="29" t="n"/>
      <c r="O65" s="29" t="n"/>
      <c r="P65" s="29" t="n"/>
      <c r="Q65" s="29" t="n"/>
      <c r="R65" s="29" t="n"/>
      <c r="S65" s="29" t="n"/>
    </row>
    <row r="66">
      <c r="A66" s="38" t="n">
        <v>2</v>
      </c>
      <c r="B66" s="40">
        <f>Modèle!$D$23</f>
        <v/>
      </c>
      <c r="C66" s="40">
        <f>Modèle!$D$28</f>
        <v/>
      </c>
      <c r="D66" s="40">
        <f>Modèle!$D$32</f>
        <v/>
      </c>
      <c r="E66" s="40">
        <f>Modèle!$D$42</f>
        <v/>
      </c>
      <c r="F66" s="40">
        <f>Modèle!$D$57</f>
        <v/>
      </c>
      <c r="G66" s="40">
        <f>Modèle!$D$62</f>
        <v/>
      </c>
      <c r="H66" s="40">
        <f>Modèle!$D$68</f>
        <v/>
      </c>
      <c r="I66" s="29" t="n"/>
      <c r="J66" s="29" t="n"/>
      <c r="K66" s="29" t="n"/>
      <c r="L66" s="29" t="n"/>
      <c r="M66" s="29" t="n"/>
      <c r="N66" s="29" t="n"/>
      <c r="O66" s="29" t="n"/>
      <c r="P66" s="29" t="n"/>
      <c r="Q66" s="29" t="n"/>
      <c r="R66" s="29" t="n"/>
      <c r="S66" s="29" t="n"/>
    </row>
    <row r="67">
      <c r="A67" s="38" t="n">
        <v>3</v>
      </c>
      <c r="B67" s="40">
        <f>Modèle!$E$23</f>
        <v/>
      </c>
      <c r="C67" s="40">
        <f>Modèle!$E$28</f>
        <v/>
      </c>
      <c r="D67" s="40">
        <f>Modèle!$E$32</f>
        <v/>
      </c>
      <c r="E67" s="40">
        <f>Modèle!$E$42</f>
        <v/>
      </c>
      <c r="F67" s="40">
        <f>Modèle!$E$57</f>
        <v/>
      </c>
      <c r="G67" s="40">
        <f>Modèle!$E$62</f>
        <v/>
      </c>
      <c r="H67" s="40">
        <f>Modèle!$E$68</f>
        <v/>
      </c>
      <c r="I67" s="29" t="n"/>
      <c r="J67" s="29" t="n"/>
      <c r="K67" s="29" t="n"/>
      <c r="L67" s="29" t="n"/>
      <c r="M67" s="29" t="n"/>
      <c r="N67" s="29" t="n"/>
      <c r="O67" s="29" t="n"/>
      <c r="P67" s="29" t="n"/>
      <c r="Q67" s="29" t="n"/>
      <c r="R67" s="29" t="n"/>
      <c r="S67" s="29" t="n"/>
    </row>
    <row r="68">
      <c r="A68" s="38" t="n">
        <v>4</v>
      </c>
      <c r="B68" s="40">
        <f>Modèle!$F$23</f>
        <v/>
      </c>
      <c r="C68" s="40">
        <f>Modèle!$F$28</f>
        <v/>
      </c>
      <c r="D68" s="40">
        <f>Modèle!$F$32</f>
        <v/>
      </c>
      <c r="E68" s="40">
        <f>Modèle!$F$42</f>
        <v/>
      </c>
      <c r="F68" s="40">
        <f>Modèle!$F$57</f>
        <v/>
      </c>
      <c r="G68" s="40">
        <f>Modèle!$F$62</f>
        <v/>
      </c>
      <c r="H68" s="40">
        <f>Modèle!$F$68</f>
        <v/>
      </c>
      <c r="I68" s="29" t="n"/>
      <c r="J68" s="29" t="n"/>
      <c r="K68" s="29" t="n"/>
      <c r="L68" s="29" t="n"/>
      <c r="M68" s="29" t="n"/>
      <c r="N68" s="29" t="n"/>
      <c r="O68" s="29" t="n"/>
      <c r="P68" s="29" t="n"/>
      <c r="Q68" s="29" t="n"/>
      <c r="R68" s="29" t="n"/>
      <c r="S68" s="29" t="n"/>
    </row>
    <row r="69">
      <c r="A69" s="38" t="n">
        <v>5</v>
      </c>
      <c r="B69" s="40">
        <f>Modèle!$G$23</f>
        <v/>
      </c>
      <c r="C69" s="40">
        <f>Modèle!$G$28</f>
        <v/>
      </c>
      <c r="D69" s="40">
        <f>Modèle!$G$32</f>
        <v/>
      </c>
      <c r="E69" s="40">
        <f>Modèle!$G$42</f>
        <v/>
      </c>
      <c r="F69" s="40">
        <f>Modèle!$G$57</f>
        <v/>
      </c>
      <c r="G69" s="40">
        <f>Modèle!$G$62</f>
        <v/>
      </c>
      <c r="H69" s="40">
        <f>Modèle!$G$68</f>
        <v/>
      </c>
      <c r="I69" s="29" t="n"/>
      <c r="J69" s="29" t="n"/>
      <c r="K69" s="29" t="n"/>
      <c r="L69" s="29" t="n"/>
      <c r="M69" s="29" t="n"/>
      <c r="N69" s="29" t="n"/>
      <c r="O69" s="29" t="n"/>
      <c r="P69" s="29" t="n"/>
      <c r="Q69" s="29" t="n"/>
      <c r="R69" s="29" t="n"/>
      <c r="S69" s="29" t="n"/>
    </row>
    <row r="70">
      <c r="A70" s="38" t="n">
        <v>6</v>
      </c>
      <c r="B70" s="40">
        <f>Modèle!$L$23</f>
        <v/>
      </c>
      <c r="C70" s="40">
        <f>Modèle!$L$28</f>
        <v/>
      </c>
      <c r="D70" s="40">
        <f>Modèle!$L$32</f>
        <v/>
      </c>
      <c r="E70" s="40">
        <f>Modèle!$L$42</f>
        <v/>
      </c>
      <c r="F70" s="40">
        <f>Modèle!$L$57</f>
        <v/>
      </c>
      <c r="G70" s="40">
        <f>Modèle!$L$62</f>
        <v/>
      </c>
      <c r="H70" s="40">
        <f>Modèle!$L$68</f>
        <v/>
      </c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  <c r="R70" s="29" t="n"/>
      <c r="S70" s="29" t="n"/>
    </row>
    <row r="71">
      <c r="A71" s="38" t="n">
        <v>7</v>
      </c>
      <c r="B71" s="40">
        <f>Modèle!$M$23</f>
        <v/>
      </c>
      <c r="C71" s="40">
        <f>Modèle!$M$28</f>
        <v/>
      </c>
      <c r="D71" s="40">
        <f>Modèle!$M$32</f>
        <v/>
      </c>
      <c r="E71" s="40">
        <f>Modèle!$M$42</f>
        <v/>
      </c>
      <c r="F71" s="40">
        <f>Modèle!$M$57</f>
        <v/>
      </c>
      <c r="G71" s="40">
        <f>Modèle!$M$62</f>
        <v/>
      </c>
      <c r="H71" s="40">
        <f>Modèle!$M$68</f>
        <v/>
      </c>
      <c r="I71" s="29" t="n"/>
      <c r="J71" s="29" t="n"/>
      <c r="K71" s="29" t="n"/>
      <c r="L71" s="29" t="n"/>
      <c r="M71" s="29" t="n"/>
      <c r="N71" s="29" t="n"/>
      <c r="O71" s="29" t="n"/>
      <c r="P71" s="29" t="n"/>
      <c r="Q71" s="29" t="n"/>
      <c r="R71" s="29" t="n"/>
      <c r="S71" s="29" t="n"/>
    </row>
    <row r="72">
      <c r="A72" s="38" t="n">
        <v>8</v>
      </c>
      <c r="B72" s="40">
        <f>Modèle!$N$23</f>
        <v/>
      </c>
      <c r="C72" s="40">
        <f>Modèle!$N$28</f>
        <v/>
      </c>
      <c r="D72" s="40">
        <f>Modèle!$N$32</f>
        <v/>
      </c>
      <c r="E72" s="40">
        <f>Modèle!$N$42</f>
        <v/>
      </c>
      <c r="F72" s="40">
        <f>Modèle!$N$57</f>
        <v/>
      </c>
      <c r="G72" s="40">
        <f>Modèle!$N$62</f>
        <v/>
      </c>
      <c r="H72" s="40">
        <f>Modèle!$N$68</f>
        <v/>
      </c>
      <c r="I72" s="29" t="n"/>
      <c r="J72" s="29" t="n"/>
      <c r="K72" s="29" t="n"/>
      <c r="L72" s="29" t="n"/>
      <c r="M72" s="29" t="n"/>
      <c r="N72" s="29" t="n"/>
      <c r="O72" s="29" t="n"/>
      <c r="P72" s="29" t="n"/>
      <c r="Q72" s="29" t="n"/>
      <c r="R72" s="29" t="n"/>
      <c r="S72" s="29" t="n"/>
    </row>
    <row r="73">
      <c r="A73" s="38" t="n">
        <v>9</v>
      </c>
      <c r="B73" s="40">
        <f>Modèle!$O$23</f>
        <v/>
      </c>
      <c r="C73" s="40">
        <f>Modèle!$O$28</f>
        <v/>
      </c>
      <c r="D73" s="40">
        <f>Modèle!$O$32</f>
        <v/>
      </c>
      <c r="E73" s="40">
        <f>Modèle!$O$42</f>
        <v/>
      </c>
      <c r="F73" s="40">
        <f>Modèle!$O$57</f>
        <v/>
      </c>
      <c r="G73" s="40">
        <f>Modèle!$O$62</f>
        <v/>
      </c>
      <c r="H73" s="40">
        <f>Modèle!$O$68</f>
        <v/>
      </c>
      <c r="I73" s="29" t="n"/>
      <c r="J73" s="29" t="n"/>
      <c r="K73" s="29" t="n"/>
      <c r="L73" s="29" t="n"/>
      <c r="M73" s="29" t="n"/>
      <c r="N73" s="29" t="n"/>
      <c r="O73" s="29" t="n"/>
      <c r="P73" s="29" t="n"/>
      <c r="Q73" s="29" t="n"/>
      <c r="R73" s="29" t="n"/>
      <c r="S73" s="29" t="n"/>
    </row>
    <row r="74">
      <c r="A74" s="38" t="n">
        <v>10</v>
      </c>
      <c r="B74" s="40">
        <f>Modèle!$P$23</f>
        <v/>
      </c>
      <c r="C74" s="40">
        <f>Modèle!$P$28</f>
        <v/>
      </c>
      <c r="D74" s="40">
        <f>Modèle!$P$32</f>
        <v/>
      </c>
      <c r="E74" s="40">
        <f>Modèle!$P$42</f>
        <v/>
      </c>
      <c r="F74" s="40">
        <f>Modèle!$P$57</f>
        <v/>
      </c>
      <c r="G74" s="40">
        <f>Modèle!$P$62</f>
        <v/>
      </c>
      <c r="H74" s="40">
        <f>Modèle!$P$68</f>
        <v/>
      </c>
      <c r="I74" s="29" t="n"/>
      <c r="J74" s="29" t="n"/>
      <c r="K74" s="29" t="n"/>
      <c r="L74" s="29" t="n"/>
      <c r="M74" s="29" t="n"/>
      <c r="N74" s="29" t="n"/>
      <c r="O74" s="29" t="n"/>
      <c r="P74" s="29" t="n"/>
      <c r="Q74" s="29" t="n"/>
      <c r="R74" s="29" t="n"/>
      <c r="S74" s="29" t="n"/>
    </row>
    <row r="75">
      <c r="A75" s="38" t="n">
        <v>11</v>
      </c>
      <c r="B75" s="40">
        <f>Modèle!$Q$23</f>
        <v/>
      </c>
      <c r="C75" s="40">
        <f>Modèle!$Q$28</f>
        <v/>
      </c>
      <c r="D75" s="40">
        <f>Modèle!$Q$32</f>
        <v/>
      </c>
      <c r="E75" s="40">
        <f>Modèle!$Q$42</f>
        <v/>
      </c>
      <c r="F75" s="40">
        <f>Modèle!$Q$57</f>
        <v/>
      </c>
      <c r="G75" s="40">
        <f>Modèle!$Q$62</f>
        <v/>
      </c>
      <c r="H75" s="40">
        <f>Modèle!$Q$68</f>
        <v/>
      </c>
      <c r="I75" s="29" t="n"/>
      <c r="J75" s="29" t="n"/>
      <c r="K75" s="29" t="n"/>
      <c r="L75" s="29" t="n"/>
      <c r="M75" s="29" t="n"/>
      <c r="N75" s="29" t="n"/>
      <c r="O75" s="29" t="n"/>
      <c r="P75" s="29" t="n"/>
      <c r="Q75" s="29" t="n"/>
      <c r="R75" s="29" t="n"/>
      <c r="S75" s="29" t="n"/>
    </row>
    <row r="76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29" t="n"/>
      <c r="R76" s="29" t="n"/>
      <c r="S76" s="29" t="n"/>
    </row>
    <row r="77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29" t="n"/>
      <c r="R77" s="29" t="n"/>
      <c r="S77" s="29" t="n"/>
    </row>
    <row r="78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29" t="n"/>
      <c r="R78" s="29" t="n"/>
      <c r="S78" s="29" t="n"/>
    </row>
    <row r="79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29" t="n"/>
      <c r="R79" s="29" t="n"/>
      <c r="S79" s="29" t="n"/>
    </row>
    <row r="80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  <c r="R80" s="29" t="n"/>
      <c r="S80" s="29" t="n"/>
    </row>
    <row r="81">
      <c r="A81" s="29" t="n"/>
      <c r="B81" s="29" t="n"/>
      <c r="C81" s="29" t="n"/>
      <c r="D81" s="29" t="n"/>
      <c r="E81" s="29" t="n"/>
      <c r="F81" s="29" t="n"/>
      <c r="G81" s="29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29" t="n"/>
      <c r="R81" s="29" t="n"/>
      <c r="S81" s="29" t="n"/>
    </row>
    <row r="82">
      <c r="A82" s="29" t="n"/>
      <c r="B82" s="29" t="n"/>
      <c r="C82" s="29" t="n"/>
      <c r="D82" s="29" t="n"/>
      <c r="E82" s="29" t="n"/>
      <c r="F82" s="29" t="n"/>
      <c r="G82" s="29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29" t="n"/>
      <c r="R82" s="29" t="n"/>
      <c r="S82" s="29" t="n"/>
    </row>
    <row r="83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29" t="n"/>
      <c r="R83" s="29" t="n"/>
      <c r="S83" s="29" t="n"/>
    </row>
    <row r="84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29" t="n"/>
      <c r="R84" s="29" t="n"/>
      <c r="S84" s="29" t="n"/>
    </row>
    <row r="85"/>
    <row r="86">
      <c r="A86" s="36" t="inlineStr">
        <is>
          <t>Les recettes fiscales totales (valeur actuelle)</t>
        </is>
      </c>
      <c r="B86" s="29" t="n"/>
      <c r="C86" s="29" t="n"/>
      <c r="D86" s="29" t="n"/>
      <c r="E86" s="29" t="n"/>
      <c r="F86" s="29" t="n"/>
      <c r="G86" s="29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29" t="n"/>
      <c r="R86" s="29" t="n"/>
      <c r="S86" s="29" t="n"/>
    </row>
    <row r="87">
      <c r="A87" s="37" t="inlineStr">
        <is>
          <t>Année</t>
        </is>
      </c>
      <c r="B87" s="37" t="inlineStr">
        <is>
          <t>Droits fixes</t>
        </is>
      </c>
      <c r="C87" s="37" t="inlineStr">
        <is>
          <t>Redevance superficiaire</t>
        </is>
      </c>
      <c r="D87" s="37" t="inlineStr">
        <is>
          <t>Redevance minière</t>
        </is>
      </c>
      <c r="E87" s="37" t="inlineStr">
        <is>
          <t>Taxe sur la rente</t>
        </is>
      </c>
      <c r="F87" s="37" t="inlineStr">
        <is>
          <t>IS et IMF</t>
        </is>
      </c>
      <c r="G87" s="37" t="inlineStr">
        <is>
          <t>Participation de l'Etat</t>
        </is>
      </c>
      <c r="H87" s="37" t="inlineStr">
        <is>
          <t>IRVM</t>
        </is>
      </c>
      <c r="I87" s="29" t="n"/>
      <c r="J87" s="29" t="n"/>
      <c r="K87" s="29" t="n"/>
      <c r="L87" s="29" t="n"/>
      <c r="M87" s="29" t="n"/>
      <c r="N87" s="29" t="n"/>
      <c r="O87" s="29" t="n"/>
      <c r="P87" s="29" t="n"/>
      <c r="Q87" s="29" t="n"/>
      <c r="R87" s="29" t="n"/>
      <c r="S87" s="29" t="n"/>
    </row>
    <row r="88">
      <c r="A88" s="38" t="inlineStr">
        <is>
          <t>Toutes</t>
        </is>
      </c>
      <c r="B88" s="40">
        <f>Modèle!$S$23</f>
        <v/>
      </c>
      <c r="C88" s="40">
        <f>Modèle!$S$28</f>
        <v/>
      </c>
      <c r="D88" s="40">
        <f>Modèle!$S$32</f>
        <v/>
      </c>
      <c r="E88" s="40">
        <f>Modèle!$S$42</f>
        <v/>
      </c>
      <c r="F88" s="40">
        <f>Modèle!$S$57</f>
        <v/>
      </c>
      <c r="G88" s="40">
        <f>Modèle!$S$62</f>
        <v/>
      </c>
      <c r="H88" s="40">
        <f>Modèle!$S$68</f>
        <v/>
      </c>
      <c r="I88" s="29" t="n"/>
      <c r="J88" s="29" t="n"/>
      <c r="K88" s="29" t="n"/>
      <c r="L88" s="29" t="n"/>
      <c r="M88" s="29" t="n"/>
      <c r="N88" s="29" t="n"/>
      <c r="O88" s="29" t="n"/>
      <c r="P88" s="29" t="n"/>
      <c r="Q88" s="29" t="n"/>
      <c r="R88" s="29" t="n"/>
      <c r="S88" s="29" t="n"/>
    </row>
    <row r="89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29" t="n"/>
      <c r="R89" s="29" t="n"/>
      <c r="S89" s="29" t="n"/>
    </row>
    <row r="90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29" t="n"/>
      <c r="R90" s="29" t="n"/>
      <c r="S90" s="29" t="n"/>
    </row>
    <row r="9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29" t="n"/>
      <c r="R91" s="29" t="n"/>
      <c r="S91" s="29" t="n"/>
    </row>
    <row r="92">
      <c r="A92" s="29" t="n"/>
      <c r="B92" s="29" t="n"/>
      <c r="C92" s="29" t="n"/>
      <c r="D92" s="29" t="n"/>
      <c r="E92" s="29" t="n"/>
      <c r="F92" s="29" t="n"/>
      <c r="G92" s="29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29" t="n"/>
      <c r="R92" s="29" t="n"/>
      <c r="S92" s="29" t="n"/>
    </row>
    <row r="93">
      <c r="A93" s="29" t="n"/>
      <c r="B93" s="29" t="n"/>
      <c r="C93" s="29" t="n"/>
      <c r="D93" s="29" t="n"/>
      <c r="E93" s="29" t="n"/>
      <c r="F93" s="29" t="n"/>
      <c r="G93" s="29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29" t="n"/>
      <c r="R93" s="29" t="n"/>
      <c r="S93" s="29" t="n"/>
    </row>
    <row r="94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29" t="n"/>
      <c r="R94" s="29" t="n"/>
      <c r="S94" s="29" t="n"/>
    </row>
    <row r="95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29" t="n"/>
      <c r="R95" s="29" t="n"/>
      <c r="S95" s="29" t="n"/>
    </row>
    <row r="96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29" t="n"/>
      <c r="R96" s="29" t="n"/>
      <c r="S96" s="29" t="n"/>
    </row>
    <row r="97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29" t="n"/>
      <c r="R97" s="29" t="n"/>
      <c r="S97" s="29" t="n"/>
    </row>
    <row r="98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29" t="n"/>
      <c r="R98" s="29" t="n"/>
      <c r="S98" s="29" t="n"/>
    </row>
    <row r="99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29" t="n"/>
      <c r="R99" s="29" t="n"/>
      <c r="S99" s="29" t="n"/>
    </row>
    <row r="100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29" t="n"/>
      <c r="R100" s="29" t="n"/>
      <c r="S100" s="29" t="n"/>
    </row>
    <row r="10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29" t="n"/>
      <c r="R101" s="29" t="n"/>
      <c r="S101" s="29" t="n"/>
    </row>
    <row r="102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29" t="n"/>
      <c r="R102" s="29" t="n"/>
      <c r="S102" s="29" t="n"/>
    </row>
    <row r="103">
      <c r="A103" s="29" t="n"/>
      <c r="B103" s="29" t="n"/>
      <c r="C103" s="29" t="n"/>
      <c r="D103" s="29" t="n"/>
      <c r="E103" s="29" t="n"/>
      <c r="F103" s="29" t="n"/>
      <c r="G103" s="29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29" t="n"/>
      <c r="R103" s="29" t="n"/>
      <c r="S103" s="29" t="n"/>
    </row>
    <row r="104">
      <c r="A104" s="29" t="n"/>
      <c r="B104" s="29" t="n"/>
      <c r="C104" s="29" t="n"/>
      <c r="D104" s="29" t="n"/>
      <c r="E104" s="29" t="n"/>
      <c r="F104" s="29" t="n"/>
      <c r="G104" s="29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29" t="n"/>
      <c r="R104" s="29" t="n"/>
      <c r="S104" s="29" t="n"/>
    </row>
    <row r="105">
      <c r="A105" s="29" t="n"/>
      <c r="B105" s="29" t="n"/>
      <c r="C105" s="29" t="n"/>
      <c r="D105" s="29" t="n"/>
      <c r="E105" s="29" t="n"/>
      <c r="F105" s="29" t="n"/>
      <c r="G105" s="29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29" t="n"/>
      <c r="R105" s="29" t="n"/>
      <c r="S105" s="29" t="n"/>
    </row>
    <row r="106">
      <c r="A106" s="36" t="inlineStr">
        <is>
          <t>La structure des coûts (valeur courante)</t>
        </is>
      </c>
      <c r="B106" s="29" t="n"/>
      <c r="C106" s="29" t="n"/>
      <c r="D106" s="29" t="n"/>
      <c r="E106" s="29" t="n"/>
      <c r="F106" s="29" t="n"/>
      <c r="G106" s="29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29" t="n"/>
      <c r="R106" s="29" t="n"/>
      <c r="S106" s="29" t="n"/>
    </row>
    <row r="107">
      <c r="A107" s="37" t="inlineStr">
        <is>
          <t>Année</t>
        </is>
      </c>
      <c r="B107" s="37" t="inlineStr">
        <is>
          <t>Constructions</t>
        </is>
      </c>
      <c r="C107" s="37" t="inlineStr">
        <is>
          <t>Biens d'équipement</t>
        </is>
      </c>
      <c r="D107" s="37" t="inlineStr">
        <is>
          <t>Réhabilitation</t>
        </is>
      </c>
      <c r="E107" s="37" t="inlineStr">
        <is>
          <t>Exploitation</t>
        </is>
      </c>
      <c r="F107" s="29" t="n"/>
      <c r="G107" s="29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29" t="n"/>
      <c r="R107" s="29" t="n"/>
      <c r="S107" s="29" t="n"/>
    </row>
    <row r="108">
      <c r="A108" s="38" t="n">
        <v>1</v>
      </c>
      <c r="B108" s="40">
        <f>Modèle!$C$9</f>
        <v/>
      </c>
      <c r="C108" s="40">
        <f>Modèle!$C$10</f>
        <v/>
      </c>
      <c r="D108" s="40">
        <f>Modèle!$C$11</f>
        <v/>
      </c>
      <c r="E108" s="40">
        <f>Modèle!$C$16</f>
        <v/>
      </c>
      <c r="F108" s="29" t="n"/>
      <c r="G108" s="29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29" t="n"/>
      <c r="R108" s="29" t="n"/>
      <c r="S108" s="29" t="n"/>
    </row>
    <row r="109">
      <c r="A109" s="38" t="n">
        <v>2</v>
      </c>
      <c r="B109" s="40">
        <f>Modèle!$D$9</f>
        <v/>
      </c>
      <c r="C109" s="40">
        <f>Modèle!$D$10</f>
        <v/>
      </c>
      <c r="D109" s="40">
        <f>Modèle!$D$11</f>
        <v/>
      </c>
      <c r="E109" s="40">
        <f>Modèle!$D$16</f>
        <v/>
      </c>
      <c r="F109" s="29" t="n"/>
      <c r="G109" s="29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29" t="n"/>
      <c r="R109" s="29" t="n"/>
      <c r="S109" s="29" t="n"/>
    </row>
    <row r="110">
      <c r="A110" s="38" t="n">
        <v>3</v>
      </c>
      <c r="B110" s="40">
        <f>Modèle!$E$9</f>
        <v/>
      </c>
      <c r="C110" s="40">
        <f>Modèle!$E$10</f>
        <v/>
      </c>
      <c r="D110" s="40">
        <f>Modèle!$E$11</f>
        <v/>
      </c>
      <c r="E110" s="40">
        <f>Modèle!$E$16</f>
        <v/>
      </c>
      <c r="F110" s="29" t="n"/>
      <c r="G110" s="29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29" t="n"/>
      <c r="R110" s="29" t="n"/>
      <c r="S110" s="29" t="n"/>
    </row>
    <row r="111">
      <c r="A111" s="38" t="n">
        <v>4</v>
      </c>
      <c r="B111" s="40">
        <f>Modèle!$F$9</f>
        <v/>
      </c>
      <c r="C111" s="40">
        <f>Modèle!$F$10</f>
        <v/>
      </c>
      <c r="D111" s="40">
        <f>Modèle!$F$11</f>
        <v/>
      </c>
      <c r="E111" s="40">
        <f>Modèle!$F$16</f>
        <v/>
      </c>
      <c r="F111" s="29" t="n"/>
      <c r="G111" s="29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29" t="n"/>
      <c r="R111" s="29" t="n"/>
      <c r="S111" s="29" t="n"/>
    </row>
    <row r="112">
      <c r="A112" s="38" t="n">
        <v>5</v>
      </c>
      <c r="B112" s="40">
        <f>Modèle!$G$9</f>
        <v/>
      </c>
      <c r="C112" s="40">
        <f>Modèle!$G$10</f>
        <v/>
      </c>
      <c r="D112" s="40">
        <f>Modèle!$G$11</f>
        <v/>
      </c>
      <c r="E112" s="40">
        <f>Modèle!$G$16</f>
        <v/>
      </c>
      <c r="F112" s="29" t="n"/>
      <c r="G112" s="29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29" t="n"/>
      <c r="R112" s="29" t="n"/>
      <c r="S112" s="29" t="n"/>
    </row>
    <row r="113">
      <c r="A113" s="38" t="n">
        <v>6</v>
      </c>
      <c r="B113" s="40">
        <f>Modèle!$L$9</f>
        <v/>
      </c>
      <c r="C113" s="40">
        <f>Modèle!$L$10</f>
        <v/>
      </c>
      <c r="D113" s="40">
        <f>Modèle!$L$11</f>
        <v/>
      </c>
      <c r="E113" s="40">
        <f>Modèle!$L$16</f>
        <v/>
      </c>
      <c r="F113" s="29" t="n"/>
      <c r="G113" s="29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29" t="n"/>
      <c r="R113" s="29" t="n"/>
      <c r="S113" s="29" t="n"/>
    </row>
    <row r="114">
      <c r="A114" s="38" t="n">
        <v>7</v>
      </c>
      <c r="B114" s="40">
        <f>Modèle!$M$9</f>
        <v/>
      </c>
      <c r="C114" s="40">
        <f>Modèle!$M$10</f>
        <v/>
      </c>
      <c r="D114" s="40">
        <f>Modèle!$M$11</f>
        <v/>
      </c>
      <c r="E114" s="40">
        <f>Modèle!$M$16</f>
        <v/>
      </c>
      <c r="F114" s="29" t="n"/>
      <c r="G114" s="29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29" t="n"/>
      <c r="R114" s="29" t="n"/>
      <c r="S114" s="29" t="n"/>
    </row>
    <row r="115">
      <c r="A115" s="38" t="n">
        <v>8</v>
      </c>
      <c r="B115" s="40">
        <f>Modèle!$N$9</f>
        <v/>
      </c>
      <c r="C115" s="40">
        <f>Modèle!$N$10</f>
        <v/>
      </c>
      <c r="D115" s="40">
        <f>Modèle!$N$11</f>
        <v/>
      </c>
      <c r="E115" s="40">
        <f>Modèle!$N$16</f>
        <v/>
      </c>
      <c r="F115" s="29" t="n"/>
      <c r="G115" s="29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29" t="n"/>
      <c r="R115" s="29" t="n"/>
      <c r="S115" s="29" t="n"/>
    </row>
    <row r="116">
      <c r="A116" s="38" t="n">
        <v>9</v>
      </c>
      <c r="B116" s="40">
        <f>Modèle!$O$9</f>
        <v/>
      </c>
      <c r="C116" s="40">
        <f>Modèle!$O$10</f>
        <v/>
      </c>
      <c r="D116" s="40">
        <f>Modèle!$O$11</f>
        <v/>
      </c>
      <c r="E116" s="40">
        <f>Modèle!$O$16</f>
        <v/>
      </c>
      <c r="F116" s="29" t="n"/>
      <c r="G116" s="29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29" t="n"/>
      <c r="R116" s="29" t="n"/>
      <c r="S116" s="29" t="n"/>
    </row>
    <row r="117">
      <c r="A117" s="38" t="n">
        <v>10</v>
      </c>
      <c r="B117" s="40">
        <f>Modèle!$P$9</f>
        <v/>
      </c>
      <c r="C117" s="40">
        <f>Modèle!$P$10</f>
        <v/>
      </c>
      <c r="D117" s="40">
        <f>Modèle!$P$11</f>
        <v/>
      </c>
      <c r="E117" s="40">
        <f>Modèle!$P$16</f>
        <v/>
      </c>
      <c r="F117" s="29" t="n"/>
      <c r="G117" s="29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29" t="n"/>
      <c r="R117" s="29" t="n"/>
      <c r="S117" s="29" t="n"/>
    </row>
    <row r="118">
      <c r="A118" s="38" t="n">
        <v>11</v>
      </c>
      <c r="B118" s="40">
        <f>Modèle!$Q$9</f>
        <v/>
      </c>
      <c r="C118" s="40">
        <f>Modèle!$Q$10</f>
        <v/>
      </c>
      <c r="D118" s="40">
        <f>Modèle!$Q$11</f>
        <v/>
      </c>
      <c r="E118" s="40">
        <f>Modèle!$Q$16</f>
        <v/>
      </c>
      <c r="F118" s="29" t="n"/>
      <c r="G118" s="29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29" t="n"/>
      <c r="R118" s="29" t="n"/>
      <c r="S118" s="29" t="n"/>
    </row>
    <row r="119">
      <c r="A119" s="29" t="n"/>
      <c r="B119" s="29" t="n"/>
      <c r="C119" s="29" t="n"/>
      <c r="D119" s="29" t="n"/>
      <c r="E119" s="29" t="n"/>
      <c r="F119" s="29" t="n"/>
      <c r="G119" s="29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29" t="n"/>
      <c r="R119" s="29" t="n"/>
      <c r="S119" s="29" t="n"/>
    </row>
    <row r="120">
      <c r="A120" s="29" t="n"/>
      <c r="B120" s="29" t="n"/>
      <c r="C120" s="29" t="n"/>
      <c r="D120" s="29" t="n"/>
      <c r="E120" s="29" t="n"/>
      <c r="F120" s="29" t="n"/>
      <c r="G120" s="29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29" t="n"/>
      <c r="R120" s="29" t="n"/>
      <c r="S120" s="29" t="n"/>
    </row>
    <row r="121">
      <c r="A121" s="29" t="n"/>
      <c r="B121" s="29" t="n"/>
      <c r="C121" s="29" t="n"/>
      <c r="D121" s="29" t="n"/>
      <c r="E121" s="29" t="n"/>
      <c r="F121" s="29" t="n"/>
      <c r="G121" s="29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29" t="n"/>
      <c r="R121" s="29" t="n"/>
      <c r="S121" s="29" t="n"/>
    </row>
    <row r="122">
      <c r="A122" s="29" t="n"/>
      <c r="B122" s="29" t="n"/>
      <c r="C122" s="29" t="n"/>
      <c r="D122" s="29" t="n"/>
      <c r="E122" s="29" t="n"/>
      <c r="F122" s="29" t="n"/>
      <c r="G122" s="29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29" t="n"/>
      <c r="R122" s="29" t="n"/>
      <c r="S122" s="29" t="n"/>
    </row>
    <row r="123">
      <c r="A123" s="29" t="n"/>
      <c r="B123" s="29" t="n"/>
      <c r="C123" s="29" t="n"/>
      <c r="D123" s="29" t="n"/>
      <c r="E123" s="29" t="n"/>
      <c r="F123" s="29" t="n"/>
      <c r="G123" s="29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29" t="n"/>
      <c r="R123" s="29" t="n"/>
      <c r="S123" s="29" t="n"/>
    </row>
    <row r="124">
      <c r="A124" s="29" t="n"/>
      <c r="B124" s="29" t="n"/>
      <c r="C124" s="29" t="n"/>
      <c r="D124" s="29" t="n"/>
      <c r="E124" s="29" t="n"/>
      <c r="F124" s="29" t="n"/>
      <c r="G124" s="29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29" t="n"/>
      <c r="R124" s="29" t="n"/>
      <c r="S124" s="2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2026-07-10T15:00:14Z</dcterms:created>
  <dcterms:modified xsi:type="dcterms:W3CDTF">2026-07-10T15:00:19Z</dcterms:modified>
</cp:coreProperties>
</file>