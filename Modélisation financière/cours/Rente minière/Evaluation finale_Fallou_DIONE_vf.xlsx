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1"/>
  </bookViews>
  <sheets>
    <sheet name="Modèle_législation en vigueur" sheetId="1" r:id="rId1"/>
    <sheet name="Modèle_projet de loi" sheetId="4" r:id="rId2"/>
    <sheet name="Amortissements et Emprunt" sheetId="2" r:id="rId3"/>
    <sheet name="Feuil1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9" i="4" l="1"/>
  <c r="S78" i="4"/>
  <c r="S79" i="1"/>
  <c r="E6" i="3" l="1"/>
  <c r="E5" i="3"/>
  <c r="C54" i="4"/>
  <c r="C47" i="1"/>
  <c r="C49" i="1"/>
  <c r="C179" i="2"/>
  <c r="D186" i="2"/>
  <c r="Q32" i="4"/>
  <c r="S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R28" i="4" s="1"/>
  <c r="S23" i="4"/>
  <c r="R23" i="4"/>
  <c r="Q19" i="4"/>
  <c r="Q36" i="4" s="1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S16" i="4" s="1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R12" i="4" s="1"/>
  <c r="S11" i="4"/>
  <c r="R11" i="4"/>
  <c r="S10" i="4"/>
  <c r="R10" i="4"/>
  <c r="S9" i="4"/>
  <c r="R9" i="4"/>
  <c r="Q6" i="4"/>
  <c r="Q54" i="4" s="1"/>
  <c r="P6" i="4"/>
  <c r="P54" i="4" s="1"/>
  <c r="O6" i="4"/>
  <c r="O19" i="4" s="1"/>
  <c r="N6" i="4"/>
  <c r="N54" i="4" s="1"/>
  <c r="M6" i="4"/>
  <c r="M54" i="4" s="1"/>
  <c r="L6" i="4"/>
  <c r="L32" i="4" s="1"/>
  <c r="K6" i="4"/>
  <c r="K32" i="4" s="1"/>
  <c r="J6" i="4"/>
  <c r="I6" i="4"/>
  <c r="I19" i="4" s="1"/>
  <c r="H6" i="4"/>
  <c r="H32" i="4" s="1"/>
  <c r="G6" i="4"/>
  <c r="G19" i="4" s="1"/>
  <c r="G36" i="4" s="1"/>
  <c r="F6" i="4"/>
  <c r="F54" i="4" s="1"/>
  <c r="E6" i="4"/>
  <c r="E54" i="4" s="1"/>
  <c r="D6" i="4"/>
  <c r="D54" i="4" s="1"/>
  <c r="C6" i="4"/>
  <c r="C19" i="4" s="1"/>
  <c r="R4" i="4"/>
  <c r="M19" i="4" l="1"/>
  <c r="M32" i="4"/>
  <c r="N32" i="4"/>
  <c r="O32" i="4"/>
  <c r="E19" i="4"/>
  <c r="E36" i="4" s="1"/>
  <c r="P32" i="4"/>
  <c r="F19" i="4"/>
  <c r="F36" i="4" s="1"/>
  <c r="H19" i="4"/>
  <c r="H36" i="4" s="1"/>
  <c r="I32" i="4"/>
  <c r="J19" i="4"/>
  <c r="J36" i="4" s="1"/>
  <c r="F32" i="4"/>
  <c r="G32" i="4"/>
  <c r="K19" i="4"/>
  <c r="K36" i="4" s="1"/>
  <c r="L19" i="4"/>
  <c r="L36" i="4" s="1"/>
  <c r="M36" i="4"/>
  <c r="E20" i="4"/>
  <c r="D20" i="4"/>
  <c r="C20" i="4"/>
  <c r="C36" i="4"/>
  <c r="O36" i="4"/>
  <c r="I36" i="4"/>
  <c r="G54" i="4"/>
  <c r="H54" i="4"/>
  <c r="I54" i="4"/>
  <c r="J54" i="4"/>
  <c r="K54" i="4"/>
  <c r="L54" i="4"/>
  <c r="D32" i="4"/>
  <c r="S12" i="4"/>
  <c r="E32" i="4"/>
  <c r="R16" i="4"/>
  <c r="N19" i="4"/>
  <c r="J32" i="4"/>
  <c r="O54" i="4"/>
  <c r="C32" i="4"/>
  <c r="R6" i="4"/>
  <c r="S6" i="4"/>
  <c r="E4" i="3" s="1"/>
  <c r="E7" i="3" s="1"/>
  <c r="D19" i="4"/>
  <c r="P19" i="4"/>
  <c r="D6" i="3"/>
  <c r="D5" i="3"/>
  <c r="S16" i="1"/>
  <c r="J20" i="4" l="1"/>
  <c r="F20" i="4"/>
  <c r="L20" i="4"/>
  <c r="R19" i="4"/>
  <c r="R78" i="4" s="1"/>
  <c r="K20" i="4"/>
  <c r="N20" i="4"/>
  <c r="I20" i="4"/>
  <c r="G20" i="4"/>
  <c r="H20" i="4"/>
  <c r="S19" i="4"/>
  <c r="O20" i="4"/>
  <c r="P20" i="4"/>
  <c r="S32" i="4"/>
  <c r="R32" i="4"/>
  <c r="C37" i="4"/>
  <c r="C42" i="4" s="1"/>
  <c r="M37" i="4"/>
  <c r="C40" i="4"/>
  <c r="G37" i="4"/>
  <c r="F37" i="4"/>
  <c r="E37" i="4"/>
  <c r="R54" i="4"/>
  <c r="S54" i="4"/>
  <c r="N36" i="4"/>
  <c r="N37" i="4" s="1"/>
  <c r="Q20" i="4"/>
  <c r="E8" i="3" s="1"/>
  <c r="P36" i="4"/>
  <c r="D36" i="4"/>
  <c r="M20" i="4"/>
  <c r="C54" i="1"/>
  <c r="C57" i="1" s="1"/>
  <c r="C10" i="2"/>
  <c r="D18" i="2"/>
  <c r="C175" i="2"/>
  <c r="C178" i="2"/>
  <c r="C188" i="2"/>
  <c r="P37" i="4" l="1"/>
  <c r="Q37" i="4"/>
  <c r="S36" i="4"/>
  <c r="O37" i="4"/>
  <c r="D40" i="4"/>
  <c r="E39" i="4" s="1"/>
  <c r="E40" i="4" s="1"/>
  <c r="F39" i="4" s="1"/>
  <c r="F40" i="4" s="1"/>
  <c r="G39" i="4" s="1"/>
  <c r="G40" i="4" s="1"/>
  <c r="H39" i="4" s="1"/>
  <c r="H40" i="4" s="1"/>
  <c r="I39" i="4" s="1"/>
  <c r="I40" i="4" s="1"/>
  <c r="J39" i="4" s="1"/>
  <c r="J40" i="4" s="1"/>
  <c r="K39" i="4" s="1"/>
  <c r="K40" i="4" s="1"/>
  <c r="L39" i="4" s="1"/>
  <c r="L40" i="4" s="1"/>
  <c r="M39" i="4" s="1"/>
  <c r="M40" i="4" s="1"/>
  <c r="N39" i="4" s="1"/>
  <c r="N40" i="4" s="1"/>
  <c r="H37" i="4"/>
  <c r="D39" i="4"/>
  <c r="I37" i="4"/>
  <c r="J37" i="4"/>
  <c r="K37" i="4"/>
  <c r="L37" i="4"/>
  <c r="D37" i="4"/>
  <c r="D42" i="4" s="1"/>
  <c r="R36" i="4"/>
  <c r="O39" i="4" l="1"/>
  <c r="O40" i="4" s="1"/>
  <c r="P39" i="4" s="1"/>
  <c r="P40" i="4" s="1"/>
  <c r="N42" i="4"/>
  <c r="L42" i="4"/>
  <c r="G42" i="4"/>
  <c r="K42" i="4"/>
  <c r="J42" i="4"/>
  <c r="I42" i="4"/>
  <c r="F42" i="4"/>
  <c r="E42" i="4"/>
  <c r="H42" i="4"/>
  <c r="M42" i="4"/>
  <c r="Q54" i="1"/>
  <c r="D54" i="1"/>
  <c r="E39" i="1"/>
  <c r="D39" i="1"/>
  <c r="C189" i="2"/>
  <c r="C40" i="1"/>
  <c r="D40" i="1"/>
  <c r="Q36" i="1"/>
  <c r="D36" i="1"/>
  <c r="C36" i="1"/>
  <c r="Q32" i="1"/>
  <c r="D32" i="1"/>
  <c r="C32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R23" i="1"/>
  <c r="S23" i="1"/>
  <c r="C19" i="1"/>
  <c r="Q19" i="1"/>
  <c r="D19" i="1"/>
  <c r="Q39" i="4" l="1"/>
  <c r="Q40" i="4" s="1"/>
  <c r="Q42" i="4" s="1"/>
  <c r="P42" i="4"/>
  <c r="J45" i="4"/>
  <c r="M45" i="4"/>
  <c r="H45" i="4"/>
  <c r="K45" i="4"/>
  <c r="E45" i="4"/>
  <c r="G45" i="4"/>
  <c r="O42" i="4"/>
  <c r="L45" i="4"/>
  <c r="F45" i="4"/>
  <c r="I45" i="4"/>
  <c r="N45" i="4"/>
  <c r="C37" i="1"/>
  <c r="C42" i="1" s="1"/>
  <c r="D37" i="1"/>
  <c r="D42" i="1" s="1"/>
  <c r="S28" i="1"/>
  <c r="R28" i="1"/>
  <c r="C20" i="1"/>
  <c r="D20" i="1"/>
  <c r="R40" i="4" l="1"/>
  <c r="S40" i="4"/>
  <c r="P45" i="4"/>
  <c r="O45" i="4"/>
  <c r="R42" i="4"/>
  <c r="S42" i="4"/>
  <c r="Q45" i="4"/>
  <c r="D183" i="2" l="1"/>
  <c r="D185" i="2" s="1"/>
  <c r="D182" i="2"/>
  <c r="E182" i="2" s="1"/>
  <c r="C176" i="2"/>
  <c r="D175" i="2"/>
  <c r="D177" i="2" s="1"/>
  <c r="Q158" i="2"/>
  <c r="Q160" i="2" s="1"/>
  <c r="Q159" i="2"/>
  <c r="M165" i="2"/>
  <c r="N165" i="2"/>
  <c r="O165" i="2"/>
  <c r="P165" i="2"/>
  <c r="C165" i="2"/>
  <c r="L165" i="2"/>
  <c r="K165" i="2"/>
  <c r="J165" i="2"/>
  <c r="I165" i="2"/>
  <c r="H165" i="2"/>
  <c r="G165" i="2"/>
  <c r="F165" i="2"/>
  <c r="E165" i="2"/>
  <c r="D165" i="2"/>
  <c r="Q145" i="2"/>
  <c r="P137" i="2"/>
  <c r="O129" i="2"/>
  <c r="N121" i="2"/>
  <c r="M113" i="2"/>
  <c r="M112" i="2"/>
  <c r="L105" i="2"/>
  <c r="K97" i="2"/>
  <c r="J89" i="2"/>
  <c r="I81" i="2"/>
  <c r="H73" i="2"/>
  <c r="G65" i="2"/>
  <c r="F57" i="2"/>
  <c r="E49" i="2"/>
  <c r="D41" i="2"/>
  <c r="C33" i="2"/>
  <c r="Q144" i="2"/>
  <c r="P136" i="2"/>
  <c r="O128" i="2"/>
  <c r="N120" i="2"/>
  <c r="L104" i="2"/>
  <c r="K96" i="2"/>
  <c r="J88" i="2"/>
  <c r="I80" i="2"/>
  <c r="H72" i="2"/>
  <c r="G64" i="2"/>
  <c r="F56" i="2"/>
  <c r="E48" i="2"/>
  <c r="D40" i="2"/>
  <c r="C32" i="2"/>
  <c r="D32" i="2"/>
  <c r="D19" i="2"/>
  <c r="C11" i="2"/>
  <c r="E18" i="2"/>
  <c r="D10" i="2"/>
  <c r="D35" i="2" l="1"/>
  <c r="C34" i="2"/>
  <c r="C35" i="2" s="1"/>
  <c r="C36" i="2" s="1"/>
  <c r="E40" i="2"/>
  <c r="D42" i="2"/>
  <c r="D43" i="2" s="1"/>
  <c r="D44" i="2" s="1"/>
  <c r="D45" i="2" s="1"/>
  <c r="E41" i="2" s="1"/>
  <c r="Q161" i="2"/>
  <c r="D34" i="2"/>
  <c r="C12" i="2"/>
  <c r="C13" i="2"/>
  <c r="C14" i="2" s="1"/>
  <c r="C25" i="2" s="1"/>
  <c r="E184" i="2"/>
  <c r="E183" i="2" s="1"/>
  <c r="F182" i="2"/>
  <c r="E175" i="2"/>
  <c r="D176" i="2"/>
  <c r="Q162" i="2"/>
  <c r="Q165" i="2" s="1"/>
  <c r="E32" i="2"/>
  <c r="F40" i="2"/>
  <c r="D12" i="2"/>
  <c r="D13" i="2" s="1"/>
  <c r="E10" i="2"/>
  <c r="E20" i="2"/>
  <c r="E21" i="2"/>
  <c r="F18" i="2"/>
  <c r="D20" i="2"/>
  <c r="F42" i="2" l="1"/>
  <c r="F43" i="2"/>
  <c r="E42" i="2"/>
  <c r="E43" i="2" s="1"/>
  <c r="E44" i="2" s="1"/>
  <c r="E45" i="2" s="1"/>
  <c r="F41" i="2" s="1"/>
  <c r="D178" i="2"/>
  <c r="D188" i="2" s="1"/>
  <c r="E185" i="2"/>
  <c r="E186" i="2"/>
  <c r="C37" i="2"/>
  <c r="D33" i="2" s="1"/>
  <c r="D36" i="2" s="1"/>
  <c r="C151" i="2"/>
  <c r="C191" i="2" s="1"/>
  <c r="F175" i="2"/>
  <c r="E177" i="2"/>
  <c r="E176" i="2" s="1"/>
  <c r="F184" i="2"/>
  <c r="F183" i="2" s="1"/>
  <c r="G182" i="2"/>
  <c r="Q163" i="2"/>
  <c r="H64" i="2"/>
  <c r="G66" i="2"/>
  <c r="G67" i="2" s="1"/>
  <c r="G68" i="2" s="1"/>
  <c r="G69" i="2" s="1"/>
  <c r="E50" i="2"/>
  <c r="F48" i="2"/>
  <c r="G40" i="2"/>
  <c r="F32" i="2"/>
  <c r="E34" i="2"/>
  <c r="E35" i="2" s="1"/>
  <c r="D21" i="2"/>
  <c r="D22" i="2" s="1"/>
  <c r="C15" i="2"/>
  <c r="D11" i="2" s="1"/>
  <c r="F20" i="2"/>
  <c r="F21" i="2" s="1"/>
  <c r="G18" i="2"/>
  <c r="F10" i="2"/>
  <c r="E12" i="2"/>
  <c r="E13" i="2" s="1"/>
  <c r="C45" i="1" l="1"/>
  <c r="C45" i="4"/>
  <c r="C47" i="4" s="1"/>
  <c r="E51" i="2"/>
  <c r="E52" i="2" s="1"/>
  <c r="E53" i="2" s="1"/>
  <c r="F49" i="2" s="1"/>
  <c r="G42" i="2"/>
  <c r="G43" i="2"/>
  <c r="H67" i="2"/>
  <c r="F44" i="2"/>
  <c r="F45" i="2" s="1"/>
  <c r="G41" i="2" s="1"/>
  <c r="F185" i="2"/>
  <c r="F186" i="2"/>
  <c r="D179" i="2"/>
  <c r="D189" i="2" s="1"/>
  <c r="E178" i="2"/>
  <c r="E188" i="2" s="1"/>
  <c r="E179" i="2"/>
  <c r="E189" i="2" s="1"/>
  <c r="D37" i="2"/>
  <c r="E33" i="2" s="1"/>
  <c r="E36" i="2" s="1"/>
  <c r="D151" i="2"/>
  <c r="G184" i="2"/>
  <c r="G183" i="2" s="1"/>
  <c r="H182" i="2"/>
  <c r="G175" i="2"/>
  <c r="F177" i="2"/>
  <c r="F176" i="2" s="1"/>
  <c r="I64" i="2"/>
  <c r="H66" i="2"/>
  <c r="G48" i="2"/>
  <c r="F50" i="2"/>
  <c r="F51" i="2" s="1"/>
  <c r="F58" i="2"/>
  <c r="G56" i="2"/>
  <c r="G32" i="2"/>
  <c r="F34" i="2"/>
  <c r="F35" i="2" s="1"/>
  <c r="H40" i="2"/>
  <c r="D23" i="2"/>
  <c r="E19" i="2" s="1"/>
  <c r="E22" i="2" s="1"/>
  <c r="D14" i="2"/>
  <c r="D25" i="2" s="1"/>
  <c r="G10" i="2"/>
  <c r="F12" i="2"/>
  <c r="F13" i="2" s="1"/>
  <c r="H18" i="2"/>
  <c r="G20" i="2"/>
  <c r="G21" i="2"/>
  <c r="C60" i="1" l="1"/>
  <c r="D46" i="1"/>
  <c r="D46" i="4"/>
  <c r="C49" i="4"/>
  <c r="C57" i="4" s="1"/>
  <c r="C60" i="4"/>
  <c r="F52" i="2"/>
  <c r="F53" i="2" s="1"/>
  <c r="G49" i="2" s="1"/>
  <c r="G52" i="2" s="1"/>
  <c r="G53" i="2" s="1"/>
  <c r="D191" i="2"/>
  <c r="H42" i="2"/>
  <c r="H43" i="2"/>
  <c r="F59" i="2"/>
  <c r="F60" i="2" s="1"/>
  <c r="F61" i="2" s="1"/>
  <c r="G57" i="2" s="1"/>
  <c r="G51" i="2"/>
  <c r="G44" i="2"/>
  <c r="G45" i="2"/>
  <c r="H41" i="2" s="1"/>
  <c r="F178" i="2"/>
  <c r="F188" i="2" s="1"/>
  <c r="F179" i="2"/>
  <c r="F189" i="2" s="1"/>
  <c r="G185" i="2"/>
  <c r="G186" i="2" s="1"/>
  <c r="E37" i="2"/>
  <c r="F33" i="2" s="1"/>
  <c r="F36" i="2" s="1"/>
  <c r="E151" i="2"/>
  <c r="G177" i="2"/>
  <c r="G176" i="2" s="1"/>
  <c r="H175" i="2"/>
  <c r="I182" i="2"/>
  <c r="H184" i="2"/>
  <c r="H183" i="2" s="1"/>
  <c r="J64" i="2"/>
  <c r="I66" i="2"/>
  <c r="I67" i="2" s="1"/>
  <c r="G58" i="2"/>
  <c r="G59" i="2" s="1"/>
  <c r="H56" i="2"/>
  <c r="H48" i="2"/>
  <c r="G50" i="2"/>
  <c r="I40" i="2"/>
  <c r="H32" i="2"/>
  <c r="G34" i="2"/>
  <c r="G35" i="2" s="1"/>
  <c r="E23" i="2"/>
  <c r="F19" i="2" s="1"/>
  <c r="F22" i="2" s="1"/>
  <c r="D15" i="2"/>
  <c r="E11" i="2" s="1"/>
  <c r="I18" i="2"/>
  <c r="H20" i="2"/>
  <c r="H21" i="2" s="1"/>
  <c r="G12" i="2"/>
  <c r="G13" i="2" s="1"/>
  <c r="H10" i="2"/>
  <c r="C66" i="4" l="1"/>
  <c r="C68" i="4" s="1"/>
  <c r="C62" i="4"/>
  <c r="C71" i="4" s="1"/>
  <c r="C74" i="4" s="1"/>
  <c r="C75" i="4" s="1"/>
  <c r="C66" i="1"/>
  <c r="C68" i="1" s="1"/>
  <c r="C62" i="1"/>
  <c r="C71" i="1" s="1"/>
  <c r="D45" i="1"/>
  <c r="D47" i="1" s="1"/>
  <c r="E46" i="1" s="1"/>
  <c r="D45" i="4"/>
  <c r="G60" i="2"/>
  <c r="G61" i="2" s="1"/>
  <c r="I42" i="2"/>
  <c r="I43" i="2"/>
  <c r="H51" i="2"/>
  <c r="H57" i="2"/>
  <c r="H49" i="2"/>
  <c r="H44" i="2"/>
  <c r="H45" i="2" s="1"/>
  <c r="I41" i="2" s="1"/>
  <c r="G178" i="2"/>
  <c r="G188" i="2" s="1"/>
  <c r="H185" i="2"/>
  <c r="H186" i="2" s="1"/>
  <c r="F37" i="2"/>
  <c r="G33" i="2" s="1"/>
  <c r="G36" i="2" s="1"/>
  <c r="F151" i="2"/>
  <c r="J182" i="2"/>
  <c r="I184" i="2"/>
  <c r="I183" i="2" s="1"/>
  <c r="H177" i="2"/>
  <c r="H176" i="2" s="1"/>
  <c r="I175" i="2"/>
  <c r="J66" i="2"/>
  <c r="J67" i="2" s="1"/>
  <c r="K64" i="2"/>
  <c r="H65" i="2"/>
  <c r="H74" i="2"/>
  <c r="I72" i="2"/>
  <c r="H50" i="2"/>
  <c r="I48" i="2"/>
  <c r="H58" i="2"/>
  <c r="H59" i="2" s="1"/>
  <c r="I56" i="2"/>
  <c r="H34" i="2"/>
  <c r="H35" i="2" s="1"/>
  <c r="I32" i="2"/>
  <c r="J40" i="2"/>
  <c r="F23" i="2"/>
  <c r="G19" i="2" s="1"/>
  <c r="G22" i="2" s="1"/>
  <c r="G23" i="2" s="1"/>
  <c r="H19" i="2" s="1"/>
  <c r="H22" i="2" s="1"/>
  <c r="H23" i="2" s="1"/>
  <c r="I19" i="2" s="1"/>
  <c r="E14" i="2"/>
  <c r="E25" i="2" s="1"/>
  <c r="E191" i="2" s="1"/>
  <c r="I10" i="2"/>
  <c r="H12" i="2"/>
  <c r="H13" i="2" s="1"/>
  <c r="I20" i="2"/>
  <c r="I21" i="2"/>
  <c r="J18" i="2"/>
  <c r="C74" i="1" l="1"/>
  <c r="C75" i="1" s="1"/>
  <c r="D47" i="4"/>
  <c r="S45" i="4"/>
  <c r="R45" i="4"/>
  <c r="D49" i="1"/>
  <c r="I75" i="2"/>
  <c r="J42" i="2"/>
  <c r="J43" i="2" s="1"/>
  <c r="H75" i="2"/>
  <c r="H76" i="2" s="1"/>
  <c r="H77" i="2" s="1"/>
  <c r="I73" i="2" s="1"/>
  <c r="D57" i="1"/>
  <c r="D60" i="1" s="1"/>
  <c r="H68" i="2"/>
  <c r="H69" i="2"/>
  <c r="H60" i="2"/>
  <c r="H61" i="2" s="1"/>
  <c r="I57" i="2" s="1"/>
  <c r="H52" i="2"/>
  <c r="H53" i="2" s="1"/>
  <c r="I49" i="2" s="1"/>
  <c r="I44" i="2"/>
  <c r="I45" i="2" s="1"/>
  <c r="J41" i="2" s="1"/>
  <c r="E15" i="2"/>
  <c r="F11" i="2" s="1"/>
  <c r="G179" i="2"/>
  <c r="G189" i="2" s="1"/>
  <c r="H178" i="2"/>
  <c r="H188" i="2" s="1"/>
  <c r="I185" i="2"/>
  <c r="I186" i="2" s="1"/>
  <c r="G37" i="2"/>
  <c r="H33" i="2" s="1"/>
  <c r="H36" i="2" s="1"/>
  <c r="G151" i="2"/>
  <c r="I177" i="2"/>
  <c r="I176" i="2" s="1"/>
  <c r="J175" i="2"/>
  <c r="K182" i="2"/>
  <c r="J184" i="2"/>
  <c r="J183" i="2" s="1"/>
  <c r="K98" i="2"/>
  <c r="K99" i="2" s="1"/>
  <c r="K100" i="2" s="1"/>
  <c r="K101" i="2" s="1"/>
  <c r="L96" i="2"/>
  <c r="I82" i="2"/>
  <c r="J80" i="2"/>
  <c r="I65" i="2"/>
  <c r="K66" i="2"/>
  <c r="K67" i="2" s="1"/>
  <c r="L64" i="2"/>
  <c r="I74" i="2"/>
  <c r="J72" i="2"/>
  <c r="I50" i="2"/>
  <c r="I51" i="2" s="1"/>
  <c r="J48" i="2"/>
  <c r="I58" i="2"/>
  <c r="I59" i="2" s="1"/>
  <c r="J56" i="2"/>
  <c r="K40" i="2"/>
  <c r="I34" i="2"/>
  <c r="I35" i="2" s="1"/>
  <c r="J32" i="2"/>
  <c r="F14" i="2"/>
  <c r="F25" i="2" s="1"/>
  <c r="F191" i="2" s="1"/>
  <c r="I22" i="2"/>
  <c r="I23" i="2" s="1"/>
  <c r="J19" i="2" s="1"/>
  <c r="J20" i="2"/>
  <c r="J21" i="2" s="1"/>
  <c r="K18" i="2"/>
  <c r="I12" i="2"/>
  <c r="I13" i="2" s="1"/>
  <c r="J10" i="2"/>
  <c r="D62" i="1" l="1"/>
  <c r="D66" i="1"/>
  <c r="E46" i="4"/>
  <c r="E47" i="4" s="1"/>
  <c r="D49" i="4"/>
  <c r="I76" i="2"/>
  <c r="I77" i="2" s="1"/>
  <c r="J73" i="2" s="1"/>
  <c r="I83" i="2"/>
  <c r="I84" i="2" s="1"/>
  <c r="I85" i="2" s="1"/>
  <c r="J81" i="2" s="1"/>
  <c r="L99" i="2"/>
  <c r="K43" i="2"/>
  <c r="K42" i="2"/>
  <c r="I68" i="2"/>
  <c r="I69" i="2"/>
  <c r="J65" i="2" s="1"/>
  <c r="I60" i="2"/>
  <c r="I61" i="2" s="1"/>
  <c r="J57" i="2" s="1"/>
  <c r="I52" i="2"/>
  <c r="I53" i="2" s="1"/>
  <c r="J49" i="2" s="1"/>
  <c r="J44" i="2"/>
  <c r="J45" i="2" s="1"/>
  <c r="K41" i="2" s="1"/>
  <c r="H179" i="2"/>
  <c r="H189" i="2" s="1"/>
  <c r="I178" i="2"/>
  <c r="I188" i="2" s="1"/>
  <c r="J185" i="2"/>
  <c r="J186" i="2"/>
  <c r="H37" i="2"/>
  <c r="I33" i="2" s="1"/>
  <c r="I36" i="2" s="1"/>
  <c r="H151" i="2"/>
  <c r="L182" i="2"/>
  <c r="K184" i="2"/>
  <c r="K183" i="2" s="1"/>
  <c r="J177" i="2"/>
  <c r="J176" i="2" s="1"/>
  <c r="K175" i="2"/>
  <c r="L98" i="2"/>
  <c r="M96" i="2"/>
  <c r="J82" i="2"/>
  <c r="J83" i="2" s="1"/>
  <c r="K80" i="2"/>
  <c r="J90" i="2"/>
  <c r="J91" i="2" s="1"/>
  <c r="J92" i="2" s="1"/>
  <c r="J93" i="2" s="1"/>
  <c r="K88" i="2"/>
  <c r="K89" i="2"/>
  <c r="L66" i="2"/>
  <c r="L67" i="2" s="1"/>
  <c r="M64" i="2"/>
  <c r="J74" i="2"/>
  <c r="K72" i="2"/>
  <c r="J58" i="2"/>
  <c r="J59" i="2" s="1"/>
  <c r="K56" i="2"/>
  <c r="K48" i="2"/>
  <c r="J50" i="2"/>
  <c r="J51" i="2" s="1"/>
  <c r="J34" i="2"/>
  <c r="J35" i="2" s="1"/>
  <c r="K32" i="2"/>
  <c r="L40" i="2"/>
  <c r="J22" i="2"/>
  <c r="J23" i="2" s="1"/>
  <c r="K19" i="2" s="1"/>
  <c r="F15" i="2"/>
  <c r="G11" i="2" s="1"/>
  <c r="K10" i="2"/>
  <c r="J12" i="2"/>
  <c r="J13" i="2" s="1"/>
  <c r="K20" i="2"/>
  <c r="K21" i="2" s="1"/>
  <c r="L18" i="2"/>
  <c r="D57" i="4" l="1"/>
  <c r="F46" i="4"/>
  <c r="F47" i="4" s="1"/>
  <c r="E49" i="4"/>
  <c r="E57" i="4" s="1"/>
  <c r="E60" i="4" s="1"/>
  <c r="D68" i="1"/>
  <c r="J84" i="2"/>
  <c r="J85" i="2" s="1"/>
  <c r="K81" i="2" s="1"/>
  <c r="M67" i="2"/>
  <c r="K51" i="2"/>
  <c r="J75" i="2"/>
  <c r="J76" i="2" s="1"/>
  <c r="J77" i="2" s="1"/>
  <c r="K73" i="2" s="1"/>
  <c r="K83" i="2"/>
  <c r="L42" i="2"/>
  <c r="L43" i="2" s="1"/>
  <c r="K75" i="2"/>
  <c r="I179" i="2"/>
  <c r="I189" i="2" s="1"/>
  <c r="J68" i="2"/>
  <c r="J69" i="2"/>
  <c r="J60" i="2"/>
  <c r="J61" i="2"/>
  <c r="K57" i="2" s="1"/>
  <c r="J52" i="2"/>
  <c r="J53" i="2" s="1"/>
  <c r="K49" i="2" s="1"/>
  <c r="K44" i="2"/>
  <c r="K45" i="2" s="1"/>
  <c r="L41" i="2" s="1"/>
  <c r="J178" i="2"/>
  <c r="J188" i="2" s="1"/>
  <c r="K185" i="2"/>
  <c r="K186" i="2" s="1"/>
  <c r="I37" i="2"/>
  <c r="J33" i="2" s="1"/>
  <c r="J36" i="2" s="1"/>
  <c r="I151" i="2"/>
  <c r="L175" i="2"/>
  <c r="K177" i="2"/>
  <c r="K176" i="2" s="1"/>
  <c r="M182" i="2"/>
  <c r="N182" i="2" s="1"/>
  <c r="L184" i="2"/>
  <c r="L183" i="2" s="1"/>
  <c r="M98" i="2"/>
  <c r="M99" i="2" s="1"/>
  <c r="N96" i="2"/>
  <c r="K90" i="2"/>
  <c r="K91" i="2" s="1"/>
  <c r="K92" i="2" s="1"/>
  <c r="K93" i="2" s="1"/>
  <c r="L88" i="2"/>
  <c r="K82" i="2"/>
  <c r="L80" i="2"/>
  <c r="K65" i="2"/>
  <c r="K74" i="2"/>
  <c r="L72" i="2"/>
  <c r="M66" i="2"/>
  <c r="N64" i="2"/>
  <c r="L48" i="2"/>
  <c r="K50" i="2"/>
  <c r="K58" i="2"/>
  <c r="K59" i="2" s="1"/>
  <c r="L56" i="2"/>
  <c r="M40" i="2"/>
  <c r="L32" i="2"/>
  <c r="K34" i="2"/>
  <c r="K35" i="2" s="1"/>
  <c r="G14" i="2"/>
  <c r="G25" i="2" s="1"/>
  <c r="G191" i="2" s="1"/>
  <c r="L20" i="2"/>
  <c r="L21" i="2"/>
  <c r="M18" i="2"/>
  <c r="N18" i="2" s="1"/>
  <c r="K22" i="2"/>
  <c r="K23" i="2" s="1"/>
  <c r="L19" i="2" s="1"/>
  <c r="L10" i="2"/>
  <c r="M10" i="2" s="1"/>
  <c r="N10" i="2" s="1"/>
  <c r="K12" i="2"/>
  <c r="K13" i="2" s="1"/>
  <c r="D71" i="1" l="1"/>
  <c r="E66" i="4"/>
  <c r="E68" i="4" s="1"/>
  <c r="E62" i="4"/>
  <c r="E71" i="4" s="1"/>
  <c r="E74" i="4" s="1"/>
  <c r="G46" i="4"/>
  <c r="G47" i="4" s="1"/>
  <c r="F49" i="4"/>
  <c r="F57" i="4" s="1"/>
  <c r="F60" i="4" s="1"/>
  <c r="D60" i="4"/>
  <c r="K76" i="2"/>
  <c r="K77" i="2" s="1"/>
  <c r="L73" i="2" s="1"/>
  <c r="M42" i="2"/>
  <c r="M43" i="2" s="1"/>
  <c r="L51" i="2"/>
  <c r="L75" i="2"/>
  <c r="L35" i="2"/>
  <c r="L59" i="2"/>
  <c r="N99" i="2"/>
  <c r="J179" i="2"/>
  <c r="J189" i="2" s="1"/>
  <c r="L89" i="2"/>
  <c r="K84" i="2"/>
  <c r="K85" i="2"/>
  <c r="L81" i="2" s="1"/>
  <c r="K68" i="2"/>
  <c r="K69" i="2"/>
  <c r="L65" i="2" s="1"/>
  <c r="K60" i="2"/>
  <c r="K61" i="2" s="1"/>
  <c r="L57" i="2" s="1"/>
  <c r="K52" i="2"/>
  <c r="K53" i="2" s="1"/>
  <c r="L49" i="2" s="1"/>
  <c r="L44" i="2"/>
  <c r="L45" i="2" s="1"/>
  <c r="M41" i="2" s="1"/>
  <c r="L185" i="2"/>
  <c r="L186" i="2" s="1"/>
  <c r="O182" i="2"/>
  <c r="K178" i="2"/>
  <c r="K188" i="2" s="1"/>
  <c r="O10" i="2"/>
  <c r="N12" i="2"/>
  <c r="N13" i="2" s="1"/>
  <c r="J37" i="2"/>
  <c r="K33" i="2" s="1"/>
  <c r="K36" i="2" s="1"/>
  <c r="J151" i="2"/>
  <c r="M184" i="2"/>
  <c r="M183" i="2" s="1"/>
  <c r="M175" i="2"/>
  <c r="N175" i="2" s="1"/>
  <c r="L177" i="2"/>
  <c r="L176" i="2" s="1"/>
  <c r="N98" i="2"/>
  <c r="O96" i="2"/>
  <c r="M104" i="2"/>
  <c r="L106" i="2"/>
  <c r="L107" i="2" s="1"/>
  <c r="L108" i="2" s="1"/>
  <c r="L109" i="2" s="1"/>
  <c r="M105" i="2"/>
  <c r="L97" i="2"/>
  <c r="L82" i="2"/>
  <c r="L83" i="2" s="1"/>
  <c r="M80" i="2"/>
  <c r="M88" i="2"/>
  <c r="L90" i="2"/>
  <c r="L91" i="2" s="1"/>
  <c r="N66" i="2"/>
  <c r="N67" i="2" s="1"/>
  <c r="O64" i="2"/>
  <c r="M72" i="2"/>
  <c r="L74" i="2"/>
  <c r="M56" i="2"/>
  <c r="L58" i="2"/>
  <c r="L50" i="2"/>
  <c r="M48" i="2"/>
  <c r="M32" i="2"/>
  <c r="M35" i="2" s="1"/>
  <c r="L34" i="2"/>
  <c r="N40" i="2"/>
  <c r="N20" i="2"/>
  <c r="N21" i="2" s="1"/>
  <c r="O18" i="2"/>
  <c r="G15" i="2"/>
  <c r="H11" i="2" s="1"/>
  <c r="H14" i="2" s="1"/>
  <c r="H25" i="2" s="1"/>
  <c r="H191" i="2" s="1"/>
  <c r="L22" i="2"/>
  <c r="L23" i="2" s="1"/>
  <c r="M19" i="2" s="1"/>
  <c r="L12" i="2"/>
  <c r="L13" i="2"/>
  <c r="M20" i="2"/>
  <c r="M21" i="2"/>
  <c r="D66" i="4" l="1"/>
  <c r="D62" i="4"/>
  <c r="D74" i="1"/>
  <c r="F66" i="4"/>
  <c r="F68" i="4" s="1"/>
  <c r="F62" i="4"/>
  <c r="G49" i="4"/>
  <c r="H46" i="4"/>
  <c r="H47" i="4" s="1"/>
  <c r="L76" i="2"/>
  <c r="L77" i="2"/>
  <c r="M107" i="2"/>
  <c r="M73" i="2"/>
  <c r="O99" i="2"/>
  <c r="N42" i="2"/>
  <c r="N43" i="2"/>
  <c r="M51" i="2"/>
  <c r="M108" i="2"/>
  <c r="M109" i="2" s="1"/>
  <c r="L100" i="2"/>
  <c r="L101" i="2"/>
  <c r="M97" i="2" s="1"/>
  <c r="L92" i="2"/>
  <c r="L93" i="2" s="1"/>
  <c r="M89" i="2" s="1"/>
  <c r="L84" i="2"/>
  <c r="L85" i="2"/>
  <c r="M81" i="2" s="1"/>
  <c r="L68" i="2"/>
  <c r="L69" i="2"/>
  <c r="M65" i="2" s="1"/>
  <c r="L60" i="2"/>
  <c r="L61" i="2" s="1"/>
  <c r="M57" i="2" s="1"/>
  <c r="L52" i="2"/>
  <c r="L53" i="2" s="1"/>
  <c r="M49" i="2" s="1"/>
  <c r="M44" i="2"/>
  <c r="M45" i="2" s="1"/>
  <c r="N41" i="2" s="1"/>
  <c r="K179" i="2"/>
  <c r="K189" i="2" s="1"/>
  <c r="M185" i="2"/>
  <c r="M186" i="2"/>
  <c r="N184" i="2"/>
  <c r="N183" i="2" s="1"/>
  <c r="O12" i="2"/>
  <c r="O13" i="2" s="1"/>
  <c r="P10" i="2"/>
  <c r="P182" i="2"/>
  <c r="O184" i="2"/>
  <c r="L178" i="2"/>
  <c r="L188" i="2" s="1"/>
  <c r="O175" i="2"/>
  <c r="K37" i="2"/>
  <c r="L33" i="2" s="1"/>
  <c r="L36" i="2" s="1"/>
  <c r="K151" i="2"/>
  <c r="M177" i="2"/>
  <c r="M176" i="2" s="1"/>
  <c r="N177" i="2" s="1"/>
  <c r="N176" i="2" s="1"/>
  <c r="M114" i="2"/>
  <c r="M115" i="2" s="1"/>
  <c r="M116" i="2" s="1"/>
  <c r="M117" i="2" s="1"/>
  <c r="N112" i="2"/>
  <c r="N113" i="2"/>
  <c r="N104" i="2"/>
  <c r="M106" i="2"/>
  <c r="P96" i="2"/>
  <c r="O98" i="2"/>
  <c r="M82" i="2"/>
  <c r="M83" i="2" s="1"/>
  <c r="N80" i="2"/>
  <c r="N88" i="2"/>
  <c r="M90" i="2"/>
  <c r="M91" i="2" s="1"/>
  <c r="N72" i="2"/>
  <c r="M74" i="2"/>
  <c r="P64" i="2"/>
  <c r="O66" i="2"/>
  <c r="O67" i="2" s="1"/>
  <c r="M50" i="2"/>
  <c r="N48" i="2"/>
  <c r="N56" i="2"/>
  <c r="M58" i="2"/>
  <c r="M59" i="2" s="1"/>
  <c r="O40" i="2"/>
  <c r="M34" i="2"/>
  <c r="N32" i="2"/>
  <c r="N35" i="2" s="1"/>
  <c r="P18" i="2"/>
  <c r="O20" i="2"/>
  <c r="O21" i="2" s="1"/>
  <c r="H15" i="2"/>
  <c r="I11" i="2" s="1"/>
  <c r="I14" i="2" s="1"/>
  <c r="I25" i="2" s="1"/>
  <c r="I191" i="2" s="1"/>
  <c r="M22" i="2"/>
  <c r="M23" i="2" s="1"/>
  <c r="N19" i="2" s="1"/>
  <c r="N22" i="2" s="1"/>
  <c r="M12" i="2"/>
  <c r="M13" i="2"/>
  <c r="F71" i="4" l="1"/>
  <c r="F74" i="4" s="1"/>
  <c r="D75" i="1"/>
  <c r="H49" i="4"/>
  <c r="H57" i="4" s="1"/>
  <c r="H60" i="4" s="1"/>
  <c r="I46" i="4"/>
  <c r="I47" i="4" s="1"/>
  <c r="G57" i="4"/>
  <c r="D68" i="4"/>
  <c r="D71" i="4" s="1"/>
  <c r="P67" i="2"/>
  <c r="N75" i="2"/>
  <c r="O42" i="2"/>
  <c r="O43" i="2"/>
  <c r="N59" i="2"/>
  <c r="M75" i="2"/>
  <c r="M76" i="2" s="1"/>
  <c r="M77" i="2" s="1"/>
  <c r="N73" i="2" s="1"/>
  <c r="L179" i="2"/>
  <c r="L189" i="2" s="1"/>
  <c r="N105" i="2"/>
  <c r="M100" i="2"/>
  <c r="M101" i="2" s="1"/>
  <c r="N97" i="2" s="1"/>
  <c r="M92" i="2"/>
  <c r="M93" i="2" s="1"/>
  <c r="N89" i="2" s="1"/>
  <c r="M84" i="2"/>
  <c r="M85" i="2" s="1"/>
  <c r="N81" i="2" s="1"/>
  <c r="M68" i="2"/>
  <c r="M69" i="2"/>
  <c r="N65" i="2" s="1"/>
  <c r="M60" i="2"/>
  <c r="M61" i="2" s="1"/>
  <c r="N57" i="2" s="1"/>
  <c r="M52" i="2"/>
  <c r="M53" i="2" s="1"/>
  <c r="N49" i="2" s="1"/>
  <c r="N44" i="2"/>
  <c r="N45" i="2" s="1"/>
  <c r="O41" i="2" s="1"/>
  <c r="P184" i="2"/>
  <c r="Q182" i="2"/>
  <c r="Q10" i="2"/>
  <c r="Q12" i="2" s="1"/>
  <c r="Q13" i="2" s="1"/>
  <c r="P12" i="2"/>
  <c r="P13" i="2" s="1"/>
  <c r="O177" i="2"/>
  <c r="O176" i="2" s="1"/>
  <c r="P175" i="2"/>
  <c r="N178" i="2"/>
  <c r="M178" i="2"/>
  <c r="M188" i="2" s="1"/>
  <c r="O183" i="2"/>
  <c r="N185" i="2"/>
  <c r="N186" i="2" s="1"/>
  <c r="L37" i="2"/>
  <c r="M33" i="2" s="1"/>
  <c r="M36" i="2" s="1"/>
  <c r="L151" i="2"/>
  <c r="N114" i="2"/>
  <c r="N115" i="2" s="1"/>
  <c r="N116" i="2" s="1"/>
  <c r="N117" i="2" s="1"/>
  <c r="O112" i="2"/>
  <c r="O120" i="2"/>
  <c r="N122" i="2"/>
  <c r="Q96" i="2"/>
  <c r="P98" i="2"/>
  <c r="P99" i="2" s="1"/>
  <c r="O104" i="2"/>
  <c r="N106" i="2"/>
  <c r="N107" i="2" s="1"/>
  <c r="O88" i="2"/>
  <c r="N90" i="2"/>
  <c r="N91" i="2" s="1"/>
  <c r="N82" i="2"/>
  <c r="N83" i="2" s="1"/>
  <c r="O80" i="2"/>
  <c r="Q64" i="2"/>
  <c r="Q67" i="2" s="1"/>
  <c r="P66" i="2"/>
  <c r="O72" i="2"/>
  <c r="N74" i="2"/>
  <c r="O56" i="2"/>
  <c r="N58" i="2"/>
  <c r="N50" i="2"/>
  <c r="N51" i="2" s="1"/>
  <c r="O48" i="2"/>
  <c r="O51" i="2" s="1"/>
  <c r="N34" i="2"/>
  <c r="O32" i="2"/>
  <c r="O35" i="2" s="1"/>
  <c r="P40" i="2"/>
  <c r="Q18" i="2"/>
  <c r="Q20" i="2" s="1"/>
  <c r="Q21" i="2" s="1"/>
  <c r="P20" i="2"/>
  <c r="P21" i="2" s="1"/>
  <c r="N23" i="2"/>
  <c r="O19" i="2" s="1"/>
  <c r="I15" i="2"/>
  <c r="J11" i="2" s="1"/>
  <c r="J14" i="2" s="1"/>
  <c r="J25" i="2" s="1"/>
  <c r="J191" i="2" s="1"/>
  <c r="H66" i="4" l="1"/>
  <c r="H68" i="4" s="1"/>
  <c r="H62" i="4"/>
  <c r="I49" i="4"/>
  <c r="J46" i="4"/>
  <c r="J47" i="4" s="1"/>
  <c r="G60" i="4"/>
  <c r="D74" i="4"/>
  <c r="N76" i="2"/>
  <c r="N77" i="2" s="1"/>
  <c r="O73" i="2" s="1"/>
  <c r="P43" i="2"/>
  <c r="P42" i="2"/>
  <c r="O107" i="2"/>
  <c r="O59" i="2"/>
  <c r="Q99" i="2"/>
  <c r="N123" i="2"/>
  <c r="N124" i="2" s="1"/>
  <c r="N125" i="2" s="1"/>
  <c r="O121" i="2" s="1"/>
  <c r="O124" i="2" s="1"/>
  <c r="O125" i="2" s="1"/>
  <c r="O123" i="2"/>
  <c r="M179" i="2"/>
  <c r="M189" i="2" s="1"/>
  <c r="O113" i="2"/>
  <c r="N108" i="2"/>
  <c r="N109" i="2" s="1"/>
  <c r="O105" i="2" s="1"/>
  <c r="N100" i="2"/>
  <c r="N101" i="2" s="1"/>
  <c r="O97" i="2" s="1"/>
  <c r="N92" i="2"/>
  <c r="N93" i="2" s="1"/>
  <c r="O89" i="2" s="1"/>
  <c r="N84" i="2"/>
  <c r="N85" i="2"/>
  <c r="O81" i="2" s="1"/>
  <c r="N68" i="2"/>
  <c r="N69" i="2"/>
  <c r="O65" i="2" s="1"/>
  <c r="N60" i="2"/>
  <c r="N61" i="2" s="1"/>
  <c r="O57" i="2" s="1"/>
  <c r="N52" i="2"/>
  <c r="N53" i="2" s="1"/>
  <c r="O49" i="2" s="1"/>
  <c r="O44" i="2"/>
  <c r="O45" i="2" s="1"/>
  <c r="P41" i="2" s="1"/>
  <c r="N188" i="2"/>
  <c r="P183" i="2"/>
  <c r="Q184" i="2" s="1"/>
  <c r="O185" i="2"/>
  <c r="O186" i="2" s="1"/>
  <c r="O178" i="2"/>
  <c r="N179" i="2"/>
  <c r="N189" i="2" s="1"/>
  <c r="Q175" i="2"/>
  <c r="P177" i="2"/>
  <c r="P176" i="2" s="1"/>
  <c r="M37" i="2"/>
  <c r="N33" i="2" s="1"/>
  <c r="N36" i="2" s="1"/>
  <c r="M151" i="2"/>
  <c r="P128" i="2"/>
  <c r="O130" i="2"/>
  <c r="P112" i="2"/>
  <c r="O114" i="2"/>
  <c r="O115" i="2" s="1"/>
  <c r="O122" i="2"/>
  <c r="P120" i="2"/>
  <c r="P104" i="2"/>
  <c r="O106" i="2"/>
  <c r="Q98" i="2"/>
  <c r="P80" i="2"/>
  <c r="O82" i="2"/>
  <c r="O83" i="2" s="1"/>
  <c r="O90" i="2"/>
  <c r="O91" i="2" s="1"/>
  <c r="P88" i="2"/>
  <c r="O74" i="2"/>
  <c r="P72" i="2"/>
  <c r="Q66" i="2"/>
  <c r="P48" i="2"/>
  <c r="P51" i="2" s="1"/>
  <c r="O50" i="2"/>
  <c r="O58" i="2"/>
  <c r="P56" i="2"/>
  <c r="P59" i="2" s="1"/>
  <c r="P32" i="2"/>
  <c r="P35" i="2" s="1"/>
  <c r="O34" i="2"/>
  <c r="Q40" i="2"/>
  <c r="O22" i="2"/>
  <c r="J15" i="2"/>
  <c r="K11" i="2" s="1"/>
  <c r="K14" i="2" s="1"/>
  <c r="K25" i="2" s="1"/>
  <c r="K191" i="2" s="1"/>
  <c r="H71" i="4" l="1"/>
  <c r="H74" i="4" s="1"/>
  <c r="J49" i="4"/>
  <c r="J57" i="4" s="1"/>
  <c r="J60" i="4" s="1"/>
  <c r="K46" i="4"/>
  <c r="K47" i="4" s="1"/>
  <c r="I57" i="4"/>
  <c r="F75" i="4"/>
  <c r="E75" i="4"/>
  <c r="D75" i="4"/>
  <c r="G66" i="4"/>
  <c r="G62" i="4"/>
  <c r="O76" i="2"/>
  <c r="O77" i="2" s="1"/>
  <c r="P73" i="2" s="1"/>
  <c r="O131" i="2"/>
  <c r="O132" i="2" s="1"/>
  <c r="O133" i="2" s="1"/>
  <c r="P129" i="2" s="1"/>
  <c r="Q43" i="2"/>
  <c r="Q42" i="2"/>
  <c r="P91" i="2"/>
  <c r="O75" i="2"/>
  <c r="Q177" i="2"/>
  <c r="P121" i="2"/>
  <c r="O116" i="2"/>
  <c r="O117" i="2" s="1"/>
  <c r="P113" i="2" s="1"/>
  <c r="O108" i="2"/>
  <c r="O109" i="2" s="1"/>
  <c r="P105" i="2" s="1"/>
  <c r="O100" i="2"/>
  <c r="O101" i="2" s="1"/>
  <c r="P97" i="2" s="1"/>
  <c r="O92" i="2"/>
  <c r="O93" i="2" s="1"/>
  <c r="P89" i="2" s="1"/>
  <c r="N151" i="2"/>
  <c r="O84" i="2"/>
  <c r="O85" i="2" s="1"/>
  <c r="P81" i="2" s="1"/>
  <c r="O68" i="2"/>
  <c r="O69" i="2"/>
  <c r="O60" i="2"/>
  <c r="O61" i="2" s="1"/>
  <c r="P57" i="2" s="1"/>
  <c r="O52" i="2"/>
  <c r="O53" i="2" s="1"/>
  <c r="P49" i="2" s="1"/>
  <c r="P44" i="2"/>
  <c r="P45" i="2" s="1"/>
  <c r="Q41" i="2" s="1"/>
  <c r="O188" i="2"/>
  <c r="Q176" i="2"/>
  <c r="P178" i="2"/>
  <c r="O179" i="2"/>
  <c r="O189" i="2" s="1"/>
  <c r="P185" i="2"/>
  <c r="P186" i="2" s="1"/>
  <c r="Q183" i="2"/>
  <c r="N37" i="2"/>
  <c r="O33" i="2" s="1"/>
  <c r="O36" i="2" s="1"/>
  <c r="Q128" i="2"/>
  <c r="P130" i="2"/>
  <c r="P131" i="2" s="1"/>
  <c r="P138" i="2"/>
  <c r="Q136" i="2"/>
  <c r="P122" i="2"/>
  <c r="P123" i="2" s="1"/>
  <c r="Q120" i="2"/>
  <c r="Q112" i="2"/>
  <c r="P114" i="2"/>
  <c r="P115" i="2" s="1"/>
  <c r="P106" i="2"/>
  <c r="P107" i="2" s="1"/>
  <c r="Q104" i="2"/>
  <c r="P90" i="2"/>
  <c r="Q88" i="2"/>
  <c r="Q80" i="2"/>
  <c r="P82" i="2"/>
  <c r="P83" i="2" s="1"/>
  <c r="P65" i="2"/>
  <c r="P74" i="2"/>
  <c r="P75" i="2" s="1"/>
  <c r="Q72" i="2"/>
  <c r="P58" i="2"/>
  <c r="Q56" i="2"/>
  <c r="Q59" i="2" s="1"/>
  <c r="Q48" i="2"/>
  <c r="Q51" i="2" s="1"/>
  <c r="P50" i="2"/>
  <c r="Q32" i="2"/>
  <c r="Q35" i="2" s="1"/>
  <c r="P34" i="2"/>
  <c r="O23" i="2"/>
  <c r="P19" i="2" s="1"/>
  <c r="K15" i="2"/>
  <c r="L11" i="2" s="1"/>
  <c r="L14" i="2" s="1"/>
  <c r="L25" i="2" s="1"/>
  <c r="L191" i="2" s="1"/>
  <c r="J62" i="4" l="1"/>
  <c r="J66" i="4"/>
  <c r="J68" i="4" s="1"/>
  <c r="G68" i="4"/>
  <c r="K49" i="4"/>
  <c r="K57" i="4" s="1"/>
  <c r="K60" i="4" s="1"/>
  <c r="L46" i="4"/>
  <c r="L47" i="4" s="1"/>
  <c r="I60" i="4"/>
  <c r="P132" i="2"/>
  <c r="P133" i="2" s="1"/>
  <c r="P76" i="2"/>
  <c r="P77" i="2" s="1"/>
  <c r="Q139" i="2"/>
  <c r="P139" i="2"/>
  <c r="P140" i="2" s="1"/>
  <c r="P141" i="2" s="1"/>
  <c r="Q137" i="2" s="1"/>
  <c r="Q140" i="2" s="1"/>
  <c r="Q141" i="2" s="1"/>
  <c r="Q131" i="2"/>
  <c r="Q107" i="2"/>
  <c r="Q115" i="2"/>
  <c r="Q83" i="2"/>
  <c r="Q129" i="2"/>
  <c r="P124" i="2"/>
  <c r="P125" i="2" s="1"/>
  <c r="Q121" i="2" s="1"/>
  <c r="P116" i="2"/>
  <c r="P117" i="2" s="1"/>
  <c r="Q113" i="2" s="1"/>
  <c r="P108" i="2"/>
  <c r="P109" i="2" s="1"/>
  <c r="Q105" i="2" s="1"/>
  <c r="P100" i="2"/>
  <c r="P101" i="2" s="1"/>
  <c r="Q97" i="2" s="1"/>
  <c r="P92" i="2"/>
  <c r="P93" i="2" s="1"/>
  <c r="Q89" i="2" s="1"/>
  <c r="P84" i="2"/>
  <c r="P85" i="2" s="1"/>
  <c r="Q81" i="2" s="1"/>
  <c r="Q73" i="2"/>
  <c r="P68" i="2"/>
  <c r="P69" i="2" s="1"/>
  <c r="Q65" i="2" s="1"/>
  <c r="P60" i="2"/>
  <c r="P61" i="2" s="1"/>
  <c r="Q57" i="2" s="1"/>
  <c r="P52" i="2"/>
  <c r="P53" i="2" s="1"/>
  <c r="Q49" i="2" s="1"/>
  <c r="Q44" i="2"/>
  <c r="Q45" i="2" s="1"/>
  <c r="P188" i="2"/>
  <c r="Q185" i="2"/>
  <c r="Q186" i="2" s="1"/>
  <c r="Q178" i="2"/>
  <c r="P179" i="2"/>
  <c r="P189" i="2" s="1"/>
  <c r="O37" i="2"/>
  <c r="P33" i="2" s="1"/>
  <c r="P36" i="2" s="1"/>
  <c r="O151" i="2"/>
  <c r="Q146" i="2"/>
  <c r="Q147" i="2" s="1"/>
  <c r="Q148" i="2" s="1"/>
  <c r="Q149" i="2" s="1"/>
  <c r="Q138" i="2"/>
  <c r="Q130" i="2"/>
  <c r="Q114" i="2"/>
  <c r="Q122" i="2"/>
  <c r="Q123" i="2" s="1"/>
  <c r="Q106" i="2"/>
  <c r="Q82" i="2"/>
  <c r="Q90" i="2"/>
  <c r="Q91" i="2" s="1"/>
  <c r="Q74" i="2"/>
  <c r="Q75" i="2" s="1"/>
  <c r="Q50" i="2"/>
  <c r="Q58" i="2"/>
  <c r="Q34" i="2"/>
  <c r="P22" i="2"/>
  <c r="L15" i="2"/>
  <c r="M11" i="2" s="1"/>
  <c r="J71" i="4" l="1"/>
  <c r="J74" i="4" s="1"/>
  <c r="I62" i="4"/>
  <c r="I66" i="4"/>
  <c r="K66" i="4"/>
  <c r="K68" i="4" s="1"/>
  <c r="K62" i="4"/>
  <c r="K71" i="4" s="1"/>
  <c r="K74" i="4" s="1"/>
  <c r="M46" i="4"/>
  <c r="M47" i="4" s="1"/>
  <c r="L49" i="4"/>
  <c r="L57" i="4" s="1"/>
  <c r="L60" i="4" s="1"/>
  <c r="G71" i="4"/>
  <c r="Q132" i="2"/>
  <c r="Q133" i="2" s="1"/>
  <c r="Q124" i="2"/>
  <c r="Q125" i="2" s="1"/>
  <c r="Q116" i="2"/>
  <c r="Q117" i="2" s="1"/>
  <c r="Q108" i="2"/>
  <c r="Q109" i="2" s="1"/>
  <c r="Q100" i="2"/>
  <c r="Q101" i="2" s="1"/>
  <c r="Q92" i="2"/>
  <c r="Q93" i="2" s="1"/>
  <c r="Q84" i="2"/>
  <c r="Q85" i="2" s="1"/>
  <c r="Q76" i="2"/>
  <c r="Q77" i="2" s="1"/>
  <c r="Q68" i="2"/>
  <c r="Q69" i="2" s="1"/>
  <c r="Q60" i="2"/>
  <c r="Q61" i="2" s="1"/>
  <c r="Q52" i="2"/>
  <c r="Q53" i="2" s="1"/>
  <c r="Q188" i="2"/>
  <c r="Q179" i="2"/>
  <c r="Q189" i="2" s="1"/>
  <c r="P37" i="2"/>
  <c r="Q33" i="2" s="1"/>
  <c r="P151" i="2"/>
  <c r="Q36" i="2"/>
  <c r="Q37" i="2" s="1"/>
  <c r="P23" i="2"/>
  <c r="Q19" i="2" s="1"/>
  <c r="Q22" i="2" s="1"/>
  <c r="M14" i="2"/>
  <c r="M25" i="2" s="1"/>
  <c r="M191" i="2" s="1"/>
  <c r="G74" i="4" l="1"/>
  <c r="I68" i="4"/>
  <c r="L62" i="4"/>
  <c r="L66" i="4"/>
  <c r="L68" i="4" s="1"/>
  <c r="I71" i="4"/>
  <c r="I74" i="4" s="1"/>
  <c r="N46" i="4"/>
  <c r="N47" i="4" s="1"/>
  <c r="M49" i="4"/>
  <c r="M57" i="4" s="1"/>
  <c r="M60" i="4" s="1"/>
  <c r="Q151" i="2"/>
  <c r="Q23" i="2"/>
  <c r="M15" i="2"/>
  <c r="N11" i="2" s="1"/>
  <c r="L71" i="4" l="1"/>
  <c r="L74" i="4" s="1"/>
  <c r="L75" i="4" s="1"/>
  <c r="O46" i="4"/>
  <c r="O47" i="4" s="1"/>
  <c r="N49" i="4"/>
  <c r="N57" i="4" s="1"/>
  <c r="I75" i="4"/>
  <c r="H75" i="4"/>
  <c r="J75" i="4"/>
  <c r="K75" i="4"/>
  <c r="G75" i="4"/>
  <c r="M62" i="4"/>
  <c r="M66" i="4"/>
  <c r="N14" i="2"/>
  <c r="N25" i="2" s="1"/>
  <c r="N191" i="2" s="1"/>
  <c r="D12" i="1"/>
  <c r="E16" i="1"/>
  <c r="S11" i="1"/>
  <c r="Q16" i="1"/>
  <c r="P16" i="1"/>
  <c r="O16" i="1"/>
  <c r="N16" i="1"/>
  <c r="M16" i="1"/>
  <c r="L16" i="1"/>
  <c r="K16" i="1"/>
  <c r="J16" i="1"/>
  <c r="I16" i="1"/>
  <c r="H16" i="1"/>
  <c r="G16" i="1"/>
  <c r="F16" i="1"/>
  <c r="D16" i="1"/>
  <c r="C16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C12" i="1"/>
  <c r="R11" i="1"/>
  <c r="S10" i="1"/>
  <c r="R10" i="1"/>
  <c r="S9" i="1"/>
  <c r="R9" i="1"/>
  <c r="R4" i="1"/>
  <c r="M6" i="1"/>
  <c r="L6" i="1"/>
  <c r="K6" i="1"/>
  <c r="J6" i="1"/>
  <c r="Q6" i="1"/>
  <c r="P6" i="1"/>
  <c r="O6" i="1"/>
  <c r="N6" i="1"/>
  <c r="I6" i="1"/>
  <c r="H6" i="1"/>
  <c r="G6" i="1"/>
  <c r="F6" i="1"/>
  <c r="E6" i="1"/>
  <c r="D6" i="1"/>
  <c r="C6" i="1"/>
  <c r="K19" i="1" l="1"/>
  <c r="K36" i="1" s="1"/>
  <c r="K54" i="1"/>
  <c r="K32" i="1"/>
  <c r="E54" i="1"/>
  <c r="E19" i="1"/>
  <c r="E32" i="1"/>
  <c r="L54" i="1"/>
  <c r="L19" i="1"/>
  <c r="L36" i="1" s="1"/>
  <c r="L32" i="1"/>
  <c r="M19" i="1"/>
  <c r="M36" i="1" s="1"/>
  <c r="M32" i="1"/>
  <c r="M54" i="1"/>
  <c r="F32" i="1"/>
  <c r="F19" i="1"/>
  <c r="F36" i="1" s="1"/>
  <c r="F54" i="1"/>
  <c r="R6" i="1"/>
  <c r="H54" i="1"/>
  <c r="H32" i="1"/>
  <c r="H19" i="1"/>
  <c r="H36" i="1" s="1"/>
  <c r="G54" i="1"/>
  <c r="G19" i="1"/>
  <c r="G32" i="1"/>
  <c r="S6" i="1"/>
  <c r="D4" i="3" s="1"/>
  <c r="D7" i="3" s="1"/>
  <c r="I19" i="1"/>
  <c r="I32" i="1"/>
  <c r="I54" i="1"/>
  <c r="N54" i="1"/>
  <c r="N32" i="1"/>
  <c r="N19" i="1"/>
  <c r="N36" i="1" s="1"/>
  <c r="O54" i="1"/>
  <c r="O32" i="1"/>
  <c r="O19" i="1"/>
  <c r="O36" i="1" s="1"/>
  <c r="P19" i="1"/>
  <c r="P36" i="1" s="1"/>
  <c r="P32" i="1"/>
  <c r="P54" i="1"/>
  <c r="J32" i="1"/>
  <c r="J19" i="1"/>
  <c r="J36" i="1" s="1"/>
  <c r="J54" i="1"/>
  <c r="M68" i="4"/>
  <c r="N60" i="4"/>
  <c r="P46" i="4"/>
  <c r="P47" i="4" s="1"/>
  <c r="O49" i="4"/>
  <c r="O57" i="4" s="1"/>
  <c r="N15" i="2"/>
  <c r="O11" i="2" s="1"/>
  <c r="S12" i="1"/>
  <c r="R12" i="1"/>
  <c r="R16" i="1"/>
  <c r="S32" i="1" l="1"/>
  <c r="R32" i="1"/>
  <c r="I36" i="1"/>
  <c r="G36" i="1"/>
  <c r="R19" i="1"/>
  <c r="R78" i="1" s="1"/>
  <c r="L20" i="1"/>
  <c r="E36" i="1"/>
  <c r="Q37" i="1" s="1"/>
  <c r="O20" i="1"/>
  <c r="K20" i="1"/>
  <c r="J20" i="1"/>
  <c r="G20" i="1"/>
  <c r="E20" i="1"/>
  <c r="I20" i="1"/>
  <c r="H20" i="1"/>
  <c r="F20" i="1"/>
  <c r="S19" i="1"/>
  <c r="S78" i="1" s="1"/>
  <c r="Q20" i="1"/>
  <c r="D8" i="3" s="1"/>
  <c r="P20" i="1"/>
  <c r="M20" i="1"/>
  <c r="N20" i="1"/>
  <c r="R54" i="1"/>
  <c r="S54" i="1"/>
  <c r="O60" i="4"/>
  <c r="Q46" i="4"/>
  <c r="Q47" i="4" s="1"/>
  <c r="P49" i="4"/>
  <c r="P57" i="4" s="1"/>
  <c r="P60" i="4" s="1"/>
  <c r="N62" i="4"/>
  <c r="N66" i="4"/>
  <c r="M71" i="4"/>
  <c r="O14" i="2"/>
  <c r="O25" i="2" s="1"/>
  <c r="O191" i="2" s="1"/>
  <c r="O15" i="2"/>
  <c r="P11" i="2" s="1"/>
  <c r="H37" i="1" l="1"/>
  <c r="G37" i="1"/>
  <c r="F37" i="1"/>
  <c r="I37" i="1"/>
  <c r="E37" i="1"/>
  <c r="P37" i="1"/>
  <c r="R36" i="1"/>
  <c r="E40" i="1"/>
  <c r="M37" i="1"/>
  <c r="S36" i="1"/>
  <c r="N37" i="1"/>
  <c r="K37" i="1"/>
  <c r="O37" i="1"/>
  <c r="J37" i="1"/>
  <c r="L37" i="1"/>
  <c r="N68" i="4"/>
  <c r="N71" i="4" s="1"/>
  <c r="P66" i="4"/>
  <c r="P68" i="4" s="1"/>
  <c r="P62" i="4"/>
  <c r="Q49" i="4"/>
  <c r="S47" i="4"/>
  <c r="R47" i="4"/>
  <c r="O66" i="4"/>
  <c r="O68" i="4" s="1"/>
  <c r="O62" i="4"/>
  <c r="M74" i="4"/>
  <c r="P14" i="2"/>
  <c r="P25" i="2" s="1"/>
  <c r="P191" i="2" s="1"/>
  <c r="P15" i="2"/>
  <c r="Q11" i="2" s="1"/>
  <c r="E42" i="1" l="1"/>
  <c r="F39" i="1"/>
  <c r="F40" i="1" s="1"/>
  <c r="G39" i="1" s="1"/>
  <c r="G40" i="1" s="1"/>
  <c r="H39" i="1" s="1"/>
  <c r="H40" i="1" s="1"/>
  <c r="I39" i="1" s="1"/>
  <c r="I40" i="1" s="1"/>
  <c r="J39" i="1" s="1"/>
  <c r="J40" i="1" s="1"/>
  <c r="K39" i="1" s="1"/>
  <c r="K40" i="1" s="1"/>
  <c r="L39" i="1" s="1"/>
  <c r="L40" i="1" s="1"/>
  <c r="M39" i="1" s="1"/>
  <c r="M40" i="1" s="1"/>
  <c r="N39" i="1" s="1"/>
  <c r="N40" i="1" s="1"/>
  <c r="O39" i="1" s="1"/>
  <c r="O40" i="1" s="1"/>
  <c r="P39" i="1" s="1"/>
  <c r="P40" i="1" s="1"/>
  <c r="Q39" i="1" s="1"/>
  <c r="Q40" i="1" s="1"/>
  <c r="Q42" i="1" s="1"/>
  <c r="P71" i="4"/>
  <c r="P74" i="4" s="1"/>
  <c r="N74" i="4"/>
  <c r="N75" i="4" s="1"/>
  <c r="Q57" i="4"/>
  <c r="S49" i="4"/>
  <c r="R49" i="4"/>
  <c r="M75" i="4"/>
  <c r="O71" i="4"/>
  <c r="O74" i="4" s="1"/>
  <c r="Q14" i="2"/>
  <c r="Q25" i="2" s="1"/>
  <c r="Q191" i="2" s="1"/>
  <c r="G42" i="1" l="1"/>
  <c r="S40" i="1"/>
  <c r="N42" i="1"/>
  <c r="H42" i="1"/>
  <c r="J42" i="1"/>
  <c r="J45" i="1" s="1"/>
  <c r="Q45" i="1"/>
  <c r="L42" i="1"/>
  <c r="F42" i="1"/>
  <c r="K42" i="1"/>
  <c r="I42" i="1"/>
  <c r="O42" i="1"/>
  <c r="O45" i="1" s="1"/>
  <c r="M42" i="1"/>
  <c r="E45" i="1"/>
  <c r="E47" i="1" s="1"/>
  <c r="R40" i="1"/>
  <c r="P42" i="1"/>
  <c r="P45" i="1" s="1"/>
  <c r="P75" i="4"/>
  <c r="R57" i="4"/>
  <c r="S57" i="4"/>
  <c r="Q60" i="4"/>
  <c r="O75" i="4"/>
  <c r="Q15" i="2"/>
  <c r="M45" i="1" l="1"/>
  <c r="I45" i="1"/>
  <c r="K45" i="1"/>
  <c r="F45" i="1"/>
  <c r="L45" i="1"/>
  <c r="H45" i="1"/>
  <c r="E49" i="1"/>
  <c r="E57" i="1" s="1"/>
  <c r="E60" i="1" s="1"/>
  <c r="F46" i="1"/>
  <c r="N45" i="1"/>
  <c r="S42" i="1"/>
  <c r="R42" i="1"/>
  <c r="G45" i="1"/>
  <c r="Q66" i="4"/>
  <c r="Q62" i="4"/>
  <c r="R60" i="4"/>
  <c r="S60" i="4"/>
  <c r="S45" i="1" l="1"/>
  <c r="E62" i="1"/>
  <c r="E66" i="1"/>
  <c r="E68" i="1" s="1"/>
  <c r="F47" i="1"/>
  <c r="R45" i="1"/>
  <c r="S62" i="4"/>
  <c r="R62" i="4"/>
  <c r="Q68" i="4"/>
  <c r="Q71" i="4" s="1"/>
  <c r="S66" i="4"/>
  <c r="R66" i="4"/>
  <c r="E71" i="1" l="1"/>
  <c r="G46" i="1"/>
  <c r="G47" i="1" s="1"/>
  <c r="F49" i="1"/>
  <c r="S68" i="4"/>
  <c r="R68" i="4"/>
  <c r="Q74" i="4"/>
  <c r="R71" i="4"/>
  <c r="R79" i="4" s="1"/>
  <c r="S71" i="4"/>
  <c r="E74" i="1" l="1"/>
  <c r="E75" i="1" s="1"/>
  <c r="F57" i="1"/>
  <c r="G49" i="1"/>
  <c r="G57" i="1" s="1"/>
  <c r="G60" i="1" s="1"/>
  <c r="H46" i="1"/>
  <c r="H47" i="1" s="1"/>
  <c r="U28" i="4"/>
  <c r="U32" i="4"/>
  <c r="U42" i="4"/>
  <c r="U57" i="4"/>
  <c r="R74" i="4"/>
  <c r="R80" i="4" s="1"/>
  <c r="S74" i="4"/>
  <c r="S80" i="4" s="1"/>
  <c r="Q75" i="4"/>
  <c r="U62" i="4"/>
  <c r="U68" i="4"/>
  <c r="G62" i="1" l="1"/>
  <c r="G66" i="1"/>
  <c r="G68" i="1" s="1"/>
  <c r="H49" i="1"/>
  <c r="H57" i="1" s="1"/>
  <c r="H60" i="1" s="1"/>
  <c r="I46" i="1"/>
  <c r="I47" i="1" s="1"/>
  <c r="F60" i="1"/>
  <c r="G71" i="1" l="1"/>
  <c r="G74" i="1" s="1"/>
  <c r="F62" i="1"/>
  <c r="F66" i="1"/>
  <c r="J46" i="1"/>
  <c r="J47" i="1" s="1"/>
  <c r="I49" i="1"/>
  <c r="H66" i="1"/>
  <c r="H68" i="1" s="1"/>
  <c r="H62" i="1"/>
  <c r="H71" i="1"/>
  <c r="H74" i="1" s="1"/>
  <c r="I57" i="1" l="1"/>
  <c r="K46" i="1"/>
  <c r="K47" i="1" s="1"/>
  <c r="J49" i="1"/>
  <c r="J57" i="1" s="1"/>
  <c r="J60" i="1" s="1"/>
  <c r="F68" i="1"/>
  <c r="J66" i="1" l="1"/>
  <c r="J68" i="1" s="1"/>
  <c r="J62" i="1"/>
  <c r="K49" i="1"/>
  <c r="K57" i="1" s="1"/>
  <c r="L46" i="1"/>
  <c r="L47" i="1" s="1"/>
  <c r="F71" i="1"/>
  <c r="I60" i="1"/>
  <c r="J71" i="1" l="1"/>
  <c r="J74" i="1" s="1"/>
  <c r="I66" i="1"/>
  <c r="I62" i="1"/>
  <c r="F74" i="1"/>
  <c r="M46" i="1"/>
  <c r="M47" i="1" s="1"/>
  <c r="L49" i="1"/>
  <c r="K60" i="1"/>
  <c r="L57" i="1" l="1"/>
  <c r="N46" i="1"/>
  <c r="N47" i="1" s="1"/>
  <c r="M49" i="1"/>
  <c r="M57" i="1" s="1"/>
  <c r="M60" i="1" s="1"/>
  <c r="F75" i="1"/>
  <c r="H75" i="1"/>
  <c r="G75" i="1"/>
  <c r="K66" i="1"/>
  <c r="K68" i="1" s="1"/>
  <c r="K62" i="1"/>
  <c r="I68" i="1"/>
  <c r="I71" i="1" s="1"/>
  <c r="M62" i="1" l="1"/>
  <c r="M66" i="1"/>
  <c r="M68" i="1" s="1"/>
  <c r="M71" i="1"/>
  <c r="M74" i="1" s="1"/>
  <c r="O46" i="1"/>
  <c r="O47" i="1" s="1"/>
  <c r="N49" i="1"/>
  <c r="N57" i="1" s="1"/>
  <c r="N60" i="1" s="1"/>
  <c r="I74" i="1"/>
  <c r="K71" i="1"/>
  <c r="K74" i="1" s="1"/>
  <c r="L60" i="1"/>
  <c r="N62" i="1" l="1"/>
  <c r="N66" i="1"/>
  <c r="N68" i="1" s="1"/>
  <c r="L66" i="1"/>
  <c r="L62" i="1"/>
  <c r="P46" i="1"/>
  <c r="P47" i="1" s="1"/>
  <c r="O49" i="1"/>
  <c r="O57" i="1" s="1"/>
  <c r="O60" i="1" s="1"/>
  <c r="K75" i="1"/>
  <c r="J75" i="1"/>
  <c r="I75" i="1"/>
  <c r="N71" i="1" l="1"/>
  <c r="N74" i="1" s="1"/>
  <c r="O62" i="1"/>
  <c r="O66" i="1"/>
  <c r="O68" i="1" s="1"/>
  <c r="Q46" i="1"/>
  <c r="Q47" i="1" s="1"/>
  <c r="P49" i="1"/>
  <c r="P57" i="1" s="1"/>
  <c r="P60" i="1" s="1"/>
  <c r="L68" i="1"/>
  <c r="O71" i="1" l="1"/>
  <c r="O74" i="1" s="1"/>
  <c r="L71" i="1"/>
  <c r="P62" i="1"/>
  <c r="P66" i="1"/>
  <c r="Q49" i="1"/>
  <c r="S47" i="1"/>
  <c r="R47" i="1"/>
  <c r="Q57" i="1" l="1"/>
  <c r="R49" i="1"/>
  <c r="S49" i="1"/>
  <c r="P68" i="1"/>
  <c r="P71" i="1"/>
  <c r="P74" i="1" s="1"/>
  <c r="L74" i="1"/>
  <c r="M75" i="1" l="1"/>
  <c r="L75" i="1"/>
  <c r="O75" i="1"/>
  <c r="P75" i="1"/>
  <c r="N75" i="1"/>
  <c r="Q60" i="1"/>
  <c r="S57" i="1"/>
  <c r="R57" i="1"/>
  <c r="Q62" i="1" l="1"/>
  <c r="Q66" i="1"/>
  <c r="R60" i="1"/>
  <c r="S60" i="1"/>
  <c r="Q68" i="1" l="1"/>
  <c r="S66" i="1"/>
  <c r="R66" i="1"/>
  <c r="R62" i="1"/>
  <c r="S62" i="1"/>
  <c r="Q71" i="1"/>
  <c r="S71" i="1" s="1"/>
  <c r="Q74" i="1" l="1"/>
  <c r="R71" i="1"/>
  <c r="R79" i="1" s="1"/>
  <c r="U62" i="1"/>
  <c r="R68" i="1"/>
  <c r="S68" i="1"/>
  <c r="U68" i="1" l="1"/>
  <c r="U28" i="1"/>
  <c r="U32" i="1"/>
  <c r="U42" i="1"/>
  <c r="U57" i="1"/>
  <c r="Q75" i="1"/>
  <c r="S74" i="1"/>
  <c r="S80" i="1" s="1"/>
  <c r="R74" i="1"/>
  <c r="R80" i="1" s="1"/>
</calcChain>
</file>

<file path=xl/sharedStrings.xml><?xml version="1.0" encoding="utf-8"?>
<sst xmlns="http://schemas.openxmlformats.org/spreadsheetml/2006/main" count="573" uniqueCount="140">
  <si>
    <t>Nom</t>
  </si>
  <si>
    <t>Unité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</si>
  <si>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</si>
  <si>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</si>
  <si>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</si>
  <si>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</si>
  <si>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</si>
  <si>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</si>
  <si>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</si>
  <si>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</si>
  <si>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</si>
  <si>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</si>
  <si>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</si>
  <si>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SOMME</t>
  </si>
  <si>
    <t>VAN</t>
  </si>
  <si>
    <t>I. PRODUCTION</t>
  </si>
  <si>
    <t>Production d'or</t>
  </si>
  <si>
    <t>oz</t>
  </si>
  <si>
    <t>Cours de l'or</t>
  </si>
  <si>
    <t>USD/oz</t>
  </si>
  <si>
    <t>Chiffre d'affaires</t>
  </si>
  <si>
    <t>USD</t>
  </si>
  <si>
    <t>Année 12</t>
  </si>
  <si>
    <t>Année 13</t>
  </si>
  <si>
    <t>Année 14</t>
  </si>
  <si>
    <t>Année 15</t>
  </si>
  <si>
    <t>II. DEPENSES D'INVESTISSEMENT (CAPEX)</t>
  </si>
  <si>
    <t>Coûts des construction industrielles</t>
  </si>
  <si>
    <t>Coûts des biens d'équipement</t>
  </si>
  <si>
    <t>Coûts de réhabilitation du site</t>
  </si>
  <si>
    <t>Total des dépenses d'investissement</t>
  </si>
  <si>
    <t>III. COÛTS D'EXPLOITATION (OPEX)</t>
  </si>
  <si>
    <t>Coût moyen d'exploitation</t>
  </si>
  <si>
    <t>Total des coûts d'exploitation</t>
  </si>
  <si>
    <t>Durée restante maximum</t>
  </si>
  <si>
    <t>Années</t>
  </si>
  <si>
    <t>I. AMORTISSEMENTS DES CONSTRUCTIONS INDUSTRIELLES</t>
  </si>
  <si>
    <t>Durée d'amortissement linéaire</t>
  </si>
  <si>
    <t>Coefficient d'amortissement dégressif</t>
  </si>
  <si>
    <t>Coefficient</t>
  </si>
  <si>
    <t>II. AMORTISSEMENTS DES BIENS D'EQUIPEMENT</t>
  </si>
  <si>
    <t>Immobilisations de l'année A1</t>
  </si>
  <si>
    <t>Durée restante</t>
  </si>
  <si>
    <t>Base amortissable</t>
  </si>
  <si>
    <t>Inverse de la durée restante</t>
  </si>
  <si>
    <t>%</t>
  </si>
  <si>
    <t>Taux dégressif</t>
  </si>
  <si>
    <t>Charge d'amortissement</t>
  </si>
  <si>
    <t>Amortissement restant</t>
  </si>
  <si>
    <t>Immobilisations de l'année A2</t>
  </si>
  <si>
    <t>Amortissements des constructions industrielles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</si>
  <si>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</si>
  <si>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</si>
  <si>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</si>
  <si>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</si>
  <si>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</si>
  <si>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</si>
  <si>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</si>
  <si>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</si>
  <si>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</si>
  <si>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Immobilisations de l'année A12</t>
  </si>
  <si>
    <t>Immobilisations de l'année A13</t>
  </si>
  <si>
    <t>Immobilisations de l'année A14</t>
  </si>
  <si>
    <t>Immobilisations de l'année A15</t>
  </si>
  <si>
    <t>III. AMORTISSEMENTS DES DEPENSES DE REHABILITATION</t>
  </si>
  <si>
    <t>Amortissements des dépenses de réhabilitation</t>
  </si>
  <si>
    <t>IV. CHARGES FINANCIERES</t>
  </si>
  <si>
    <t>Emprunt</t>
  </si>
  <si>
    <t>Durée de l'emprunt</t>
  </si>
  <si>
    <t>Taux d'intérêt de l'emprunt</t>
  </si>
  <si>
    <t>Régle de sous-capitalisation</t>
  </si>
  <si>
    <t>Taux d'intérêt légal maximum</t>
  </si>
  <si>
    <t>Emprunt de l'année A1</t>
  </si>
  <si>
    <t>Emprunt restant</t>
  </si>
  <si>
    <t>Remboursement du principal</t>
  </si>
  <si>
    <t>Intérêts versés</t>
  </si>
  <si>
    <t>Intérêts déductibles</t>
  </si>
  <si>
    <t>Emprunt de l'année A2</t>
  </si>
  <si>
    <t>Total des intérêts versés</t>
  </si>
  <si>
    <t>Total des intérêts déductibles</t>
  </si>
  <si>
    <t>IV. FLUX NETS DE TRESORERIE AVANT IMPÔTS</t>
  </si>
  <si>
    <t>Flux nets de trésorerie avant impôts</t>
  </si>
  <si>
    <t>Taux de rendement interne avant impôts</t>
  </si>
  <si>
    <t>V. DROITS FIXES</t>
  </si>
  <si>
    <t>Droits fixes</t>
  </si>
  <si>
    <t>VI. REDEVANCE SUPERFICAIRE</t>
  </si>
  <si>
    <t>Superficie de la mine</t>
  </si>
  <si>
    <t>km²</t>
  </si>
  <si>
    <t>Montant de la redevance superfiaire</t>
  </si>
  <si>
    <t>USD/km²</t>
  </si>
  <si>
    <t>Redevance superficiaire</t>
  </si>
  <si>
    <t>VII. REDEVANCE MINIERE</t>
  </si>
  <si>
    <t>Taux de la redevance minière</t>
  </si>
  <si>
    <t>Redevance minière</t>
  </si>
  <si>
    <t>+. LA TAXE SUR LA RENTE</t>
  </si>
  <si>
    <t>Taux de revalorisation des pertes</t>
  </si>
  <si>
    <t>Flux nets de trésorerie revalorisés</t>
  </si>
  <si>
    <t>Taux de rendement interne</t>
  </si>
  <si>
    <t>Seuil de déclenchement de la taxe sur la rente</t>
  </si>
  <si>
    <t>Report des pertes revalorisées</t>
  </si>
  <si>
    <t>Flux nets de trésorerie après report des pertes revalorisées</t>
  </si>
  <si>
    <t>Taux de la taxe sur la rente</t>
  </si>
  <si>
    <t>Taxe sur la rente</t>
  </si>
  <si>
    <t>VIII. IMPÔT SUR LES SOCIETES (IS)</t>
  </si>
  <si>
    <t>Bénéfice avant report des pertes</t>
  </si>
  <si>
    <t>Report des pertes</t>
  </si>
  <si>
    <t>Bénéfice fiscal</t>
  </si>
  <si>
    <t>Taux de l'impôt sur les sociétés</t>
  </si>
  <si>
    <t>Impôt sur les sociétés</t>
  </si>
  <si>
    <t>X. IMPÔT SUR LES SOCIETES (IS) / IMPÔT MINIMUM FORFAITAIRE (IMF)</t>
  </si>
  <si>
    <t>Impôt sur les sociétés / Impôt minimum forfaitaire</t>
  </si>
  <si>
    <t>IX. IMPÔT MINIMUM FORFAITAIRE (IMF)</t>
  </si>
  <si>
    <t>Montant minimum</t>
  </si>
  <si>
    <t>Taux de l'impôt minimum forfaitaire</t>
  </si>
  <si>
    <t>Impôt minimum forfaitaire</t>
  </si>
  <si>
    <t>XI. PARTICIPATION DE L'ETAT</t>
  </si>
  <si>
    <t>Bénéfice distribuable</t>
  </si>
  <si>
    <t>Taux de la participation de l'Etat</t>
  </si>
  <si>
    <t>Participation de l'Etat</t>
  </si>
  <si>
    <t>XII. IMPÔT SUR LE REVENU DES VALEURS MOBILIERS (IRVM)</t>
  </si>
  <si>
    <t>Part distribuée aux actionnaires privés</t>
  </si>
  <si>
    <t>Dividendes distribués aux actionnaires privés</t>
  </si>
  <si>
    <t>Taux de l'impöt sur le revenu des valeurs mobilières</t>
  </si>
  <si>
    <t>Impöt sur le revenu des valeurs mobilières</t>
  </si>
  <si>
    <t>XIII. PRELEVEMENTS PUBLICS</t>
  </si>
  <si>
    <t>Total des prélèvements publics</t>
  </si>
  <si>
    <t>XIV. FLUX NETS DE TRESORERIE APRES IMPÔTS</t>
  </si>
  <si>
    <t>Flux nets de trésorerie après impôts</t>
  </si>
  <si>
    <t>Taux de rendement interne après impôts</t>
  </si>
  <si>
    <t>XV. PARTAGE DE LA RENTE MINIERE</t>
  </si>
  <si>
    <t>Rente minière</t>
  </si>
  <si>
    <t>Part de l'Etat</t>
  </si>
  <si>
    <t>Part de l'investisseur</t>
  </si>
  <si>
    <t>Ligne</t>
  </si>
  <si>
    <t>Variable</t>
  </si>
  <si>
    <t>Valeur</t>
  </si>
  <si>
    <t>Chiffre d'affaire (CA)</t>
  </si>
  <si>
    <t>Dépenses d'investissement (CAPEX)</t>
  </si>
  <si>
    <t>Dépenses d'exploitations (OPEX)</t>
  </si>
  <si>
    <t>Taux de rendement interne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</si>
</sst>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theme="0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3" fillId="4" borderId="0" xfId="0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3" fontId="3" fillId="6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9" fontId="3" fillId="6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9" fontId="3" fillId="7" borderId="0" xfId="0" applyNumberFormat="1" applyFont="1" applyFill="1" applyAlignment="1">
      <alignment horizontal="right" vertical="center"/>
    </xf>
    <xf numFmtId="9" fontId="3" fillId="5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9" fontId="3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3" fontId="3" fillId="8" borderId="0" xfId="0" applyNumberFormat="1" applyFont="1" applyFill="1" applyAlignment="1">
      <alignment horizontal="right" vertical="center"/>
    </xf>
    <xf numFmtId="165" fontId="3" fillId="8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3" fillId="2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3" fontId="5" fillId="0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164" fontId="3" fillId="7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0" fillId="0" borderId="0" xfId="0" applyNumberFormat="1"/>
    <xf numFmtId="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showGridLines="0" zoomScale="87" workbookViewId="0">
      <pane xSplit="2" ySplit="1" topLeftCell="Q7" activePane="bottomRight" state="frozen"/>
      <selection pane="topRight" activeCell="C1" sqref="C1"/>
      <selection pane="bottomLeft" activeCell="A2" sqref="A2"/>
      <selection pane="bottomRight" activeCell="Q20" sqref="Q20"/>
    </sheetView>
  </sheetViews>
  <sheetFormatPr baseColWidth="10" defaultColWidth="10.109375" defaultRowHeight="14.4" x14ac:dyDescent="0.3"/>
  <cols>
    <col min="1" max="1" width="60.109375" style="6" bestFit="1" customWidth="1"/>
    <col min="2" max="17" width="10.109375" style="6"/>
    <col min="18" max="19" width="14.21875" style="6" customWidth="1"/>
    <col min="20" max="20" width="10.109375" style="6"/>
    <col min="21" max="21" width="10.109375" style="4"/>
    <col min="22" max="16384" width="10.109375" style="6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13</v>
      </c>
      <c r="S1" s="5" t="s">
        <v>14</v>
      </c>
    </row>
    <row r="2" spans="1:19" x14ac:dyDescent="0.3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22.2" customHeight="1" x14ac:dyDescent="0.3">
      <c r="A3" s="10" t="s">
        <v>15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3">
      <c r="A4" s="13" t="s">
        <v>16</v>
      </c>
      <c r="B4" s="14" t="s">
        <v>17</v>
      </c>
      <c r="C4" s="15"/>
      <c r="D4" s="15"/>
      <c r="E4" s="15">
        <v>300000</v>
      </c>
      <c r="F4" s="15">
        <v>300000</v>
      </c>
      <c r="G4" s="15">
        <v>300000</v>
      </c>
      <c r="H4" s="15">
        <v>300000</v>
      </c>
      <c r="I4" s="15">
        <v>300000</v>
      </c>
      <c r="J4" s="15">
        <v>300000</v>
      </c>
      <c r="K4" s="15">
        <v>300000</v>
      </c>
      <c r="L4" s="15">
        <v>300000</v>
      </c>
      <c r="M4" s="15">
        <v>300000</v>
      </c>
      <c r="N4" s="15">
        <v>300000</v>
      </c>
      <c r="O4" s="15">
        <v>300000</v>
      </c>
      <c r="P4" s="15">
        <v>300000</v>
      </c>
      <c r="Q4" s="15"/>
      <c r="R4" s="16">
        <f>SUM($C4:$Q4)</f>
        <v>3600000</v>
      </c>
      <c r="S4" s="16"/>
    </row>
    <row r="5" spans="1:19" x14ac:dyDescent="0.3">
      <c r="A5" s="13" t="s">
        <v>18</v>
      </c>
      <c r="B5" s="14" t="s">
        <v>19</v>
      </c>
      <c r="C5" s="15"/>
      <c r="D5" s="15"/>
      <c r="E5" s="15">
        <v>1600</v>
      </c>
      <c r="F5" s="15">
        <v>1300</v>
      </c>
      <c r="G5" s="15">
        <v>1300</v>
      </c>
      <c r="H5" s="15">
        <v>1300</v>
      </c>
      <c r="I5" s="15">
        <v>1300</v>
      </c>
      <c r="J5" s="15">
        <v>1300</v>
      </c>
      <c r="K5" s="15">
        <v>1300</v>
      </c>
      <c r="L5" s="15">
        <v>1300</v>
      </c>
      <c r="M5" s="15">
        <v>1300</v>
      </c>
      <c r="N5" s="15">
        <v>1300</v>
      </c>
      <c r="O5" s="15">
        <v>1300</v>
      </c>
      <c r="P5" s="15">
        <v>1300</v>
      </c>
      <c r="Q5" s="15"/>
      <c r="R5" s="16"/>
      <c r="S5" s="16"/>
    </row>
    <row r="6" spans="1:19" x14ac:dyDescent="0.3">
      <c r="A6" s="13" t="s">
        <v>20</v>
      </c>
      <c r="B6" s="14" t="s">
        <v>21</v>
      </c>
      <c r="C6" s="17">
        <f>C$4*C$5</f>
        <v>0</v>
      </c>
      <c r="D6" s="17">
        <f t="shared" ref="D6:Q6" si="0">D$4*D$5</f>
        <v>0</v>
      </c>
      <c r="E6" s="17">
        <f t="shared" si="0"/>
        <v>480000000</v>
      </c>
      <c r="F6" s="17">
        <f>F$4*F$5</f>
        <v>390000000</v>
      </c>
      <c r="G6" s="17">
        <f t="shared" si="0"/>
        <v>390000000</v>
      </c>
      <c r="H6" s="17">
        <f t="shared" si="0"/>
        <v>390000000</v>
      </c>
      <c r="I6" s="17">
        <f t="shared" si="0"/>
        <v>390000000</v>
      </c>
      <c r="J6" s="17">
        <f t="shared" si="0"/>
        <v>390000000</v>
      </c>
      <c r="K6" s="17">
        <f t="shared" si="0"/>
        <v>390000000</v>
      </c>
      <c r="L6" s="17">
        <f t="shared" si="0"/>
        <v>390000000</v>
      </c>
      <c r="M6" s="17">
        <f t="shared" si="0"/>
        <v>390000000</v>
      </c>
      <c r="N6" s="17">
        <f t="shared" si="0"/>
        <v>390000000</v>
      </c>
      <c r="O6" s="17">
        <f t="shared" si="0"/>
        <v>390000000</v>
      </c>
      <c r="P6" s="17">
        <f t="shared" si="0"/>
        <v>390000000</v>
      </c>
      <c r="Q6" s="17">
        <f t="shared" si="0"/>
        <v>0</v>
      </c>
      <c r="R6" s="17">
        <f>SUM($C6:$Q6)</f>
        <v>4770000000</v>
      </c>
      <c r="S6" s="17">
        <f>$C6+NPV(10%,$D6:$Q6)</f>
        <v>2490143629.7707171</v>
      </c>
    </row>
    <row r="8" spans="1:19" ht="22.8" customHeight="1" x14ac:dyDescent="0.3">
      <c r="A8" s="10" t="s">
        <v>26</v>
      </c>
      <c r="B8" s="1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x14ac:dyDescent="0.3">
      <c r="A9" s="13" t="s">
        <v>27</v>
      </c>
      <c r="B9" s="14" t="s">
        <v>21</v>
      </c>
      <c r="C9" s="15">
        <v>50000000</v>
      </c>
      <c r="D9" s="15">
        <v>150000000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>
        <f>SUM($C9:$Q9)</f>
        <v>200000000</v>
      </c>
      <c r="S9" s="16">
        <f>$C9+NPV(10%,$D9:$Q9)</f>
        <v>186363636.36363634</v>
      </c>
    </row>
    <row r="10" spans="1:19" x14ac:dyDescent="0.3">
      <c r="A10" s="13" t="s">
        <v>28</v>
      </c>
      <c r="B10" s="14" t="s">
        <v>21</v>
      </c>
      <c r="C10" s="15"/>
      <c r="D10" s="15">
        <v>80000000</v>
      </c>
      <c r="E10" s="15">
        <v>10000000</v>
      </c>
      <c r="F10" s="15">
        <v>10000000</v>
      </c>
      <c r="G10" s="15">
        <v>10000000</v>
      </c>
      <c r="H10" s="15">
        <v>10000000</v>
      </c>
      <c r="I10" s="15">
        <v>10000000</v>
      </c>
      <c r="J10" s="15">
        <v>10000000</v>
      </c>
      <c r="K10" s="15">
        <v>10000000</v>
      </c>
      <c r="L10" s="15">
        <v>10000000</v>
      </c>
      <c r="M10" s="15">
        <v>10000000</v>
      </c>
      <c r="N10" s="15">
        <v>10000000</v>
      </c>
      <c r="O10" s="15">
        <v>10000000</v>
      </c>
      <c r="P10" s="15">
        <v>10000000</v>
      </c>
      <c r="Q10" s="15"/>
      <c r="R10" s="16">
        <f>SUM($C10:$Q10)</f>
        <v>200000000</v>
      </c>
      <c r="S10" s="16">
        <f>$C10+NPV(10%,$D10:$Q10)</f>
        <v>134669925.66269481</v>
      </c>
    </row>
    <row r="11" spans="1:19" x14ac:dyDescent="0.3">
      <c r="A11" s="13" t="s">
        <v>29</v>
      </c>
      <c r="B11" s="14" t="s">
        <v>21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>
        <v>30000000</v>
      </c>
      <c r="R11" s="16">
        <f>SUM($C11:$Q11)</f>
        <v>30000000</v>
      </c>
      <c r="S11" s="16">
        <f>$C11+NPV(10%,$D11:$Q11)</f>
        <v>27272727.27272727</v>
      </c>
    </row>
    <row r="12" spans="1:19" x14ac:dyDescent="0.3">
      <c r="A12" s="13" t="s">
        <v>30</v>
      </c>
      <c r="B12" s="14" t="s">
        <v>21</v>
      </c>
      <c r="C12" s="17">
        <f>SUM(C$9:C$11)</f>
        <v>50000000</v>
      </c>
      <c r="D12" s="17">
        <f>SUM(D$9:D$11)</f>
        <v>230000000</v>
      </c>
      <c r="E12" s="17">
        <f>SUM(E$9:E$11)</f>
        <v>10000000</v>
      </c>
      <c r="F12" s="17">
        <f>SUM(F$9:F$11)</f>
        <v>10000000</v>
      </c>
      <c r="G12" s="17">
        <f t="shared" ref="G12:Q12" si="1">SUM(G$9:G$11)</f>
        <v>10000000</v>
      </c>
      <c r="H12" s="17">
        <f t="shared" si="1"/>
        <v>10000000</v>
      </c>
      <c r="I12" s="17">
        <f t="shared" si="1"/>
        <v>10000000</v>
      </c>
      <c r="J12" s="17">
        <f t="shared" si="1"/>
        <v>10000000</v>
      </c>
      <c r="K12" s="17">
        <f t="shared" si="1"/>
        <v>10000000</v>
      </c>
      <c r="L12" s="17">
        <f t="shared" si="1"/>
        <v>10000000</v>
      </c>
      <c r="M12" s="17">
        <f t="shared" si="1"/>
        <v>10000000</v>
      </c>
      <c r="N12" s="17">
        <f t="shared" si="1"/>
        <v>10000000</v>
      </c>
      <c r="O12" s="17">
        <f t="shared" si="1"/>
        <v>10000000</v>
      </c>
      <c r="P12" s="17">
        <f t="shared" si="1"/>
        <v>10000000</v>
      </c>
      <c r="Q12" s="17">
        <f t="shared" si="1"/>
        <v>30000000</v>
      </c>
      <c r="R12" s="17">
        <f>SUM($C12:$Q12)</f>
        <v>430000000</v>
      </c>
      <c r="S12" s="17">
        <f>$C12+NPV(10%,$D12:$Q12)</f>
        <v>328933499.65551353</v>
      </c>
    </row>
    <row r="13" spans="1:19" x14ac:dyDescent="0.3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30.6" customHeight="1" x14ac:dyDescent="0.3">
      <c r="A14" s="10" t="s">
        <v>31</v>
      </c>
      <c r="B14" s="11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x14ac:dyDescent="0.3">
      <c r="A15" s="13" t="s">
        <v>32</v>
      </c>
      <c r="B15" s="14" t="s">
        <v>19</v>
      </c>
      <c r="C15" s="15"/>
      <c r="D15" s="15"/>
      <c r="E15" s="15">
        <v>800</v>
      </c>
      <c r="F15" s="15">
        <v>800</v>
      </c>
      <c r="G15" s="15">
        <v>800</v>
      </c>
      <c r="H15" s="15">
        <v>800</v>
      </c>
      <c r="I15" s="15">
        <v>800</v>
      </c>
      <c r="J15" s="15">
        <v>800</v>
      </c>
      <c r="K15" s="15">
        <v>800</v>
      </c>
      <c r="L15" s="15">
        <v>800</v>
      </c>
      <c r="M15" s="15">
        <v>800</v>
      </c>
      <c r="N15" s="15">
        <v>800</v>
      </c>
      <c r="O15" s="15">
        <v>800</v>
      </c>
      <c r="P15" s="15">
        <v>800</v>
      </c>
      <c r="Q15" s="15"/>
      <c r="R15" s="19"/>
      <c r="S15" s="19"/>
    </row>
    <row r="16" spans="1:19" x14ac:dyDescent="0.3">
      <c r="A16" s="13" t="s">
        <v>33</v>
      </c>
      <c r="B16" s="14" t="s">
        <v>21</v>
      </c>
      <c r="C16" s="17">
        <f>C$4*C$15</f>
        <v>0</v>
      </c>
      <c r="D16" s="17">
        <f t="shared" ref="D16:Q16" si="2">D$4*D$15</f>
        <v>0</v>
      </c>
      <c r="E16" s="17">
        <f>E$4*E$15</f>
        <v>240000000</v>
      </c>
      <c r="F16" s="17">
        <f>F$4*F$15</f>
        <v>240000000</v>
      </c>
      <c r="G16" s="17">
        <f t="shared" si="2"/>
        <v>240000000</v>
      </c>
      <c r="H16" s="17">
        <f t="shared" si="2"/>
        <v>240000000</v>
      </c>
      <c r="I16" s="17">
        <f t="shared" si="2"/>
        <v>240000000</v>
      </c>
      <c r="J16" s="17">
        <f t="shared" si="2"/>
        <v>240000000</v>
      </c>
      <c r="K16" s="17">
        <f t="shared" si="2"/>
        <v>240000000</v>
      </c>
      <c r="L16" s="17">
        <f t="shared" si="2"/>
        <v>240000000</v>
      </c>
      <c r="M16" s="17">
        <f t="shared" si="2"/>
        <v>240000000</v>
      </c>
      <c r="N16" s="17">
        <f t="shared" si="2"/>
        <v>240000000</v>
      </c>
      <c r="O16" s="17">
        <f t="shared" si="2"/>
        <v>240000000</v>
      </c>
      <c r="P16" s="17">
        <f t="shared" si="2"/>
        <v>240000000</v>
      </c>
      <c r="Q16" s="17">
        <f t="shared" si="2"/>
        <v>0</v>
      </c>
      <c r="R16" s="17">
        <f>SUM($C16:$Q16)</f>
        <v>2880000000</v>
      </c>
      <c r="S16" s="17">
        <f>$C16+NPV(10%,$D16:$Q16)</f>
        <v>1486623670.4501297</v>
      </c>
    </row>
    <row r="18" spans="1:21" x14ac:dyDescent="0.3">
      <c r="A18" s="10" t="s">
        <v>80</v>
      </c>
      <c r="B18" s="1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21" x14ac:dyDescent="0.3">
      <c r="A19" s="13" t="s">
        <v>81</v>
      </c>
      <c r="B19" s="14" t="s">
        <v>21</v>
      </c>
      <c r="C19" s="17">
        <f>C$6-C$12-C$16</f>
        <v>-50000000</v>
      </c>
      <c r="D19" s="17">
        <f t="shared" ref="D19:Q19" si="3">D$6-D$12-D$16</f>
        <v>-230000000</v>
      </c>
      <c r="E19" s="17">
        <f>E$6-E$12-E$16</f>
        <v>230000000</v>
      </c>
      <c r="F19" s="17">
        <f t="shared" si="3"/>
        <v>140000000</v>
      </c>
      <c r="G19" s="17">
        <f>G$6-G$12-G$16</f>
        <v>140000000</v>
      </c>
      <c r="H19" s="17">
        <f>H$6-H$12-H$16</f>
        <v>140000000</v>
      </c>
      <c r="I19" s="17">
        <f t="shared" si="3"/>
        <v>140000000</v>
      </c>
      <c r="J19" s="17">
        <f t="shared" si="3"/>
        <v>140000000</v>
      </c>
      <c r="K19" s="17">
        <f t="shared" si="3"/>
        <v>140000000</v>
      </c>
      <c r="L19" s="17">
        <f t="shared" si="3"/>
        <v>140000000</v>
      </c>
      <c r="M19" s="17">
        <f t="shared" si="3"/>
        <v>140000000</v>
      </c>
      <c r="N19" s="17">
        <f t="shared" si="3"/>
        <v>140000000</v>
      </c>
      <c r="O19" s="17">
        <f t="shared" si="3"/>
        <v>140000000</v>
      </c>
      <c r="P19" s="17">
        <f t="shared" si="3"/>
        <v>140000000</v>
      </c>
      <c r="Q19" s="17">
        <f t="shared" si="3"/>
        <v>-30000000</v>
      </c>
      <c r="R19" s="17">
        <f>SUM($C19:$Q19)</f>
        <v>1460000000</v>
      </c>
      <c r="S19" s="17">
        <f>$C19+NPV(10%,$D19:$Q19)</f>
        <v>674586459.66507375</v>
      </c>
    </row>
    <row r="20" spans="1:21" x14ac:dyDescent="0.3">
      <c r="A20" s="13" t="s">
        <v>82</v>
      </c>
      <c r="B20" s="14" t="s">
        <v>45</v>
      </c>
      <c r="C20" s="21" t="str">
        <f>IF(ISNUMBER(IRR($C19:C19)),IF(IRR($C19:C19)&gt;0,IRR($C19:C19),""),"")</f>
        <v/>
      </c>
      <c r="D20" s="21" t="str">
        <f>IF(ISNUMBER(IRR($C19:D19)),IF(IRR($C19:D19)&gt;0,IRR($C19:D19),""),"")</f>
        <v/>
      </c>
      <c r="E20" s="21" t="str">
        <f>IF(ISNUMBER(IRR($C19:E19)),IF(IRR($C19:E19)&gt;0,IRR($C19:E19),""),"")</f>
        <v/>
      </c>
      <c r="F20" s="21">
        <f>IF(ISNUMBER(IRR($C19:F19)),IF(IRR($C19:F19)&gt;0,IRR($C19:F19),""),"")</f>
        <v>0.19701925378530727</v>
      </c>
      <c r="G20" s="21">
        <f>IF(ISNUMBER(IRR($C19:G19)),IF(IRR($C19:G19)&gt;0,IRR($C19:G19),""),"")</f>
        <v>0.36607214065743743</v>
      </c>
      <c r="H20" s="21">
        <f>IF(ISNUMBER(IRR($C19:H19)),IF(IRR($C19:H19)&gt;0,IRR($C19:H19),""),"")</f>
        <v>0.45069468288998182</v>
      </c>
      <c r="I20" s="21">
        <f>IF(ISNUMBER(IRR($C19:I19)),IF(IRR($C19:I19)&gt;0,IRR($C19:I19),""),"")</f>
        <v>0.4958887838196302</v>
      </c>
      <c r="J20" s="21">
        <f>IF(ISNUMBER(IRR($C19:J19)),IF(IRR($C19:J19)&gt;0,IRR($C19:J19),""),"")</f>
        <v>0.5212783629681188</v>
      </c>
      <c r="K20" s="21">
        <f>IF(ISNUMBER(IRR($C19:K19)),IF(IRR($C19:K19)&gt;0,IRR($C19:K19),""),"")</f>
        <v>0.53607948014004059</v>
      </c>
      <c r="L20" s="21">
        <f>IF(ISNUMBER(IRR($C19:L19)),IF(IRR($C19:L19)&gt;0,IRR($C19:L19),""),"")</f>
        <v>0.54494210512245278</v>
      </c>
      <c r="M20" s="21">
        <f>IF(ISNUMBER(IRR($C19:M19)),IF(IRR($C19:M19)&gt;0,IRR($C19:M19),""),"")</f>
        <v>0.55035268519780844</v>
      </c>
      <c r="N20" s="21">
        <f>IF(ISNUMBER(IRR($C19:N19)),IF(IRR($C19:N19)&gt;0,IRR($C19:N19),""),"")</f>
        <v>0.55370243384508422</v>
      </c>
      <c r="O20" s="21">
        <f>IF(ISNUMBER(IRR($C19:O19)),IF(IRR($C19:O19)&gt;0,IRR($C19:O19),""),"")</f>
        <v>0.55579740404451616</v>
      </c>
      <c r="P20" s="21">
        <f>IF(ISNUMBER(IRR($C19:P19)),IF(IRR($C19:P19)&gt;0,IRR($C19:P19),""),"")</f>
        <v>0.5571172115435119</v>
      </c>
      <c r="Q20" s="21">
        <f>IF(ISNUMBER(IRR($C19:Q19)),IF(IRR($C19:Q19)&gt;0,IRR($C19:Q19),""),"")</f>
        <v>0.55693684974734992</v>
      </c>
      <c r="R20" s="22"/>
      <c r="S20" s="22"/>
    </row>
    <row r="22" spans="1:21" x14ac:dyDescent="0.3">
      <c r="A22" s="10" t="s">
        <v>83</v>
      </c>
      <c r="B22" s="23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21" x14ac:dyDescent="0.3">
      <c r="A23" s="13" t="s">
        <v>84</v>
      </c>
      <c r="B23" s="14" t="s">
        <v>21</v>
      </c>
      <c r="C23" s="24">
        <v>50000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17">
        <f>SUM($C23:$Q23)</f>
        <v>50000</v>
      </c>
      <c r="S23" s="17">
        <f>$C23+NPV(10%,$D23:$Q23)</f>
        <v>50000</v>
      </c>
    </row>
    <row r="25" spans="1:21" x14ac:dyDescent="0.3">
      <c r="A25" s="10" t="s">
        <v>85</v>
      </c>
      <c r="B25" s="1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21" x14ac:dyDescent="0.3">
      <c r="A26" s="13" t="s">
        <v>86</v>
      </c>
      <c r="B26" s="14" t="s">
        <v>87</v>
      </c>
      <c r="C26" s="15">
        <v>150</v>
      </c>
      <c r="D26" s="15">
        <v>150</v>
      </c>
      <c r="E26" s="15">
        <v>150</v>
      </c>
      <c r="F26" s="15">
        <v>150</v>
      </c>
      <c r="G26" s="15">
        <v>150</v>
      </c>
      <c r="H26" s="15">
        <v>150</v>
      </c>
      <c r="I26" s="15">
        <v>150</v>
      </c>
      <c r="J26" s="15">
        <v>150</v>
      </c>
      <c r="K26" s="15">
        <v>150</v>
      </c>
      <c r="L26" s="15">
        <v>150</v>
      </c>
      <c r="M26" s="15">
        <v>150</v>
      </c>
      <c r="N26" s="15">
        <v>150</v>
      </c>
      <c r="O26" s="15">
        <v>150</v>
      </c>
      <c r="P26" s="15">
        <v>150</v>
      </c>
      <c r="Q26" s="15">
        <v>150</v>
      </c>
      <c r="R26" s="19"/>
      <c r="S26" s="19"/>
    </row>
    <row r="27" spans="1:21" x14ac:dyDescent="0.3">
      <c r="A27" s="13" t="s">
        <v>88</v>
      </c>
      <c r="B27" s="14" t="s">
        <v>89</v>
      </c>
      <c r="C27" s="24">
        <v>100</v>
      </c>
      <c r="D27" s="24">
        <v>100</v>
      </c>
      <c r="E27" s="24">
        <v>100</v>
      </c>
      <c r="F27" s="24">
        <v>100</v>
      </c>
      <c r="G27" s="24">
        <v>100</v>
      </c>
      <c r="H27" s="24">
        <v>500</v>
      </c>
      <c r="I27" s="24">
        <v>500</v>
      </c>
      <c r="J27" s="24">
        <v>500</v>
      </c>
      <c r="K27" s="24">
        <v>500</v>
      </c>
      <c r="L27" s="24">
        <v>500</v>
      </c>
      <c r="M27" s="24">
        <v>500</v>
      </c>
      <c r="N27" s="24">
        <v>500</v>
      </c>
      <c r="O27" s="24">
        <v>500</v>
      </c>
      <c r="P27" s="24">
        <v>500</v>
      </c>
      <c r="Q27" s="24">
        <v>500</v>
      </c>
      <c r="R27" s="19"/>
      <c r="S27" s="19"/>
    </row>
    <row r="28" spans="1:21" x14ac:dyDescent="0.3">
      <c r="A28" s="13" t="s">
        <v>90</v>
      </c>
      <c r="B28" s="14" t="s">
        <v>21</v>
      </c>
      <c r="C28" s="17">
        <f>C$26*C$27</f>
        <v>15000</v>
      </c>
      <c r="D28" s="17">
        <f t="shared" ref="D28:P28" si="4">D$26*D$27</f>
        <v>15000</v>
      </c>
      <c r="E28" s="17">
        <f>E$26*E$27</f>
        <v>15000</v>
      </c>
      <c r="F28" s="17">
        <f t="shared" si="4"/>
        <v>15000</v>
      </c>
      <c r="G28" s="17">
        <f t="shared" si="4"/>
        <v>15000</v>
      </c>
      <c r="H28" s="17">
        <f t="shared" si="4"/>
        <v>75000</v>
      </c>
      <c r="I28" s="17">
        <f t="shared" si="4"/>
        <v>75000</v>
      </c>
      <c r="J28" s="17">
        <f t="shared" si="4"/>
        <v>75000</v>
      </c>
      <c r="K28" s="17">
        <f t="shared" si="4"/>
        <v>75000</v>
      </c>
      <c r="L28" s="17">
        <f t="shared" si="4"/>
        <v>75000</v>
      </c>
      <c r="M28" s="17">
        <f t="shared" si="4"/>
        <v>75000</v>
      </c>
      <c r="N28" s="17">
        <f t="shared" si="4"/>
        <v>75000</v>
      </c>
      <c r="O28" s="17">
        <f t="shared" si="4"/>
        <v>75000</v>
      </c>
      <c r="P28" s="17">
        <f t="shared" si="4"/>
        <v>75000</v>
      </c>
      <c r="Q28" s="17">
        <f>Q$26*Q$27</f>
        <v>75000</v>
      </c>
      <c r="R28" s="17">
        <f>SUM($C28:$Q28)</f>
        <v>825000</v>
      </c>
      <c r="S28" s="17">
        <f>$C28+NPV(10%,$D28:$Q28)</f>
        <v>377309.63248948212</v>
      </c>
      <c r="U28" s="4">
        <f>S28/$S$71</f>
        <v>8.916053748801114E-4</v>
      </c>
    </row>
    <row r="30" spans="1:21" x14ac:dyDescent="0.3">
      <c r="A30" s="10" t="s">
        <v>91</v>
      </c>
      <c r="B30" s="1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21" x14ac:dyDescent="0.3">
      <c r="A31" s="13" t="s">
        <v>92</v>
      </c>
      <c r="B31" s="14" t="s">
        <v>45</v>
      </c>
      <c r="C31" s="26">
        <v>0.03</v>
      </c>
      <c r="D31" s="26">
        <v>0.03</v>
      </c>
      <c r="E31" s="26">
        <v>0.03</v>
      </c>
      <c r="F31" s="26">
        <v>0.03</v>
      </c>
      <c r="G31" s="26">
        <v>0.03</v>
      </c>
      <c r="H31" s="26">
        <v>0.03</v>
      </c>
      <c r="I31" s="26">
        <v>0.03</v>
      </c>
      <c r="J31" s="26">
        <v>0.03</v>
      </c>
      <c r="K31" s="26">
        <v>0.03</v>
      </c>
      <c r="L31" s="26">
        <v>0.03</v>
      </c>
      <c r="M31" s="26">
        <v>0.03</v>
      </c>
      <c r="N31" s="26">
        <v>0.03</v>
      </c>
      <c r="O31" s="26">
        <v>0.03</v>
      </c>
      <c r="P31" s="26">
        <v>0.03</v>
      </c>
      <c r="Q31" s="26">
        <v>0.03</v>
      </c>
      <c r="R31" s="19"/>
      <c r="S31" s="19"/>
    </row>
    <row r="32" spans="1:21" x14ac:dyDescent="0.3">
      <c r="A32" s="13" t="s">
        <v>93</v>
      </c>
      <c r="B32" s="14" t="s">
        <v>21</v>
      </c>
      <c r="C32" s="17">
        <f t="shared" ref="C32:P32" si="5">IF(ISNUMBER(C31),C$6*C$31,0)</f>
        <v>0</v>
      </c>
      <c r="D32" s="17">
        <f>IF(ISNUMBER(D31),D$6*D$31,0)</f>
        <v>0</v>
      </c>
      <c r="E32" s="17">
        <f>IF(ISNUMBER(E31),E$6*E$31,0)</f>
        <v>14400000</v>
      </c>
      <c r="F32" s="17">
        <f t="shared" si="5"/>
        <v>11700000</v>
      </c>
      <c r="G32" s="17">
        <f t="shared" si="5"/>
        <v>11700000</v>
      </c>
      <c r="H32" s="17">
        <f t="shared" si="5"/>
        <v>11700000</v>
      </c>
      <c r="I32" s="17">
        <f t="shared" si="5"/>
        <v>11700000</v>
      </c>
      <c r="J32" s="17">
        <f t="shared" si="5"/>
        <v>11700000</v>
      </c>
      <c r="K32" s="17">
        <f t="shared" si="5"/>
        <v>11700000</v>
      </c>
      <c r="L32" s="17">
        <f t="shared" si="5"/>
        <v>11700000</v>
      </c>
      <c r="M32" s="17">
        <f t="shared" si="5"/>
        <v>11700000</v>
      </c>
      <c r="N32" s="17">
        <f t="shared" si="5"/>
        <v>11700000</v>
      </c>
      <c r="O32" s="17">
        <f t="shared" si="5"/>
        <v>11700000</v>
      </c>
      <c r="P32" s="17">
        <f t="shared" si="5"/>
        <v>11700000</v>
      </c>
      <c r="Q32" s="17">
        <f>IF(ISNUMBER(Q31),Q$6*Q$31,0)</f>
        <v>0</v>
      </c>
      <c r="R32" s="17">
        <f>SUM($C32:$Q32)</f>
        <v>143100000</v>
      </c>
      <c r="S32" s="17">
        <f>$C32+NPV(10%,$D32:$Q32)</f>
        <v>74704308.893121496</v>
      </c>
      <c r="U32" s="4">
        <f>S32/$S$71</f>
        <v>0.17653077896882996</v>
      </c>
    </row>
    <row r="34" spans="1:21" ht="23.4" customHeight="1" x14ac:dyDescent="0.3">
      <c r="A34" s="10" t="s">
        <v>94</v>
      </c>
      <c r="B34" s="1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21" x14ac:dyDescent="0.3">
      <c r="A35" s="13" t="s">
        <v>95</v>
      </c>
      <c r="B35" s="14" t="s">
        <v>45</v>
      </c>
      <c r="C35" s="26">
        <v>0.02</v>
      </c>
      <c r="D35" s="26">
        <v>0.02</v>
      </c>
      <c r="E35" s="26">
        <v>0.02</v>
      </c>
      <c r="F35" s="26">
        <v>0.02</v>
      </c>
      <c r="G35" s="26">
        <v>0.02</v>
      </c>
      <c r="H35" s="26">
        <v>0.02</v>
      </c>
      <c r="I35" s="26">
        <v>0.02</v>
      </c>
      <c r="J35" s="26">
        <v>0.02</v>
      </c>
      <c r="K35" s="26">
        <v>0.02</v>
      </c>
      <c r="L35" s="26">
        <v>0.02</v>
      </c>
      <c r="M35" s="26">
        <v>0.02</v>
      </c>
      <c r="N35" s="26">
        <v>0.02</v>
      </c>
      <c r="O35" s="26">
        <v>0.02</v>
      </c>
      <c r="P35" s="26">
        <v>0.02</v>
      </c>
      <c r="Q35" s="26">
        <v>0.02</v>
      </c>
      <c r="R35" s="16"/>
      <c r="S35" s="16"/>
    </row>
    <row r="36" spans="1:21" x14ac:dyDescent="0.3">
      <c r="A36" s="13" t="s">
        <v>96</v>
      </c>
      <c r="B36" s="14" t="s">
        <v>21</v>
      </c>
      <c r="C36" s="16">
        <f>IF(C19&lt;0,C19*(1+C35),C19)</f>
        <v>-51000000</v>
      </c>
      <c r="D36" s="16">
        <f t="shared" ref="D36:Q36" si="6">IF(D19&lt;0,D19*(1+D35),D19)</f>
        <v>-234600000</v>
      </c>
      <c r="E36" s="16">
        <f t="shared" si="6"/>
        <v>230000000</v>
      </c>
      <c r="F36" s="16">
        <f t="shared" si="6"/>
        <v>140000000</v>
      </c>
      <c r="G36" s="16">
        <f t="shared" si="6"/>
        <v>140000000</v>
      </c>
      <c r="H36" s="16">
        <f t="shared" si="6"/>
        <v>140000000</v>
      </c>
      <c r="I36" s="16">
        <f t="shared" si="6"/>
        <v>140000000</v>
      </c>
      <c r="J36" s="16">
        <f t="shared" si="6"/>
        <v>140000000</v>
      </c>
      <c r="K36" s="16">
        <f t="shared" si="6"/>
        <v>140000000</v>
      </c>
      <c r="L36" s="16">
        <f t="shared" si="6"/>
        <v>140000000</v>
      </c>
      <c r="M36" s="16">
        <f t="shared" si="6"/>
        <v>140000000</v>
      </c>
      <c r="N36" s="16">
        <f t="shared" si="6"/>
        <v>140000000</v>
      </c>
      <c r="O36" s="16">
        <f t="shared" si="6"/>
        <v>140000000</v>
      </c>
      <c r="P36" s="16">
        <f>IF(P19&lt;0,P19*(1+P35),P19)</f>
        <v>140000000</v>
      </c>
      <c r="Q36" s="16">
        <f t="shared" si="6"/>
        <v>-30600000</v>
      </c>
      <c r="R36" s="16">
        <f>SUM($C36:$Q36)</f>
        <v>1453800000</v>
      </c>
      <c r="S36" s="16">
        <f>$C36+NPV(10%,$D36:$Q36)</f>
        <v>669246642.73067188</v>
      </c>
    </row>
    <row r="37" spans="1:21" x14ac:dyDescent="0.3">
      <c r="A37" s="13" t="s">
        <v>97</v>
      </c>
      <c r="B37" s="14" t="s">
        <v>45</v>
      </c>
      <c r="C37" s="27" t="str">
        <f>IF(ISNUMBER(IRR($C36:C36)),IF(IRR($C36:C36)&gt;0,IRR($C36:C36),""),"")</f>
        <v/>
      </c>
      <c r="D37" s="27" t="str">
        <f>IF(ISNUMBER(IRR($C36:D36)),IF(IRR($C36:D36)&gt;0,IRR($C36:D36),""),"")</f>
        <v/>
      </c>
      <c r="E37" s="27" t="str">
        <f>IF(ISNUMBER(IRR($C36:E36)),IF(IRR($C36:E36)&gt;0,IRR($C36:E36),""),"")</f>
        <v/>
      </c>
      <c r="F37" s="27">
        <f>IF(ISNUMBER(IRR($C36:F36)),IF(IRR($C36:F36)&gt;0,IRR($C36:F36),""),"")</f>
        <v>0.18176457441397953</v>
      </c>
      <c r="G37" s="27">
        <f>IF(ISNUMBER(IRR($C36:G36)),IF(IRR($C36:G36)&gt;0,IRR($C36:G36),""),"")</f>
        <v>0.35153498040472964</v>
      </c>
      <c r="H37" s="27">
        <f>IF(ISNUMBER(IRR($C36:H36)),IF(IRR($C36:H36)&gt;0,IRR($C36:H36),""),"")</f>
        <v>0.43695197869122615</v>
      </c>
      <c r="I37" s="27">
        <f>IF(ISNUMBER(IRR($C36:I36)),IF(IRR($C36:I36)&gt;0,IRR($C36:I36),""),"")</f>
        <v>0.48279066540386317</v>
      </c>
      <c r="J37" s="27">
        <f>IF(ISNUMBER(IRR($C36:J36)),IF(IRR($C36:J36)&gt;0,IRR($C36:J36),""),"")</f>
        <v>0.50866838706171147</v>
      </c>
      <c r="K37" s="27">
        <f>IF(ISNUMBER(IRR($C36:K36)),IF(IRR($C36:K36)&gt;0,IRR($C36:K36),""),"")</f>
        <v>0.52383091536330828</v>
      </c>
      <c r="L37" s="27">
        <f>IF(ISNUMBER(IRR($C36:L36)),IF(IRR($C36:L36)&gt;0,IRR($C36:L36),""),"")</f>
        <v>0.53295850898355579</v>
      </c>
      <c r="M37" s="27">
        <f>IF(ISNUMBER(IRR($C36:M36)),IF(IRR($C36:M36)&gt;0,IRR($C36:M36),""),"")</f>
        <v>0.53856216795592182</v>
      </c>
      <c r="N37" s="27">
        <f>IF(ISNUMBER(IRR($C36:N36)),IF(IRR($C36:N36)&gt;0,IRR($C36:N36),""),"")</f>
        <v>0.54205187271761157</v>
      </c>
      <c r="O37" s="27">
        <f>IF(ISNUMBER(IRR($C36:O36)),IF(IRR($C36:O36)&gt;0,IRR($C36:O36),""),"")</f>
        <v>0.54424775717946283</v>
      </c>
      <c r="P37" s="27">
        <f>IF(ISNUMBER(IRR($C36:P36)),IF(IRR($C36:P36)&gt;0,IRR($C36:P36),""),"")</f>
        <v>0.54563992873375988</v>
      </c>
      <c r="Q37" s="27">
        <f>IF(ISNUMBER(IRR($C36:Q36)),IF(IRR($C36:Q36)&gt;0,IRR($C36:Q36),""),"")</f>
        <v>0.54544450620284901</v>
      </c>
      <c r="R37" s="16"/>
      <c r="S37" s="16"/>
    </row>
    <row r="38" spans="1:21" x14ac:dyDescent="0.3">
      <c r="A38" s="13" t="s">
        <v>98</v>
      </c>
      <c r="B38" s="14" t="s">
        <v>45</v>
      </c>
      <c r="C38" s="26">
        <v>0.15</v>
      </c>
      <c r="D38" s="26">
        <v>0.15</v>
      </c>
      <c r="E38" s="26">
        <v>0.15</v>
      </c>
      <c r="F38" s="26">
        <v>0.15</v>
      </c>
      <c r="G38" s="26">
        <v>0.15</v>
      </c>
      <c r="H38" s="26">
        <v>0.15</v>
      </c>
      <c r="I38" s="26">
        <v>0.15</v>
      </c>
      <c r="J38" s="26">
        <v>0.15</v>
      </c>
      <c r="K38" s="26">
        <v>0.15</v>
      </c>
      <c r="L38" s="26">
        <v>0.15</v>
      </c>
      <c r="M38" s="26">
        <v>0.15</v>
      </c>
      <c r="N38" s="26">
        <v>0.15</v>
      </c>
      <c r="O38" s="26">
        <v>0.15</v>
      </c>
      <c r="P38" s="26">
        <v>0.15</v>
      </c>
      <c r="Q38" s="26">
        <v>0.15</v>
      </c>
      <c r="R38" s="16"/>
      <c r="S38" s="16"/>
    </row>
    <row r="39" spans="1:21" x14ac:dyDescent="0.3">
      <c r="A39" s="13" t="s">
        <v>99</v>
      </c>
      <c r="B39" s="14"/>
      <c r="C39" s="16"/>
      <c r="D39" s="16">
        <f>IF(C40&lt;0,C40,0)</f>
        <v>-51000000</v>
      </c>
      <c r="E39" s="16">
        <f t="shared" ref="E39:Q39" si="7">IF(D40&lt;0,D40,0)</f>
        <v>-285600000</v>
      </c>
      <c r="F39" s="16">
        <f t="shared" si="7"/>
        <v>-55600000</v>
      </c>
      <c r="G39" s="16">
        <f t="shared" si="7"/>
        <v>0</v>
      </c>
      <c r="H39" s="16">
        <f t="shared" si="7"/>
        <v>0</v>
      </c>
      <c r="I39" s="16">
        <f t="shared" si="7"/>
        <v>0</v>
      </c>
      <c r="J39" s="16">
        <f t="shared" si="7"/>
        <v>0</v>
      </c>
      <c r="K39" s="16">
        <f t="shared" si="7"/>
        <v>0</v>
      </c>
      <c r="L39" s="16">
        <f t="shared" si="7"/>
        <v>0</v>
      </c>
      <c r="M39" s="16">
        <f t="shared" si="7"/>
        <v>0</v>
      </c>
      <c r="N39" s="16">
        <f t="shared" si="7"/>
        <v>0</v>
      </c>
      <c r="O39" s="16">
        <f t="shared" si="7"/>
        <v>0</v>
      </c>
      <c r="P39" s="16">
        <f t="shared" si="7"/>
        <v>0</v>
      </c>
      <c r="Q39" s="16">
        <f t="shared" si="7"/>
        <v>0</v>
      </c>
      <c r="R39" s="16"/>
      <c r="S39" s="16"/>
    </row>
    <row r="40" spans="1:21" x14ac:dyDescent="0.3">
      <c r="A40" s="13" t="s">
        <v>100</v>
      </c>
      <c r="B40" s="14" t="s">
        <v>21</v>
      </c>
      <c r="C40" s="16">
        <f>C36+C39</f>
        <v>-51000000</v>
      </c>
      <c r="D40" s="16">
        <f>D36+D39</f>
        <v>-285600000</v>
      </c>
      <c r="E40" s="16">
        <f t="shared" ref="E40:Q40" si="8">E36+E39</f>
        <v>-55600000</v>
      </c>
      <c r="F40" s="16">
        <f t="shared" si="8"/>
        <v>84400000</v>
      </c>
      <c r="G40" s="16">
        <f t="shared" si="8"/>
        <v>140000000</v>
      </c>
      <c r="H40" s="16">
        <f t="shared" si="8"/>
        <v>140000000</v>
      </c>
      <c r="I40" s="16">
        <f t="shared" si="8"/>
        <v>140000000</v>
      </c>
      <c r="J40" s="16">
        <f t="shared" si="8"/>
        <v>140000000</v>
      </c>
      <c r="K40" s="16">
        <f t="shared" si="8"/>
        <v>140000000</v>
      </c>
      <c r="L40" s="16">
        <f t="shared" si="8"/>
        <v>140000000</v>
      </c>
      <c r="M40" s="16">
        <f t="shared" si="8"/>
        <v>140000000</v>
      </c>
      <c r="N40" s="16">
        <f t="shared" si="8"/>
        <v>140000000</v>
      </c>
      <c r="O40" s="16">
        <f t="shared" si="8"/>
        <v>140000000</v>
      </c>
      <c r="P40" s="16">
        <f t="shared" si="8"/>
        <v>140000000</v>
      </c>
      <c r="Q40" s="16">
        <f t="shared" si="8"/>
        <v>-30600000</v>
      </c>
      <c r="R40" s="16">
        <f>SUM($C40:$Q40)</f>
        <v>1061600000</v>
      </c>
      <c r="S40" s="16">
        <f>$C40+NPV(10%,$D40:$Q40)</f>
        <v>345076845.58566809</v>
      </c>
    </row>
    <row r="41" spans="1:21" x14ac:dyDescent="0.3">
      <c r="A41" s="13" t="s">
        <v>101</v>
      </c>
      <c r="B41" s="14" t="s">
        <v>45</v>
      </c>
      <c r="C41" s="26">
        <v>0.2</v>
      </c>
      <c r="D41" s="26">
        <v>0.2</v>
      </c>
      <c r="E41" s="26">
        <v>0.2</v>
      </c>
      <c r="F41" s="26">
        <v>0.2</v>
      </c>
      <c r="G41" s="26">
        <v>0.2</v>
      </c>
      <c r="H41" s="26">
        <v>0.2</v>
      </c>
      <c r="I41" s="26">
        <v>0.2</v>
      </c>
      <c r="J41" s="26">
        <v>0.2</v>
      </c>
      <c r="K41" s="26">
        <v>0.2</v>
      </c>
      <c r="L41" s="26">
        <v>0.2</v>
      </c>
      <c r="M41" s="26">
        <v>0.2</v>
      </c>
      <c r="N41" s="26">
        <v>0.2</v>
      </c>
      <c r="O41" s="26">
        <v>0.2</v>
      </c>
      <c r="P41" s="26">
        <v>0.2</v>
      </c>
      <c r="Q41" s="26">
        <v>0.2</v>
      </c>
      <c r="R41" s="16"/>
      <c r="S41" s="16"/>
    </row>
    <row r="42" spans="1:21" x14ac:dyDescent="0.3">
      <c r="A42" s="13" t="s">
        <v>102</v>
      </c>
      <c r="B42" s="14" t="s">
        <v>21</v>
      </c>
      <c r="C42" s="17">
        <f>IF(C37&lt;C38,0,IF(C40&lt;0,0,C40*C41))</f>
        <v>0</v>
      </c>
      <c r="D42" s="17">
        <f t="shared" ref="D42:Q42" si="9">IF(D37&lt;D38,0,IF(D40&lt;0,0,D40*D41))</f>
        <v>0</v>
      </c>
      <c r="E42" s="17">
        <f t="shared" si="9"/>
        <v>0</v>
      </c>
      <c r="F42" s="17">
        <f>IF(F37&lt;F38,0,IF(F40&lt;0,0,F40*F41))</f>
        <v>16880000</v>
      </c>
      <c r="G42" s="17">
        <f t="shared" si="9"/>
        <v>28000000</v>
      </c>
      <c r="H42" s="17">
        <f t="shared" si="9"/>
        <v>28000000</v>
      </c>
      <c r="I42" s="17">
        <f t="shared" si="9"/>
        <v>28000000</v>
      </c>
      <c r="J42" s="17">
        <f t="shared" si="9"/>
        <v>28000000</v>
      </c>
      <c r="K42" s="17">
        <f t="shared" si="9"/>
        <v>28000000</v>
      </c>
      <c r="L42" s="17">
        <f t="shared" si="9"/>
        <v>28000000</v>
      </c>
      <c r="M42" s="17">
        <f t="shared" si="9"/>
        <v>28000000</v>
      </c>
      <c r="N42" s="17">
        <f t="shared" si="9"/>
        <v>28000000</v>
      </c>
      <c r="O42" s="17">
        <f t="shared" si="9"/>
        <v>28000000</v>
      </c>
      <c r="P42" s="17">
        <f t="shared" si="9"/>
        <v>28000000</v>
      </c>
      <c r="Q42" s="17">
        <f t="shared" si="9"/>
        <v>0</v>
      </c>
      <c r="R42" s="17">
        <f>SUM($C42:$Q42)</f>
        <v>296880000</v>
      </c>
      <c r="S42" s="17">
        <f>$C42+NPV(10%,$D42:$Q42)</f>
        <v>141944311.76538765</v>
      </c>
      <c r="U42" s="4">
        <f>S42/$S$71</f>
        <v>0.33542295347364559</v>
      </c>
    </row>
    <row r="44" spans="1:21" ht="21.6" customHeight="1" x14ac:dyDescent="0.3">
      <c r="A44" s="10" t="s">
        <v>103</v>
      </c>
      <c r="B44" s="1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21" x14ac:dyDescent="0.3">
      <c r="A45" s="13" t="s">
        <v>104</v>
      </c>
      <c r="B45" s="14" t="s">
        <v>21</v>
      </c>
      <c r="C45" s="16">
        <f>C$6-C$16-C$23-C$28-C$32-C$42+'Amortissements et Emprunt'!C191</f>
        <v>-7565000</v>
      </c>
      <c r="D45" s="16">
        <f>D$6-D$16-D$23-D$28-D$32-D$42+'Amortissements et Emprunt'!D191</f>
        <v>-41765000</v>
      </c>
      <c r="E45" s="16">
        <f>E$6-E$16-E$23-E$28-E$32-E$42+'Amortissements et Emprunt'!E191</f>
        <v>184235000</v>
      </c>
      <c r="F45" s="16">
        <f>F$6-F$16-F$23-F$28-F$32-F$42+'Amortissements et Emprunt'!F191</f>
        <v>80455000</v>
      </c>
      <c r="G45" s="16">
        <f>G$6-G$16-G$23-G$28-G$32-G$42+'Amortissements et Emprunt'!G191</f>
        <v>69735000</v>
      </c>
      <c r="H45" s="16">
        <f>H$6-H$16-H$23-H$28-H$32-H$42+'Amortissements et Emprunt'!H191</f>
        <v>70075000</v>
      </c>
      <c r="I45" s="16">
        <f>I$6-I$16-I$23-I$28-I$32-I$42+'Amortissements et Emprunt'!I191</f>
        <v>70363888.888888896</v>
      </c>
      <c r="J45" s="16">
        <f>J$6-J$16-J$23-J$28-J$32-J$42+'Amortissements et Emprunt'!J191</f>
        <v>70513888.888888896</v>
      </c>
      <c r="K45" s="16">
        <f>K$6-K$16-K$23-K$28-K$32-K$42+'Amortissements et Emprunt'!K191</f>
        <v>70485317.460317463</v>
      </c>
      <c r="L45" s="16">
        <f>L$6-L$16-L$23-L$28-L$32-L$42+'Amortissements et Emprunt'!L191</f>
        <v>70218650.793650791</v>
      </c>
      <c r="M45" s="16">
        <f>M$6-M$16-M$23-M$28-M$32-M$42+'Amortissements et Emprunt'!M191</f>
        <v>74618650.793650791</v>
      </c>
      <c r="N45" s="16">
        <f>N$6-N$16-N$23-N$28-N$32-N$42+'Amortissements et Emprunt'!N191</f>
        <v>96268650.793650791</v>
      </c>
      <c r="O45" s="16">
        <f>O$6-O$16-O$23-O$28-O$32-O$42+'Amortissements et Emprunt'!O191</f>
        <v>93935317.460317463</v>
      </c>
      <c r="P45" s="16">
        <f>P$6-P$16-P$23-P$28-P$32-P$42+'Amortissements et Emprunt'!P191</f>
        <v>89935317.460317463</v>
      </c>
      <c r="Q45" s="16">
        <f>Q$6-Q$16-Q$23-Q$28-Q$32-Q$42+'Amortissements et Emprunt'!Q191</f>
        <v>-49364682.539682537</v>
      </c>
      <c r="R45" s="16">
        <f>SUM($C45:$Q45)</f>
        <v>942145000</v>
      </c>
      <c r="S45" s="16">
        <f>$C45+NPV(10%,$D45:$Q45)</f>
        <v>502372800.96051913</v>
      </c>
    </row>
    <row r="46" spans="1:21" x14ac:dyDescent="0.3">
      <c r="A46" s="13" t="s">
        <v>105</v>
      </c>
      <c r="B46" s="14" t="s">
        <v>21</v>
      </c>
      <c r="C46" s="16"/>
      <c r="D46" s="16">
        <f>IF(C47&lt;0,C47,0)</f>
        <v>-7565000</v>
      </c>
      <c r="E46" s="16">
        <f>IF(D47&lt;0,D47,0)</f>
        <v>-49330000</v>
      </c>
      <c r="F46" s="16">
        <f>IF(E47&lt;0,E47,0)</f>
        <v>0</v>
      </c>
      <c r="G46" s="16">
        <f>IF(F47&lt;0,F47,0)</f>
        <v>0</v>
      </c>
      <c r="H46" s="16">
        <f>IF(G47&lt;0,G47,0)</f>
        <v>0</v>
      </c>
      <c r="I46" s="16">
        <f t="shared" ref="I46:Q46" si="10">IF(H47&lt;0,H47,0)</f>
        <v>0</v>
      </c>
      <c r="J46" s="16">
        <f t="shared" si="10"/>
        <v>0</v>
      </c>
      <c r="K46" s="16">
        <f t="shared" si="10"/>
        <v>0</v>
      </c>
      <c r="L46" s="16">
        <f t="shared" si="10"/>
        <v>0</v>
      </c>
      <c r="M46" s="16">
        <f t="shared" si="10"/>
        <v>0</v>
      </c>
      <c r="N46" s="16">
        <f t="shared" si="10"/>
        <v>0</v>
      </c>
      <c r="O46" s="16">
        <f t="shared" si="10"/>
        <v>0</v>
      </c>
      <c r="P46" s="16">
        <f t="shared" si="10"/>
        <v>0</v>
      </c>
      <c r="Q46" s="16">
        <f t="shared" si="10"/>
        <v>0</v>
      </c>
      <c r="R46" s="19"/>
      <c r="S46" s="19"/>
    </row>
    <row r="47" spans="1:21" x14ac:dyDescent="0.3">
      <c r="A47" s="13" t="s">
        <v>106</v>
      </c>
      <c r="B47" s="14" t="s">
        <v>21</v>
      </c>
      <c r="C47" s="16">
        <f>C$45+C$46</f>
        <v>-7565000</v>
      </c>
      <c r="D47" s="16">
        <f t="shared" ref="D47:Q47" si="11">D$45+D$46</f>
        <v>-49330000</v>
      </c>
      <c r="E47" s="16">
        <f t="shared" si="11"/>
        <v>134905000</v>
      </c>
      <c r="F47" s="16">
        <f t="shared" si="11"/>
        <v>80455000</v>
      </c>
      <c r="G47" s="16">
        <f t="shared" si="11"/>
        <v>69735000</v>
      </c>
      <c r="H47" s="16">
        <f t="shared" si="11"/>
        <v>70075000</v>
      </c>
      <c r="I47" s="16">
        <f t="shared" si="11"/>
        <v>70363888.888888896</v>
      </c>
      <c r="J47" s="16">
        <f t="shared" si="11"/>
        <v>70513888.888888896</v>
      </c>
      <c r="K47" s="16">
        <f t="shared" si="11"/>
        <v>70485317.460317463</v>
      </c>
      <c r="L47" s="16">
        <f t="shared" si="11"/>
        <v>70218650.793650791</v>
      </c>
      <c r="M47" s="16">
        <f t="shared" si="11"/>
        <v>74618650.793650791</v>
      </c>
      <c r="N47" s="16">
        <f t="shared" si="11"/>
        <v>96268650.793650791</v>
      </c>
      <c r="O47" s="16">
        <f t="shared" si="11"/>
        <v>93935317.460317463</v>
      </c>
      <c r="P47" s="16">
        <f t="shared" si="11"/>
        <v>89935317.460317463</v>
      </c>
      <c r="Q47" s="16">
        <f t="shared" si="11"/>
        <v>-49364682.539682537</v>
      </c>
      <c r="R47" s="16">
        <f>SUM($C47:$Q47)</f>
        <v>885250000</v>
      </c>
      <c r="S47" s="16">
        <f>$C47+NPV(10%,$D47:$Q47)</f>
        <v>454726933.19192415</v>
      </c>
    </row>
    <row r="48" spans="1:21" x14ac:dyDescent="0.3">
      <c r="A48" s="13" t="s">
        <v>107</v>
      </c>
      <c r="B48" s="14" t="s">
        <v>45</v>
      </c>
      <c r="C48" s="26">
        <v>0.3</v>
      </c>
      <c r="D48" s="26">
        <v>0.3</v>
      </c>
      <c r="E48" s="26">
        <v>0.3</v>
      </c>
      <c r="F48" s="26">
        <v>0.3</v>
      </c>
      <c r="G48" s="26">
        <v>0.3</v>
      </c>
      <c r="H48" s="26">
        <v>0.3</v>
      </c>
      <c r="I48" s="26">
        <v>0.3</v>
      </c>
      <c r="J48" s="26">
        <v>0.3</v>
      </c>
      <c r="K48" s="26">
        <v>0.3</v>
      </c>
      <c r="L48" s="26">
        <v>0.3</v>
      </c>
      <c r="M48" s="26">
        <v>0.3</v>
      </c>
      <c r="N48" s="26">
        <v>0.3</v>
      </c>
      <c r="O48" s="26">
        <v>0.3</v>
      </c>
      <c r="P48" s="26">
        <v>0.3</v>
      </c>
      <c r="Q48" s="26">
        <v>0.3</v>
      </c>
      <c r="R48" s="19"/>
      <c r="S48" s="19"/>
    </row>
    <row r="49" spans="1:21" x14ac:dyDescent="0.3">
      <c r="A49" s="13" t="s">
        <v>108</v>
      </c>
      <c r="B49" s="14" t="s">
        <v>21</v>
      </c>
      <c r="C49" s="17">
        <f>IF(C$47&gt;0,C$47*C$48,0)</f>
        <v>0</v>
      </c>
      <c r="D49" s="17">
        <f t="shared" ref="D49:Q49" si="12">IF(D$47&gt;0,D$47*D$48,0)</f>
        <v>0</v>
      </c>
      <c r="E49" s="17">
        <f t="shared" si="12"/>
        <v>40471500</v>
      </c>
      <c r="F49" s="17">
        <f t="shared" si="12"/>
        <v>24136500</v>
      </c>
      <c r="G49" s="17">
        <f t="shared" si="12"/>
        <v>20920500</v>
      </c>
      <c r="H49" s="17">
        <f t="shared" si="12"/>
        <v>21022500</v>
      </c>
      <c r="I49" s="17">
        <f t="shared" si="12"/>
        <v>21109166.666666668</v>
      </c>
      <c r="J49" s="17">
        <f t="shared" si="12"/>
        <v>21154166.666666668</v>
      </c>
      <c r="K49" s="17">
        <f t="shared" si="12"/>
        <v>21145595.238095239</v>
      </c>
      <c r="L49" s="17">
        <f t="shared" si="12"/>
        <v>21065595.238095235</v>
      </c>
      <c r="M49" s="17">
        <f t="shared" si="12"/>
        <v>22385595.238095235</v>
      </c>
      <c r="N49" s="17">
        <f t="shared" si="12"/>
        <v>28880595.238095235</v>
      </c>
      <c r="O49" s="17">
        <f t="shared" si="12"/>
        <v>28180595.238095239</v>
      </c>
      <c r="P49" s="17">
        <f t="shared" si="12"/>
        <v>26980595.238095239</v>
      </c>
      <c r="Q49" s="17">
        <f t="shared" si="12"/>
        <v>0</v>
      </c>
      <c r="R49" s="17">
        <f>SUM($C49:$Q49)</f>
        <v>297452904.76190472</v>
      </c>
      <c r="S49" s="17">
        <f>$C49+NPV(10%,$D49:$Q49)</f>
        <v>156040995.45269242</v>
      </c>
    </row>
    <row r="51" spans="1:21" ht="24.6" customHeight="1" x14ac:dyDescent="0.3">
      <c r="A51" s="10" t="s">
        <v>111</v>
      </c>
      <c r="B51" s="1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spans="1:21" x14ac:dyDescent="0.3">
      <c r="A52" s="13" t="s">
        <v>112</v>
      </c>
      <c r="B52" s="14" t="s">
        <v>21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19"/>
      <c r="S52" s="19"/>
    </row>
    <row r="53" spans="1:21" x14ac:dyDescent="0.3">
      <c r="A53" s="13" t="s">
        <v>113</v>
      </c>
      <c r="B53" s="14" t="s">
        <v>45</v>
      </c>
      <c r="C53" s="26">
        <v>5.0000000000000001E-3</v>
      </c>
      <c r="D53" s="26">
        <v>5.0000000000000001E-3</v>
      </c>
      <c r="E53" s="26">
        <v>5.0000000000000001E-3</v>
      </c>
      <c r="F53" s="26">
        <v>5.0000000000000001E-3</v>
      </c>
      <c r="G53" s="26">
        <v>5.0000000000000001E-3</v>
      </c>
      <c r="H53" s="26">
        <v>5.0000000000000001E-3</v>
      </c>
      <c r="I53" s="26">
        <v>5.0000000000000001E-3</v>
      </c>
      <c r="J53" s="26">
        <v>5.0000000000000001E-3</v>
      </c>
      <c r="K53" s="26">
        <v>5.0000000000000001E-3</v>
      </c>
      <c r="L53" s="26">
        <v>5.0000000000000001E-3</v>
      </c>
      <c r="M53" s="26">
        <v>5.0000000000000001E-3</v>
      </c>
      <c r="N53" s="26">
        <v>5.0000000000000001E-3</v>
      </c>
      <c r="O53" s="26">
        <v>5.0000000000000001E-3</v>
      </c>
      <c r="P53" s="26">
        <v>5.0000000000000001E-3</v>
      </c>
      <c r="Q53" s="26">
        <v>5.0000000000000001E-3</v>
      </c>
      <c r="R53" s="19"/>
      <c r="S53" s="19"/>
    </row>
    <row r="54" spans="1:21" x14ac:dyDescent="0.3">
      <c r="A54" s="13" t="s">
        <v>114</v>
      </c>
      <c r="B54" s="14" t="s">
        <v>21</v>
      </c>
      <c r="C54" s="17">
        <f>IF(C$6*C$53&gt;C$52,C$6*C$53,C$52)</f>
        <v>0</v>
      </c>
      <c r="D54" s="17">
        <f t="shared" ref="D54:Q54" si="13">IF(D$6*D$53&gt;D$52,D$6*D$53,D$52)</f>
        <v>0</v>
      </c>
      <c r="E54" s="17">
        <f>IF(E$6*E$53&gt;E$52,E$6*E$53,E$52)</f>
        <v>2400000</v>
      </c>
      <c r="F54" s="17">
        <f t="shared" si="13"/>
        <v>1950000</v>
      </c>
      <c r="G54" s="17">
        <f t="shared" si="13"/>
        <v>1950000</v>
      </c>
      <c r="H54" s="17">
        <f t="shared" si="13"/>
        <v>1950000</v>
      </c>
      <c r="I54" s="17">
        <f t="shared" si="13"/>
        <v>1950000</v>
      </c>
      <c r="J54" s="17">
        <f t="shared" si="13"/>
        <v>1950000</v>
      </c>
      <c r="K54" s="17">
        <f t="shared" si="13"/>
        <v>1950000</v>
      </c>
      <c r="L54" s="17">
        <f t="shared" si="13"/>
        <v>1950000</v>
      </c>
      <c r="M54" s="17">
        <f t="shared" si="13"/>
        <v>1950000</v>
      </c>
      <c r="N54" s="17">
        <f t="shared" si="13"/>
        <v>1950000</v>
      </c>
      <c r="O54" s="17">
        <f t="shared" si="13"/>
        <v>1950000</v>
      </c>
      <c r="P54" s="17">
        <f t="shared" si="13"/>
        <v>1950000</v>
      </c>
      <c r="Q54" s="17">
        <f t="shared" si="13"/>
        <v>0</v>
      </c>
      <c r="R54" s="17">
        <f>SUM($C54:$Q54)</f>
        <v>23850000</v>
      </c>
      <c r="S54" s="17">
        <f>$C54+NPV(10%,$D54:$Q54)</f>
        <v>12450718.148853583</v>
      </c>
    </row>
    <row r="55" spans="1:21" x14ac:dyDescent="0.3">
      <c r="A55" s="7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1" ht="25.2" customHeight="1" x14ac:dyDescent="0.3">
      <c r="A56" s="10" t="s">
        <v>109</v>
      </c>
      <c r="B56" s="11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21" x14ac:dyDescent="0.3">
      <c r="A57" s="13" t="s">
        <v>110</v>
      </c>
      <c r="B57" s="14" t="s">
        <v>21</v>
      </c>
      <c r="C57" s="17">
        <f>IF(C$54&gt;C$49,C$54,C$49)</f>
        <v>0</v>
      </c>
      <c r="D57" s="17">
        <f t="shared" ref="D57:Q57" si="14">IF(D$54&gt;D$49,D$54,D$49)</f>
        <v>0</v>
      </c>
      <c r="E57" s="17">
        <f>IF(E$54&gt;E$49,E$54,E$49)</f>
        <v>40471500</v>
      </c>
      <c r="F57" s="17">
        <f t="shared" si="14"/>
        <v>24136500</v>
      </c>
      <c r="G57" s="17">
        <f t="shared" si="14"/>
        <v>20920500</v>
      </c>
      <c r="H57" s="17">
        <f t="shared" si="14"/>
        <v>21022500</v>
      </c>
      <c r="I57" s="17">
        <f t="shared" si="14"/>
        <v>21109166.666666668</v>
      </c>
      <c r="J57" s="17">
        <f t="shared" si="14"/>
        <v>21154166.666666668</v>
      </c>
      <c r="K57" s="17">
        <f>IF(K$54&gt;K$49,K$54,K$49)</f>
        <v>21145595.238095239</v>
      </c>
      <c r="L57" s="17">
        <f>IF(L$54&gt;L$49,L$54,L$49)</f>
        <v>21065595.238095235</v>
      </c>
      <c r="M57" s="17">
        <f t="shared" si="14"/>
        <v>22385595.238095235</v>
      </c>
      <c r="N57" s="17">
        <f t="shared" si="14"/>
        <v>28880595.238095235</v>
      </c>
      <c r="O57" s="17">
        <f t="shared" si="14"/>
        <v>28180595.238095239</v>
      </c>
      <c r="P57" s="17">
        <f t="shared" si="14"/>
        <v>26980595.238095239</v>
      </c>
      <c r="Q57" s="17">
        <f t="shared" si="14"/>
        <v>0</v>
      </c>
      <c r="R57" s="17">
        <f>SUM($C57:$Q57)</f>
        <v>297452904.76190472</v>
      </c>
      <c r="S57" s="17">
        <f>$C57+NPV(10%,$D57:$Q57)</f>
        <v>156040995.45269242</v>
      </c>
      <c r="U57" s="4">
        <f>S57/$S$71</f>
        <v>0.3687342656197411</v>
      </c>
    </row>
    <row r="59" spans="1:21" x14ac:dyDescent="0.3">
      <c r="A59" s="10" t="s">
        <v>115</v>
      </c>
      <c r="B59" s="1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1:21" x14ac:dyDescent="0.3">
      <c r="A60" s="13" t="s">
        <v>116</v>
      </c>
      <c r="B60" s="14" t="s">
        <v>21</v>
      </c>
      <c r="C60" s="16">
        <f>IF(C$47-C$57&gt;0,C$47-C$57,0)</f>
        <v>0</v>
      </c>
      <c r="D60" s="16">
        <f t="shared" ref="D60:Q60" si="15">IF(D$47-D$57&gt;0,D$47-D$57,0)</f>
        <v>0</v>
      </c>
      <c r="E60" s="16">
        <f>IF(E$47-E$57&gt;0,E$47-E$57,0)</f>
        <v>94433500</v>
      </c>
      <c r="F60" s="16">
        <f t="shared" si="15"/>
        <v>56318500</v>
      </c>
      <c r="G60" s="16">
        <f t="shared" si="15"/>
        <v>48814500</v>
      </c>
      <c r="H60" s="16">
        <f t="shared" si="15"/>
        <v>49052500</v>
      </c>
      <c r="I60" s="16">
        <f t="shared" si="15"/>
        <v>49254722.222222224</v>
      </c>
      <c r="J60" s="16">
        <f t="shared" si="15"/>
        <v>49359722.222222224</v>
      </c>
      <c r="K60" s="16">
        <f t="shared" si="15"/>
        <v>49339722.222222224</v>
      </c>
      <c r="L60" s="16">
        <f t="shared" si="15"/>
        <v>49153055.555555552</v>
      </c>
      <c r="M60" s="16">
        <f t="shared" si="15"/>
        <v>52233055.555555552</v>
      </c>
      <c r="N60" s="16">
        <f t="shared" si="15"/>
        <v>67388055.555555552</v>
      </c>
      <c r="O60" s="16">
        <f t="shared" si="15"/>
        <v>65754722.222222224</v>
      </c>
      <c r="P60" s="16">
        <f t="shared" si="15"/>
        <v>62954722.222222224</v>
      </c>
      <c r="Q60" s="16">
        <f t="shared" si="15"/>
        <v>0</v>
      </c>
      <c r="R60" s="16">
        <f>SUM($C60:$Q60)</f>
        <v>694056777.77777779</v>
      </c>
      <c r="S60" s="16">
        <f>$C60+NPV(10%,$D60:$Q60)</f>
        <v>364095656.05628234</v>
      </c>
    </row>
    <row r="61" spans="1:21" x14ac:dyDescent="0.3">
      <c r="A61" s="13" t="s">
        <v>117</v>
      </c>
      <c r="B61" s="14" t="s">
        <v>45</v>
      </c>
      <c r="C61" s="26">
        <v>0.1</v>
      </c>
      <c r="D61" s="26">
        <v>0.1</v>
      </c>
      <c r="E61" s="26">
        <v>0.1</v>
      </c>
      <c r="F61" s="26">
        <v>0.1</v>
      </c>
      <c r="G61" s="26">
        <v>0.1</v>
      </c>
      <c r="H61" s="26">
        <v>0.1</v>
      </c>
      <c r="I61" s="26">
        <v>0.1</v>
      </c>
      <c r="J61" s="26">
        <v>0.1</v>
      </c>
      <c r="K61" s="26">
        <v>0.1</v>
      </c>
      <c r="L61" s="26">
        <v>0.1</v>
      </c>
      <c r="M61" s="26">
        <v>0.1</v>
      </c>
      <c r="N61" s="26">
        <v>0.1</v>
      </c>
      <c r="O61" s="26">
        <v>0.1</v>
      </c>
      <c r="P61" s="26">
        <v>0.1</v>
      </c>
      <c r="Q61" s="26">
        <v>0.1</v>
      </c>
      <c r="R61" s="16"/>
      <c r="S61" s="16"/>
    </row>
    <row r="62" spans="1:21" x14ac:dyDescent="0.3">
      <c r="A62" s="13" t="s">
        <v>118</v>
      </c>
      <c r="B62" s="14" t="s">
        <v>21</v>
      </c>
      <c r="C62" s="17">
        <f t="shared" ref="C62:Q62" si="16">C$60*C$61</f>
        <v>0</v>
      </c>
      <c r="D62" s="17">
        <f t="shared" si="16"/>
        <v>0</v>
      </c>
      <c r="E62" s="17">
        <f t="shared" si="16"/>
        <v>9443350</v>
      </c>
      <c r="F62" s="17">
        <f t="shared" si="16"/>
        <v>5631850</v>
      </c>
      <c r="G62" s="17">
        <f t="shared" si="16"/>
        <v>4881450</v>
      </c>
      <c r="H62" s="17">
        <f t="shared" si="16"/>
        <v>4905250</v>
      </c>
      <c r="I62" s="17">
        <f t="shared" si="16"/>
        <v>4925472.2222222229</v>
      </c>
      <c r="J62" s="17">
        <f t="shared" si="16"/>
        <v>4935972.2222222229</v>
      </c>
      <c r="K62" s="17">
        <f t="shared" si="16"/>
        <v>4933972.2222222229</v>
      </c>
      <c r="L62" s="17">
        <f t="shared" si="16"/>
        <v>4915305.555555555</v>
      </c>
      <c r="M62" s="17">
        <f t="shared" si="16"/>
        <v>5223305.555555556</v>
      </c>
      <c r="N62" s="17">
        <f t="shared" si="16"/>
        <v>6738805.555555556</v>
      </c>
      <c r="O62" s="17">
        <f t="shared" si="16"/>
        <v>6575472.2222222229</v>
      </c>
      <c r="P62" s="17">
        <f t="shared" si="16"/>
        <v>6295472.2222222229</v>
      </c>
      <c r="Q62" s="17">
        <f t="shared" si="16"/>
        <v>0</v>
      </c>
      <c r="R62" s="17">
        <f>SUM($C62:$Q62)</f>
        <v>69405677.777777776</v>
      </c>
      <c r="S62" s="17">
        <f>$C62+NPV(10%,$D62:$Q62)</f>
        <v>36409565.60562823</v>
      </c>
      <c r="U62" s="4">
        <f>S62/$S$71</f>
        <v>8.6037995311272916E-2</v>
      </c>
    </row>
    <row r="63" spans="1:21" x14ac:dyDescent="0.3">
      <c r="A63" s="13"/>
      <c r="B63" s="1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spans="1:21" x14ac:dyDescent="0.3">
      <c r="A64" s="10" t="s">
        <v>119</v>
      </c>
      <c r="B64" s="1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1:21" x14ac:dyDescent="0.3">
      <c r="A65" s="13" t="s">
        <v>120</v>
      </c>
      <c r="B65" s="14" t="s">
        <v>45</v>
      </c>
      <c r="C65" s="29">
        <v>0.25</v>
      </c>
      <c r="D65" s="29">
        <v>0.25</v>
      </c>
      <c r="E65" s="29">
        <v>0.25</v>
      </c>
      <c r="F65" s="29">
        <v>0.25</v>
      </c>
      <c r="G65" s="29">
        <v>0.25</v>
      </c>
      <c r="H65" s="29">
        <v>0.25</v>
      </c>
      <c r="I65" s="29">
        <v>0.25</v>
      </c>
      <c r="J65" s="29">
        <v>0.25</v>
      </c>
      <c r="K65" s="29">
        <v>0.25</v>
      </c>
      <c r="L65" s="29">
        <v>0.25</v>
      </c>
      <c r="M65" s="29">
        <v>0.25</v>
      </c>
      <c r="N65" s="29">
        <v>0.25</v>
      </c>
      <c r="O65" s="29">
        <v>0.25</v>
      </c>
      <c r="P65" s="29">
        <v>0.25</v>
      </c>
      <c r="Q65" s="29">
        <v>0.25</v>
      </c>
      <c r="R65" s="16"/>
      <c r="S65" s="16"/>
    </row>
    <row r="66" spans="1:21" x14ac:dyDescent="0.3">
      <c r="A66" s="13" t="s">
        <v>121</v>
      </c>
      <c r="B66" s="14" t="s">
        <v>21</v>
      </c>
      <c r="C66" s="16">
        <f>C$60*C$65</f>
        <v>0</v>
      </c>
      <c r="D66" s="16">
        <f t="shared" ref="D66:Q66" si="17">D$60*D$65</f>
        <v>0</v>
      </c>
      <c r="E66" s="16">
        <f>E$60*E$65</f>
        <v>23608375</v>
      </c>
      <c r="F66" s="16">
        <f t="shared" si="17"/>
        <v>14079625</v>
      </c>
      <c r="G66" s="16">
        <f t="shared" si="17"/>
        <v>12203625</v>
      </c>
      <c r="H66" s="16">
        <f t="shared" si="17"/>
        <v>12263125</v>
      </c>
      <c r="I66" s="16">
        <f t="shared" si="17"/>
        <v>12313680.555555556</v>
      </c>
      <c r="J66" s="16">
        <f t="shared" si="17"/>
        <v>12339930.555555556</v>
      </c>
      <c r="K66" s="16">
        <f t="shared" si="17"/>
        <v>12334930.555555556</v>
      </c>
      <c r="L66" s="16">
        <f t="shared" si="17"/>
        <v>12288263.888888888</v>
      </c>
      <c r="M66" s="16">
        <f t="shared" si="17"/>
        <v>13058263.888888888</v>
      </c>
      <c r="N66" s="16">
        <f t="shared" si="17"/>
        <v>16847013.888888888</v>
      </c>
      <c r="O66" s="16">
        <f t="shared" si="17"/>
        <v>16438680.555555556</v>
      </c>
      <c r="P66" s="16">
        <f t="shared" si="17"/>
        <v>15738680.555555556</v>
      </c>
      <c r="Q66" s="16">
        <f t="shared" si="17"/>
        <v>0</v>
      </c>
      <c r="R66" s="16">
        <f>SUM($C66:$Q66)</f>
        <v>173514194.44444445</v>
      </c>
      <c r="S66" s="16">
        <f>$C66+NPV(10%,$D66:$Q66)</f>
        <v>91023914.014070585</v>
      </c>
    </row>
    <row r="67" spans="1:21" x14ac:dyDescent="0.3">
      <c r="A67" s="13" t="s">
        <v>122</v>
      </c>
      <c r="B67" s="14" t="s">
        <v>45</v>
      </c>
      <c r="C67" s="26">
        <v>0.15</v>
      </c>
      <c r="D67" s="26">
        <v>0.15</v>
      </c>
      <c r="E67" s="26">
        <v>0.15</v>
      </c>
      <c r="F67" s="26">
        <v>0.15</v>
      </c>
      <c r="G67" s="26">
        <v>0.15</v>
      </c>
      <c r="H67" s="26">
        <v>0.15</v>
      </c>
      <c r="I67" s="26">
        <v>0.15</v>
      </c>
      <c r="J67" s="26">
        <v>0.15</v>
      </c>
      <c r="K67" s="26">
        <v>0.15</v>
      </c>
      <c r="L67" s="26">
        <v>0.15</v>
      </c>
      <c r="M67" s="26">
        <v>0.15</v>
      </c>
      <c r="N67" s="26">
        <v>0.15</v>
      </c>
      <c r="O67" s="26">
        <v>0.15</v>
      </c>
      <c r="P67" s="26">
        <v>0.15</v>
      </c>
      <c r="Q67" s="26">
        <v>0.15</v>
      </c>
      <c r="R67" s="16"/>
      <c r="S67" s="16"/>
    </row>
    <row r="68" spans="1:21" x14ac:dyDescent="0.3">
      <c r="A68" s="13" t="s">
        <v>123</v>
      </c>
      <c r="B68" s="14" t="s">
        <v>21</v>
      </c>
      <c r="C68" s="17">
        <f>C$66*C$67</f>
        <v>0</v>
      </c>
      <c r="D68" s="17">
        <f t="shared" ref="D68:P68" si="18">D$66*D$67</f>
        <v>0</v>
      </c>
      <c r="E68" s="17">
        <f t="shared" si="18"/>
        <v>3541256.25</v>
      </c>
      <c r="F68" s="17">
        <f t="shared" si="18"/>
        <v>2111943.75</v>
      </c>
      <c r="G68" s="17">
        <f t="shared" si="18"/>
        <v>1830543.75</v>
      </c>
      <c r="H68" s="17">
        <f t="shared" si="18"/>
        <v>1839468.75</v>
      </c>
      <c r="I68" s="17">
        <f t="shared" si="18"/>
        <v>1847052.0833333333</v>
      </c>
      <c r="J68" s="17">
        <f t="shared" si="18"/>
        <v>1850989.5833333333</v>
      </c>
      <c r="K68" s="17">
        <f t="shared" si="18"/>
        <v>1850239.5833333333</v>
      </c>
      <c r="L68" s="17">
        <f t="shared" si="18"/>
        <v>1843239.5833333333</v>
      </c>
      <c r="M68" s="17">
        <f t="shared" si="18"/>
        <v>1958739.583333333</v>
      </c>
      <c r="N68" s="17">
        <f t="shared" si="18"/>
        <v>2527052.083333333</v>
      </c>
      <c r="O68" s="17">
        <f t="shared" si="18"/>
        <v>2465802.0833333335</v>
      </c>
      <c r="P68" s="17">
        <f t="shared" si="18"/>
        <v>2360802.0833333335</v>
      </c>
      <c r="Q68" s="17">
        <f>Q$66*Q$67</f>
        <v>0</v>
      </c>
      <c r="R68" s="17">
        <f>SUM($C68:$Q68)</f>
        <v>26027129.166666664</v>
      </c>
      <c r="S68" s="17">
        <f>$C68+NPV(10%,$D68:$Q68)</f>
        <v>13653587.102110585</v>
      </c>
      <c r="U68" s="4">
        <f>S68/$S$71</f>
        <v>3.2264248241727342E-2</v>
      </c>
    </row>
    <row r="70" spans="1:21" x14ac:dyDescent="0.3">
      <c r="A70" s="10" t="s">
        <v>124</v>
      </c>
      <c r="B70" s="11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1:21" x14ac:dyDescent="0.3">
      <c r="A71" s="13" t="s">
        <v>125</v>
      </c>
      <c r="B71" s="14" t="s">
        <v>21</v>
      </c>
      <c r="C71" s="17">
        <f>C$23+C$28+C$32+C$42+C$57+C$62+C$68</f>
        <v>65000</v>
      </c>
      <c r="D71" s="17">
        <f t="shared" ref="D71:P71" si="19">D$23+D$28+D$32+D$42+D$57+D$62+D$68</f>
        <v>15000</v>
      </c>
      <c r="E71" s="17">
        <f t="shared" si="19"/>
        <v>67871106.25</v>
      </c>
      <c r="F71" s="17">
        <f t="shared" si="19"/>
        <v>60475293.75</v>
      </c>
      <c r="G71" s="17">
        <f t="shared" si="19"/>
        <v>67347493.75</v>
      </c>
      <c r="H71" s="17">
        <f t="shared" si="19"/>
        <v>67542218.75</v>
      </c>
      <c r="I71" s="17">
        <f t="shared" si="19"/>
        <v>67656690.972222224</v>
      </c>
      <c r="J71" s="17">
        <f t="shared" si="19"/>
        <v>67716128.472222224</v>
      </c>
      <c r="K71" s="17">
        <f t="shared" si="19"/>
        <v>67704807.043650791</v>
      </c>
      <c r="L71" s="17">
        <f t="shared" si="19"/>
        <v>67599140.376984119</v>
      </c>
      <c r="M71" s="17">
        <f t="shared" si="19"/>
        <v>69342640.376984119</v>
      </c>
      <c r="N71" s="17">
        <f t="shared" si="19"/>
        <v>77921452.876984119</v>
      </c>
      <c r="O71" s="17">
        <f t="shared" si="19"/>
        <v>76996869.543650791</v>
      </c>
      <c r="P71" s="17">
        <f t="shared" si="19"/>
        <v>75411869.543650791</v>
      </c>
      <c r="Q71" s="17">
        <f>Q$23+Q$28+Q$32+Q$42+Q$57+Q$62+Q$68</f>
        <v>75000</v>
      </c>
      <c r="R71" s="17">
        <f>SUM($C71:$Q71)</f>
        <v>833740711.70634913</v>
      </c>
      <c r="S71" s="17">
        <f>$C71+NPV(10%,$D71:$Q71)</f>
        <v>423180078.4514299</v>
      </c>
    </row>
    <row r="72" spans="1:21" x14ac:dyDescent="0.3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 spans="1:21" x14ac:dyDescent="0.3">
      <c r="A73" s="10" t="s">
        <v>126</v>
      </c>
      <c r="B73" s="11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21" x14ac:dyDescent="0.3">
      <c r="A74" s="13" t="s">
        <v>127</v>
      </c>
      <c r="B74" s="14" t="s">
        <v>21</v>
      </c>
      <c r="C74" s="17">
        <f>C$19-C$71</f>
        <v>-50065000</v>
      </c>
      <c r="D74" s="17">
        <f t="shared" ref="D74:Q74" si="20">D$19-D$71</f>
        <v>-230015000</v>
      </c>
      <c r="E74" s="17">
        <f t="shared" si="20"/>
        <v>162128893.75</v>
      </c>
      <c r="F74" s="17">
        <f t="shared" si="20"/>
        <v>79524706.25</v>
      </c>
      <c r="G74" s="17">
        <f t="shared" si="20"/>
        <v>72652506.25</v>
      </c>
      <c r="H74" s="17">
        <f t="shared" si="20"/>
        <v>72457781.25</v>
      </c>
      <c r="I74" s="17">
        <f t="shared" si="20"/>
        <v>72343309.027777776</v>
      </c>
      <c r="J74" s="17">
        <f t="shared" si="20"/>
        <v>72283871.527777776</v>
      </c>
      <c r="K74" s="17">
        <f t="shared" si="20"/>
        <v>72295192.956349209</v>
      </c>
      <c r="L74" s="17">
        <f t="shared" si="20"/>
        <v>72400859.623015881</v>
      </c>
      <c r="M74" s="17">
        <f t="shared" si="20"/>
        <v>70657359.623015881</v>
      </c>
      <c r="N74" s="17">
        <f t="shared" si="20"/>
        <v>62078547.123015881</v>
      </c>
      <c r="O74" s="17">
        <f t="shared" si="20"/>
        <v>63003130.456349209</v>
      </c>
      <c r="P74" s="17">
        <f t="shared" si="20"/>
        <v>64588130.456349209</v>
      </c>
      <c r="Q74" s="17">
        <f t="shared" si="20"/>
        <v>-30075000</v>
      </c>
      <c r="R74" s="17">
        <f>SUM($C74:$Q74)</f>
        <v>626259288.29365087</v>
      </c>
      <c r="S74" s="17">
        <f>$C74+NPV(10%,$D74:$Q74)</f>
        <v>251406381.21364385</v>
      </c>
    </row>
    <row r="75" spans="1:21" x14ac:dyDescent="0.3">
      <c r="A75" s="13" t="s">
        <v>128</v>
      </c>
      <c r="B75" s="14" t="s">
        <v>45</v>
      </c>
      <c r="C75" s="21" t="str">
        <f>IF(ISNUMBER(IRR($C74:C74)),IF(IRR($C74:C74)&gt;0,IRR($C74:C74),""),"")</f>
        <v/>
      </c>
      <c r="D75" s="21" t="str">
        <f>IF(ISNUMBER(IRR($C74:D74)),IF(IRR($C74:D74)&gt;0,IRR($C74:D74),""),"")</f>
        <v/>
      </c>
      <c r="E75" s="21" t="str">
        <f>IF(ISNUMBER(IRR($C74:E74)),IF(IRR($C74:E74)&gt;0,IRR($C74:E74),""),"")</f>
        <v/>
      </c>
      <c r="F75" s="21" t="str">
        <f>IF(ISNUMBER(IRR($C74:F74)),IF(IRR($C74:F74)&gt;0,IRR($C74:F74),""),"")</f>
        <v/>
      </c>
      <c r="G75" s="21">
        <f>IF(ISNUMBER(IRR($C74:G74)),IF(IRR($C74:G74)&gt;0,IRR($C74:G74),""),"")</f>
        <v>6.3300608537802949E-2</v>
      </c>
      <c r="H75" s="21">
        <f>IF(ISNUMBER(IRR($C74:H74)),IF(IRR($C74:H74)&gt;0,IRR($C74:H74),""),"")</f>
        <v>0.15502156454438132</v>
      </c>
      <c r="I75" s="21">
        <f>IF(ISNUMBER(IRR($C74:I74)),IF(IRR($C74:I74)&gt;0,IRR($C74:I74),""),"")</f>
        <v>0.21072177151245763</v>
      </c>
      <c r="J75" s="21">
        <f>IF(ISNUMBER(IRR($C74:J74)),IF(IRR($C74:J74)&gt;0,IRR($C74:J74),""),"")</f>
        <v>0.2459525244115206</v>
      </c>
      <c r="K75" s="21">
        <f>IF(ISNUMBER(IRR($C74:K74)),IF(IRR($C74:K74)&gt;0,IRR($C74:K74),""),"")</f>
        <v>0.26903707684287514</v>
      </c>
      <c r="L75" s="21">
        <f>IF(ISNUMBER(IRR($C74:L74)),IF(IRR($C74:L74)&gt;0,IRR($C74:L74),""),"")</f>
        <v>0.28460866101018301</v>
      </c>
      <c r="M75" s="21">
        <f>IF(ISNUMBER(IRR($C74:M74)),IF(IRR($C74:M74)&gt;0,IRR($C74:M74),""),"")</f>
        <v>0.29508806858863168</v>
      </c>
      <c r="N75" s="21">
        <f>IF(ISNUMBER(IRR($C74:N74)),IF(IRR($C74:N74)&gt;0,IRR($C74:N74),""),"")</f>
        <v>0.30159041238292517</v>
      </c>
      <c r="O75" s="21">
        <f>IF(ISNUMBER(IRR($C74:O74)),IF(IRR($C74:O74)&gt;0,IRR($C74:O74),""),"")</f>
        <v>0.30633335358751035</v>
      </c>
      <c r="P75" s="21">
        <f>IF(ISNUMBER(IRR($C74:P74)),IF(IRR($C74:P74)&gt;0,IRR($C74:P74),""),"")</f>
        <v>0.30985796279351296</v>
      </c>
      <c r="Q75" s="21">
        <f>IF(ISNUMBER(IRR($C74:Q74)),IF(IRR($C74:Q74)&gt;0,IRR($C74:Q74),""),"")</f>
        <v>0.30862358741178997</v>
      </c>
      <c r="R75" s="22"/>
      <c r="S75" s="22"/>
    </row>
    <row r="76" spans="1:21" x14ac:dyDescent="0.3">
      <c r="A76" s="30"/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 spans="1:21" x14ac:dyDescent="0.3">
      <c r="A77" s="10" t="s">
        <v>129</v>
      </c>
      <c r="B77" s="11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21" x14ac:dyDescent="0.3">
      <c r="A78" s="13" t="s">
        <v>130</v>
      </c>
      <c r="B78" s="14" t="s">
        <v>21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>
        <f>R$19</f>
        <v>1460000000</v>
      </c>
      <c r="S78" s="17">
        <f>S$19</f>
        <v>674586459.66507375</v>
      </c>
    </row>
    <row r="79" spans="1:21" x14ac:dyDescent="0.3">
      <c r="A79" s="13" t="s">
        <v>131</v>
      </c>
      <c r="B79" s="14" t="s">
        <v>45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3">
        <f>R$71/R$78</f>
        <v>0.57105528199065014</v>
      </c>
      <c r="S79" s="33">
        <f>S$71/S$78</f>
        <v>0.62731777726688298</v>
      </c>
    </row>
    <row r="80" spans="1:21" x14ac:dyDescent="0.3">
      <c r="A80" s="13" t="s">
        <v>132</v>
      </c>
      <c r="B80" s="14" t="s">
        <v>45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3">
        <f>R$74/R$78</f>
        <v>0.42894471800934991</v>
      </c>
      <c r="S80" s="33">
        <f>S$74/S$78</f>
        <v>0.37268222273311696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showGridLines="0" tabSelected="1" zoomScale="87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S71" sqref="S71"/>
    </sheetView>
  </sheetViews>
  <sheetFormatPr baseColWidth="10" defaultColWidth="10.109375" defaultRowHeight="14.4" x14ac:dyDescent="0.3"/>
  <cols>
    <col min="1" max="1" width="36" style="6" bestFit="1" customWidth="1"/>
    <col min="2" max="17" width="10.109375" style="6"/>
    <col min="18" max="19" width="14.21875" style="6" customWidth="1"/>
    <col min="20" max="20" width="10.109375" style="6"/>
    <col min="21" max="21" width="10.109375" style="4"/>
    <col min="22" max="16384" width="10.109375" style="6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13</v>
      </c>
      <c r="S1" s="5" t="s">
        <v>14</v>
      </c>
    </row>
    <row r="2" spans="1:19" x14ac:dyDescent="0.3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22.2" customHeight="1" x14ac:dyDescent="0.3">
      <c r="A3" s="10" t="s">
        <v>15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3">
      <c r="A4" s="13" t="s">
        <v>16</v>
      </c>
      <c r="B4" s="14" t="s">
        <v>17</v>
      </c>
      <c r="C4" s="15"/>
      <c r="D4" s="15"/>
      <c r="E4" s="15">
        <v>300000</v>
      </c>
      <c r="F4" s="15">
        <v>300000</v>
      </c>
      <c r="G4" s="15">
        <v>300000</v>
      </c>
      <c r="H4" s="15">
        <v>300000</v>
      </c>
      <c r="I4" s="15">
        <v>300000</v>
      </c>
      <c r="J4" s="15">
        <v>300000</v>
      </c>
      <c r="K4" s="15">
        <v>300000</v>
      </c>
      <c r="L4" s="15">
        <v>300000</v>
      </c>
      <c r="M4" s="15">
        <v>300000</v>
      </c>
      <c r="N4" s="15">
        <v>300000</v>
      </c>
      <c r="O4" s="15">
        <v>300000</v>
      </c>
      <c r="P4" s="15">
        <v>300000</v>
      </c>
      <c r="Q4" s="15"/>
      <c r="R4" s="16">
        <f>SUM($C4:$Q4)</f>
        <v>3600000</v>
      </c>
      <c r="S4" s="16"/>
    </row>
    <row r="5" spans="1:19" x14ac:dyDescent="0.3">
      <c r="A5" s="13" t="s">
        <v>18</v>
      </c>
      <c r="B5" s="14" t="s">
        <v>19</v>
      </c>
      <c r="C5" s="15"/>
      <c r="D5" s="15"/>
      <c r="E5" s="15">
        <v>1600</v>
      </c>
      <c r="F5" s="15">
        <v>1600</v>
      </c>
      <c r="G5" s="15">
        <v>1600</v>
      </c>
      <c r="H5" s="15">
        <v>1600</v>
      </c>
      <c r="I5" s="15">
        <v>1600</v>
      </c>
      <c r="J5" s="15">
        <v>1600</v>
      </c>
      <c r="K5" s="15">
        <v>1600</v>
      </c>
      <c r="L5" s="15">
        <v>1600</v>
      </c>
      <c r="M5" s="15">
        <v>1600</v>
      </c>
      <c r="N5" s="15">
        <v>1600</v>
      </c>
      <c r="O5" s="15">
        <v>1600</v>
      </c>
      <c r="P5" s="15">
        <v>1600</v>
      </c>
      <c r="Q5" s="15"/>
      <c r="R5" s="16"/>
      <c r="S5" s="16"/>
    </row>
    <row r="6" spans="1:19" x14ac:dyDescent="0.3">
      <c r="A6" s="13" t="s">
        <v>20</v>
      </c>
      <c r="B6" s="14" t="s">
        <v>21</v>
      </c>
      <c r="C6" s="17">
        <f>C$4*C$5</f>
        <v>0</v>
      </c>
      <c r="D6" s="17">
        <f t="shared" ref="D6:Q6" si="0">D$4*D$5</f>
        <v>0</v>
      </c>
      <c r="E6" s="17">
        <f t="shared" si="0"/>
        <v>480000000</v>
      </c>
      <c r="F6" s="17">
        <f>F$4*F$5</f>
        <v>480000000</v>
      </c>
      <c r="G6" s="17">
        <f t="shared" si="0"/>
        <v>480000000</v>
      </c>
      <c r="H6" s="17">
        <f t="shared" si="0"/>
        <v>480000000</v>
      </c>
      <c r="I6" s="17">
        <f t="shared" si="0"/>
        <v>480000000</v>
      </c>
      <c r="J6" s="17">
        <f t="shared" si="0"/>
        <v>480000000</v>
      </c>
      <c r="K6" s="17">
        <f t="shared" si="0"/>
        <v>480000000</v>
      </c>
      <c r="L6" s="17">
        <f t="shared" si="0"/>
        <v>480000000</v>
      </c>
      <c r="M6" s="17">
        <f t="shared" si="0"/>
        <v>480000000</v>
      </c>
      <c r="N6" s="17">
        <f t="shared" si="0"/>
        <v>480000000</v>
      </c>
      <c r="O6" s="17">
        <f t="shared" si="0"/>
        <v>480000000</v>
      </c>
      <c r="P6" s="17">
        <f t="shared" si="0"/>
        <v>480000000</v>
      </c>
      <c r="Q6" s="17">
        <f t="shared" si="0"/>
        <v>0</v>
      </c>
      <c r="R6" s="17">
        <f>SUM($C6:$Q6)</f>
        <v>5760000000</v>
      </c>
      <c r="S6" s="17">
        <f>$C6+NPV(10%,$D6:$Q6)</f>
        <v>2973247340.9002595</v>
      </c>
    </row>
    <row r="8" spans="1:19" ht="22.8" customHeight="1" x14ac:dyDescent="0.3">
      <c r="A8" s="10" t="s">
        <v>26</v>
      </c>
      <c r="B8" s="1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x14ac:dyDescent="0.3">
      <c r="A9" s="13" t="s">
        <v>27</v>
      </c>
      <c r="B9" s="14" t="s">
        <v>21</v>
      </c>
      <c r="C9" s="15">
        <v>50000000</v>
      </c>
      <c r="D9" s="15">
        <v>150000000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>
        <f>SUM($C9:$Q9)</f>
        <v>200000000</v>
      </c>
      <c r="S9" s="16">
        <f>$C9+NPV(10%,$D9:$Q9)</f>
        <v>186363636.36363634</v>
      </c>
    </row>
    <row r="10" spans="1:19" x14ac:dyDescent="0.3">
      <c r="A10" s="13" t="s">
        <v>28</v>
      </c>
      <c r="B10" s="14" t="s">
        <v>21</v>
      </c>
      <c r="C10" s="15"/>
      <c r="D10" s="15">
        <v>80000000</v>
      </c>
      <c r="E10" s="15">
        <v>10000000</v>
      </c>
      <c r="F10" s="15">
        <v>10000000</v>
      </c>
      <c r="G10" s="15">
        <v>10000000</v>
      </c>
      <c r="H10" s="15">
        <v>10000000</v>
      </c>
      <c r="I10" s="15">
        <v>10000000</v>
      </c>
      <c r="J10" s="15">
        <v>10000000</v>
      </c>
      <c r="K10" s="15">
        <v>10000000</v>
      </c>
      <c r="L10" s="15">
        <v>10000000</v>
      </c>
      <c r="M10" s="15">
        <v>10000000</v>
      </c>
      <c r="N10" s="15">
        <v>10000000</v>
      </c>
      <c r="O10" s="15">
        <v>10000000</v>
      </c>
      <c r="P10" s="15">
        <v>10000000</v>
      </c>
      <c r="Q10" s="15"/>
      <c r="R10" s="16">
        <f>SUM($C10:$Q10)</f>
        <v>200000000</v>
      </c>
      <c r="S10" s="16">
        <f>$C10+NPV(10%,$D10:$Q10)</f>
        <v>134669925.66269481</v>
      </c>
    </row>
    <row r="11" spans="1:19" x14ac:dyDescent="0.3">
      <c r="A11" s="13" t="s">
        <v>29</v>
      </c>
      <c r="B11" s="14" t="s">
        <v>21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>
        <v>30000000</v>
      </c>
      <c r="R11" s="16">
        <f>SUM($C11:$Q11)</f>
        <v>30000000</v>
      </c>
      <c r="S11" s="16">
        <f>$C11+NPV(10%,$D11:$Q11)</f>
        <v>27272727.27272727</v>
      </c>
    </row>
    <row r="12" spans="1:19" x14ac:dyDescent="0.3">
      <c r="A12" s="13" t="s">
        <v>30</v>
      </c>
      <c r="B12" s="14" t="s">
        <v>21</v>
      </c>
      <c r="C12" s="17">
        <f>SUM(C$9:C$11)</f>
        <v>50000000</v>
      </c>
      <c r="D12" s="17">
        <f>SUM(D$9:D$11)</f>
        <v>230000000</v>
      </c>
      <c r="E12" s="17">
        <f>SUM(E$9:E$11)</f>
        <v>10000000</v>
      </c>
      <c r="F12" s="17">
        <f>SUM(F$9:F$11)</f>
        <v>10000000</v>
      </c>
      <c r="G12" s="17">
        <f t="shared" ref="G12:Q12" si="1">SUM(G$9:G$11)</f>
        <v>10000000</v>
      </c>
      <c r="H12" s="17">
        <f t="shared" si="1"/>
        <v>10000000</v>
      </c>
      <c r="I12" s="17">
        <f t="shared" si="1"/>
        <v>10000000</v>
      </c>
      <c r="J12" s="17">
        <f t="shared" si="1"/>
        <v>10000000</v>
      </c>
      <c r="K12" s="17">
        <f t="shared" si="1"/>
        <v>10000000</v>
      </c>
      <c r="L12" s="17">
        <f t="shared" si="1"/>
        <v>10000000</v>
      </c>
      <c r="M12" s="17">
        <f t="shared" si="1"/>
        <v>10000000</v>
      </c>
      <c r="N12" s="17">
        <f t="shared" si="1"/>
        <v>10000000</v>
      </c>
      <c r="O12" s="17">
        <f t="shared" si="1"/>
        <v>10000000</v>
      </c>
      <c r="P12" s="17">
        <f t="shared" si="1"/>
        <v>10000000</v>
      </c>
      <c r="Q12" s="17">
        <f t="shared" si="1"/>
        <v>30000000</v>
      </c>
      <c r="R12" s="17">
        <f>SUM($C12:$Q12)</f>
        <v>430000000</v>
      </c>
      <c r="S12" s="17">
        <f>$C12+NPV(10%,$D12:$Q12)</f>
        <v>328933499.65551353</v>
      </c>
    </row>
    <row r="13" spans="1:19" x14ac:dyDescent="0.3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30.6" customHeight="1" x14ac:dyDescent="0.3">
      <c r="A14" s="10" t="s">
        <v>31</v>
      </c>
      <c r="B14" s="11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x14ac:dyDescent="0.3">
      <c r="A15" s="13" t="s">
        <v>32</v>
      </c>
      <c r="B15" s="14" t="s">
        <v>19</v>
      </c>
      <c r="C15" s="15"/>
      <c r="D15" s="15"/>
      <c r="E15" s="15">
        <v>800</v>
      </c>
      <c r="F15" s="15">
        <v>800</v>
      </c>
      <c r="G15" s="15">
        <v>800</v>
      </c>
      <c r="H15" s="15">
        <v>800</v>
      </c>
      <c r="I15" s="15">
        <v>800</v>
      </c>
      <c r="J15" s="15">
        <v>800</v>
      </c>
      <c r="K15" s="15">
        <v>800</v>
      </c>
      <c r="L15" s="15">
        <v>800</v>
      </c>
      <c r="M15" s="15">
        <v>800</v>
      </c>
      <c r="N15" s="15">
        <v>800</v>
      </c>
      <c r="O15" s="15">
        <v>800</v>
      </c>
      <c r="P15" s="15">
        <v>800</v>
      </c>
      <c r="Q15" s="15"/>
      <c r="R15" s="19"/>
      <c r="S15" s="19"/>
    </row>
    <row r="16" spans="1:19" x14ac:dyDescent="0.3">
      <c r="A16" s="13" t="s">
        <v>33</v>
      </c>
      <c r="B16" s="14" t="s">
        <v>21</v>
      </c>
      <c r="C16" s="17">
        <f>C$4*C$15</f>
        <v>0</v>
      </c>
      <c r="D16" s="17">
        <f t="shared" ref="D16:Q16" si="2">D$4*D$15</f>
        <v>0</v>
      </c>
      <c r="E16" s="17">
        <f>E$4*E$15</f>
        <v>240000000</v>
      </c>
      <c r="F16" s="17">
        <f>F$4*F$15</f>
        <v>240000000</v>
      </c>
      <c r="G16" s="17">
        <f t="shared" si="2"/>
        <v>240000000</v>
      </c>
      <c r="H16" s="17">
        <f t="shared" si="2"/>
        <v>240000000</v>
      </c>
      <c r="I16" s="17">
        <f t="shared" si="2"/>
        <v>240000000</v>
      </c>
      <c r="J16" s="17">
        <f t="shared" si="2"/>
        <v>240000000</v>
      </c>
      <c r="K16" s="17">
        <f t="shared" si="2"/>
        <v>240000000</v>
      </c>
      <c r="L16" s="17">
        <f t="shared" si="2"/>
        <v>240000000</v>
      </c>
      <c r="M16" s="17">
        <f t="shared" si="2"/>
        <v>240000000</v>
      </c>
      <c r="N16" s="17">
        <f t="shared" si="2"/>
        <v>240000000</v>
      </c>
      <c r="O16" s="17">
        <f t="shared" si="2"/>
        <v>240000000</v>
      </c>
      <c r="P16" s="17">
        <f t="shared" si="2"/>
        <v>240000000</v>
      </c>
      <c r="Q16" s="17">
        <f t="shared" si="2"/>
        <v>0</v>
      </c>
      <c r="R16" s="17">
        <f>SUM($C16:$Q16)</f>
        <v>2880000000</v>
      </c>
      <c r="S16" s="17">
        <f>$C16+NPV(10%,$D16:$Q16)</f>
        <v>1486623670.4501297</v>
      </c>
    </row>
    <row r="18" spans="1:21" x14ac:dyDescent="0.3">
      <c r="A18" s="10" t="s">
        <v>80</v>
      </c>
      <c r="B18" s="1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21" x14ac:dyDescent="0.3">
      <c r="A19" s="13" t="s">
        <v>81</v>
      </c>
      <c r="B19" s="14" t="s">
        <v>21</v>
      </c>
      <c r="C19" s="17">
        <f>C$6-C$12-C$16</f>
        <v>-50000000</v>
      </c>
      <c r="D19" s="17">
        <f t="shared" ref="D19:Q19" si="3">D$6-D$12-D$16</f>
        <v>-230000000</v>
      </c>
      <c r="E19" s="17">
        <f>E$6-E$12-E$16</f>
        <v>230000000</v>
      </c>
      <c r="F19" s="17">
        <f t="shared" si="3"/>
        <v>230000000</v>
      </c>
      <c r="G19" s="17">
        <f>G$6-G$12-G$16</f>
        <v>230000000</v>
      </c>
      <c r="H19" s="17">
        <f>H$6-H$12-H$16</f>
        <v>230000000</v>
      </c>
      <c r="I19" s="17">
        <f t="shared" si="3"/>
        <v>230000000</v>
      </c>
      <c r="J19" s="17">
        <f t="shared" si="3"/>
        <v>230000000</v>
      </c>
      <c r="K19" s="17">
        <f t="shared" si="3"/>
        <v>230000000</v>
      </c>
      <c r="L19" s="17">
        <f t="shared" si="3"/>
        <v>230000000</v>
      </c>
      <c r="M19" s="17">
        <f t="shared" si="3"/>
        <v>230000000</v>
      </c>
      <c r="N19" s="17">
        <f t="shared" si="3"/>
        <v>230000000</v>
      </c>
      <c r="O19" s="17">
        <f t="shared" si="3"/>
        <v>230000000</v>
      </c>
      <c r="P19" s="17">
        <f t="shared" si="3"/>
        <v>230000000</v>
      </c>
      <c r="Q19" s="17">
        <f t="shared" si="3"/>
        <v>-30000000</v>
      </c>
      <c r="R19" s="17">
        <f>SUM($C19:$Q19)</f>
        <v>2450000000</v>
      </c>
      <c r="S19" s="17">
        <f>$C19+NPV(10%,$D19:$Q19)</f>
        <v>1157690170.7946157</v>
      </c>
    </row>
    <row r="20" spans="1:21" x14ac:dyDescent="0.3">
      <c r="A20" s="13" t="s">
        <v>82</v>
      </c>
      <c r="B20" s="14" t="s">
        <v>45</v>
      </c>
      <c r="C20" s="21" t="str">
        <f>IF(ISNUMBER(IRR($C19:C19)),IF(IRR($C19:C19)&gt;0,IRR($C19:C19),""),"")</f>
        <v/>
      </c>
      <c r="D20" s="21" t="str">
        <f>IF(ISNUMBER(IRR($C19:D19)),IF(IRR($C19:D19)&gt;0,IRR($C19:D19),""),"")</f>
        <v/>
      </c>
      <c r="E20" s="21" t="str">
        <f>IF(ISNUMBER(IRR($C19:E19)),IF(IRR($C19:E19)&gt;0,IRR($C19:E19),""),"")</f>
        <v/>
      </c>
      <c r="F20" s="21">
        <f>IF(ISNUMBER(IRR($C19:F19)),IF(IRR($C19:F19)&gt;0,IRR($C19:F19),""),"")</f>
        <v>0.34744636761395986</v>
      </c>
      <c r="G20" s="21">
        <f>IF(ISNUMBER(IRR($C19:G19)),IF(IRR($C19:G19)&gt;0,IRR($C19:G19),""),"")</f>
        <v>0.54585935279054287</v>
      </c>
      <c r="H20" s="21">
        <f>IF(ISNUMBER(IRR($C19:H19)),IF(IRR($C19:H19)&gt;0,IRR($C19:H19),""),"")</f>
        <v>0.63444649209970971</v>
      </c>
      <c r="I20" s="21">
        <f>IF(ISNUMBER(IRR($C19:I19)),IF(IRR($C19:I19)&gt;0,IRR($C19:I19),""),"")</f>
        <v>0.67761810820461577</v>
      </c>
      <c r="J20" s="21">
        <f>IF(ISNUMBER(IRR($C19:J19)),IF(IRR($C19:J19)&gt;0,IRR($C19:J19),""),"")</f>
        <v>0.6999092347670226</v>
      </c>
      <c r="K20" s="21">
        <f>IF(ISNUMBER(IRR($C19:K19)),IF(IRR($C19:K19)&gt;0,IRR($C19:K19),""),"")</f>
        <v>0.71186937412281837</v>
      </c>
      <c r="L20" s="21">
        <f>IF(ISNUMBER(IRR($C19:L19)),IF(IRR($C19:L19)&gt;0,IRR($C19:L19),""),"")</f>
        <v>0.71845333312114201</v>
      </c>
      <c r="M20" s="21">
        <f>IF(ISNUMBER(IRR($C19:M19)),IF(IRR($C19:M19)&gt;0,IRR($C19:M19),""),"")</f>
        <v>0.72214060897349963</v>
      </c>
      <c r="N20" s="21">
        <f>IF(ISNUMBER(IRR($C19:N19)),IF(IRR($C19:N19)&gt;0,IRR($C19:N19),""),"")</f>
        <v>0.72422949416520521</v>
      </c>
      <c r="O20" s="21">
        <f>IF(ISNUMBER(IRR($C19:O19)),IF(IRR($C19:O19)&gt;0,IRR($C19:O19),""),"")</f>
        <v>0.72542194383491476</v>
      </c>
      <c r="P20" s="21">
        <f>IF(ISNUMBER(IRR($C19:P19)),IF(IRR($C19:P19)&gt;0,IRR($C19:P19),""),"")</f>
        <v>0.72610609726157249</v>
      </c>
      <c r="Q20" s="21">
        <f>IF(ISNUMBER(IRR($C19:Q19)),IF(IRR($C19:Q19)&gt;0,IRR($C19:Q19),""),"")</f>
        <v>0.72605458453962268</v>
      </c>
      <c r="R20" s="22"/>
      <c r="S20" s="22"/>
    </row>
    <row r="22" spans="1:21" x14ac:dyDescent="0.3">
      <c r="A22" s="10" t="s">
        <v>83</v>
      </c>
      <c r="B22" s="23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21" x14ac:dyDescent="0.3">
      <c r="A23" s="13" t="s">
        <v>84</v>
      </c>
      <c r="B23" s="14" t="s">
        <v>21</v>
      </c>
      <c r="C23" s="24">
        <v>5000000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17">
        <f>SUM($C23:$Q23)</f>
        <v>5000000</v>
      </c>
      <c r="S23" s="17">
        <f>$C23+NPV(10%,$D23:$Q23)</f>
        <v>5000000</v>
      </c>
    </row>
    <row r="25" spans="1:21" x14ac:dyDescent="0.3">
      <c r="A25" s="10" t="s">
        <v>85</v>
      </c>
      <c r="B25" s="1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21" x14ac:dyDescent="0.3">
      <c r="A26" s="13" t="s">
        <v>86</v>
      </c>
      <c r="B26" s="14" t="s">
        <v>87</v>
      </c>
      <c r="C26" s="15">
        <v>150</v>
      </c>
      <c r="D26" s="15">
        <v>150</v>
      </c>
      <c r="E26" s="15">
        <v>150</v>
      </c>
      <c r="F26" s="15">
        <v>150</v>
      </c>
      <c r="G26" s="15">
        <v>150</v>
      </c>
      <c r="H26" s="15">
        <v>150</v>
      </c>
      <c r="I26" s="15">
        <v>150</v>
      </c>
      <c r="J26" s="15">
        <v>150</v>
      </c>
      <c r="K26" s="15">
        <v>150</v>
      </c>
      <c r="L26" s="15">
        <v>150</v>
      </c>
      <c r="M26" s="15">
        <v>150</v>
      </c>
      <c r="N26" s="15">
        <v>150</v>
      </c>
      <c r="O26" s="15">
        <v>150</v>
      </c>
      <c r="P26" s="15">
        <v>150</v>
      </c>
      <c r="Q26" s="15">
        <v>150</v>
      </c>
      <c r="R26" s="19"/>
      <c r="S26" s="19"/>
    </row>
    <row r="27" spans="1:21" x14ac:dyDescent="0.3">
      <c r="A27" s="13" t="s">
        <v>88</v>
      </c>
      <c r="B27" s="14" t="s">
        <v>89</v>
      </c>
      <c r="C27" s="24">
        <v>100</v>
      </c>
      <c r="D27" s="24">
        <v>100</v>
      </c>
      <c r="E27" s="24">
        <v>100</v>
      </c>
      <c r="F27" s="24">
        <v>100</v>
      </c>
      <c r="G27" s="24">
        <v>100</v>
      </c>
      <c r="H27" s="24">
        <v>500</v>
      </c>
      <c r="I27" s="24">
        <v>500</v>
      </c>
      <c r="J27" s="24">
        <v>500</v>
      </c>
      <c r="K27" s="24">
        <v>500</v>
      </c>
      <c r="L27" s="24">
        <v>500</v>
      </c>
      <c r="M27" s="24">
        <v>500</v>
      </c>
      <c r="N27" s="24">
        <v>500</v>
      </c>
      <c r="O27" s="24">
        <v>500</v>
      </c>
      <c r="P27" s="24">
        <v>500</v>
      </c>
      <c r="Q27" s="24">
        <v>500</v>
      </c>
      <c r="R27" s="19"/>
      <c r="S27" s="19"/>
    </row>
    <row r="28" spans="1:21" x14ac:dyDescent="0.3">
      <c r="A28" s="13" t="s">
        <v>90</v>
      </c>
      <c r="B28" s="14" t="s">
        <v>21</v>
      </c>
      <c r="C28" s="17">
        <f>C$26*C$27</f>
        <v>15000</v>
      </c>
      <c r="D28" s="17">
        <f t="shared" ref="D28:P28" si="4">D$26*D$27</f>
        <v>15000</v>
      </c>
      <c r="E28" s="17">
        <f>E$26*E$27</f>
        <v>15000</v>
      </c>
      <c r="F28" s="17">
        <f t="shared" si="4"/>
        <v>15000</v>
      </c>
      <c r="G28" s="17">
        <f t="shared" si="4"/>
        <v>15000</v>
      </c>
      <c r="H28" s="17">
        <f t="shared" si="4"/>
        <v>75000</v>
      </c>
      <c r="I28" s="17">
        <f t="shared" si="4"/>
        <v>75000</v>
      </c>
      <c r="J28" s="17">
        <f t="shared" si="4"/>
        <v>75000</v>
      </c>
      <c r="K28" s="17">
        <f t="shared" si="4"/>
        <v>75000</v>
      </c>
      <c r="L28" s="17">
        <f t="shared" si="4"/>
        <v>75000</v>
      </c>
      <c r="M28" s="17">
        <f t="shared" si="4"/>
        <v>75000</v>
      </c>
      <c r="N28" s="17">
        <f t="shared" si="4"/>
        <v>75000</v>
      </c>
      <c r="O28" s="17">
        <f t="shared" si="4"/>
        <v>75000</v>
      </c>
      <c r="P28" s="17">
        <f t="shared" si="4"/>
        <v>75000</v>
      </c>
      <c r="Q28" s="17">
        <f>Q$26*Q$27</f>
        <v>75000</v>
      </c>
      <c r="R28" s="17">
        <f>SUM($C28:$Q28)</f>
        <v>825000</v>
      </c>
      <c r="S28" s="17">
        <f>$C28+NPV(10%,$D28:$Q28)</f>
        <v>377309.63248948212</v>
      </c>
      <c r="U28" s="4">
        <f>S28/$S$71</f>
        <v>5.0563351933531576E-4</v>
      </c>
    </row>
    <row r="30" spans="1:21" x14ac:dyDescent="0.3">
      <c r="A30" s="10" t="s">
        <v>91</v>
      </c>
      <c r="B30" s="1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21" x14ac:dyDescent="0.3">
      <c r="A31" s="13" t="s">
        <v>92</v>
      </c>
      <c r="B31" s="14" t="s">
        <v>45</v>
      </c>
      <c r="C31" s="26">
        <v>0.06</v>
      </c>
      <c r="D31" s="26">
        <v>0.06</v>
      </c>
      <c r="E31" s="26">
        <v>0.06</v>
      </c>
      <c r="F31" s="26">
        <v>0.06</v>
      </c>
      <c r="G31" s="26">
        <v>0.06</v>
      </c>
      <c r="H31" s="26">
        <v>0.06</v>
      </c>
      <c r="I31" s="26">
        <v>0.06</v>
      </c>
      <c r="J31" s="26">
        <v>0.06</v>
      </c>
      <c r="K31" s="26">
        <v>0.06</v>
      </c>
      <c r="L31" s="26">
        <v>0.06</v>
      </c>
      <c r="M31" s="26">
        <v>0.06</v>
      </c>
      <c r="N31" s="26">
        <v>0.06</v>
      </c>
      <c r="O31" s="26">
        <v>0.06</v>
      </c>
      <c r="P31" s="26">
        <v>0.06</v>
      </c>
      <c r="Q31" s="26">
        <v>0.06</v>
      </c>
      <c r="R31" s="19"/>
      <c r="S31" s="19"/>
    </row>
    <row r="32" spans="1:21" x14ac:dyDescent="0.3">
      <c r="A32" s="13" t="s">
        <v>93</v>
      </c>
      <c r="B32" s="14" t="s">
        <v>21</v>
      </c>
      <c r="C32" s="17">
        <f t="shared" ref="C32:P32" si="5">IF(ISNUMBER(C31),C$6*C$31,0)</f>
        <v>0</v>
      </c>
      <c r="D32" s="17">
        <f>IF(ISNUMBER(D31),D$6*D$31,0)</f>
        <v>0</v>
      </c>
      <c r="E32" s="17">
        <f>IF(ISNUMBER(E31),E$6*E$31,0)</f>
        <v>28800000</v>
      </c>
      <c r="F32" s="17">
        <f t="shared" si="5"/>
        <v>28800000</v>
      </c>
      <c r="G32" s="17">
        <f t="shared" si="5"/>
        <v>28800000</v>
      </c>
      <c r="H32" s="17">
        <f t="shared" si="5"/>
        <v>28800000</v>
      </c>
      <c r="I32" s="17">
        <f t="shared" si="5"/>
        <v>28800000</v>
      </c>
      <c r="J32" s="17">
        <f t="shared" si="5"/>
        <v>28800000</v>
      </c>
      <c r="K32" s="17">
        <f t="shared" si="5"/>
        <v>28800000</v>
      </c>
      <c r="L32" s="17">
        <f t="shared" si="5"/>
        <v>28800000</v>
      </c>
      <c r="M32" s="17">
        <f t="shared" si="5"/>
        <v>28800000</v>
      </c>
      <c r="N32" s="17">
        <f t="shared" si="5"/>
        <v>28800000</v>
      </c>
      <c r="O32" s="17">
        <f t="shared" si="5"/>
        <v>28800000</v>
      </c>
      <c r="P32" s="17">
        <f t="shared" si="5"/>
        <v>28800000</v>
      </c>
      <c r="Q32" s="17">
        <f>IF(ISNUMBER(Q31),Q$6*Q$31,0)</f>
        <v>0</v>
      </c>
      <c r="R32" s="17">
        <f>SUM($C32:$Q32)</f>
        <v>345600000</v>
      </c>
      <c r="S32" s="17">
        <f>$C32+NPV(10%,$D32:$Q32)</f>
        <v>178394840.45401558</v>
      </c>
      <c r="U32" s="4">
        <f>S32/$S$71</f>
        <v>0.23906734215840764</v>
      </c>
    </row>
    <row r="34" spans="1:21" ht="23.4" customHeight="1" x14ac:dyDescent="0.3">
      <c r="A34" s="10" t="s">
        <v>94</v>
      </c>
      <c r="B34" s="1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21" x14ac:dyDescent="0.3">
      <c r="A35" s="13" t="s">
        <v>95</v>
      </c>
      <c r="B35" s="14" t="s">
        <v>45</v>
      </c>
      <c r="C35" s="26">
        <v>0.02</v>
      </c>
      <c r="D35" s="26">
        <v>0.02</v>
      </c>
      <c r="E35" s="26">
        <v>0.02</v>
      </c>
      <c r="F35" s="26">
        <v>0.02</v>
      </c>
      <c r="G35" s="26">
        <v>0.02</v>
      </c>
      <c r="H35" s="26">
        <v>0.02</v>
      </c>
      <c r="I35" s="26">
        <v>0.02</v>
      </c>
      <c r="J35" s="26">
        <v>0.02</v>
      </c>
      <c r="K35" s="26">
        <v>0.02</v>
      </c>
      <c r="L35" s="26">
        <v>0.02</v>
      </c>
      <c r="M35" s="26">
        <v>0.02</v>
      </c>
      <c r="N35" s="26">
        <v>0.02</v>
      </c>
      <c r="O35" s="26">
        <v>0.02</v>
      </c>
      <c r="P35" s="26">
        <v>0.02</v>
      </c>
      <c r="Q35" s="26">
        <v>0.02</v>
      </c>
      <c r="R35" s="16"/>
      <c r="S35" s="16"/>
    </row>
    <row r="36" spans="1:21" x14ac:dyDescent="0.3">
      <c r="A36" s="13" t="s">
        <v>96</v>
      </c>
      <c r="B36" s="14" t="s">
        <v>21</v>
      </c>
      <c r="C36" s="16">
        <f>IF(C19&lt;0,C19*(1+C35),C19)</f>
        <v>-51000000</v>
      </c>
      <c r="D36" s="16">
        <f t="shared" ref="D36:Q36" si="6">IF(D19&lt;0,D19*(1+D35),D19)</f>
        <v>-234600000</v>
      </c>
      <c r="E36" s="16">
        <f t="shared" si="6"/>
        <v>230000000</v>
      </c>
      <c r="F36" s="16">
        <f t="shared" si="6"/>
        <v>230000000</v>
      </c>
      <c r="G36" s="16">
        <f t="shared" si="6"/>
        <v>230000000</v>
      </c>
      <c r="H36" s="16">
        <f t="shared" si="6"/>
        <v>230000000</v>
      </c>
      <c r="I36" s="16">
        <f t="shared" si="6"/>
        <v>230000000</v>
      </c>
      <c r="J36" s="16">
        <f t="shared" si="6"/>
        <v>230000000</v>
      </c>
      <c r="K36" s="16">
        <f t="shared" si="6"/>
        <v>230000000</v>
      </c>
      <c r="L36" s="16">
        <f t="shared" si="6"/>
        <v>230000000</v>
      </c>
      <c r="M36" s="16">
        <f t="shared" si="6"/>
        <v>230000000</v>
      </c>
      <c r="N36" s="16">
        <f t="shared" si="6"/>
        <v>230000000</v>
      </c>
      <c r="O36" s="16">
        <f t="shared" si="6"/>
        <v>230000000</v>
      </c>
      <c r="P36" s="16">
        <f t="shared" si="6"/>
        <v>230000000</v>
      </c>
      <c r="Q36" s="16">
        <f t="shared" si="6"/>
        <v>-30600000</v>
      </c>
      <c r="R36" s="16">
        <f>SUM($C36:$Q36)</f>
        <v>2443800000</v>
      </c>
      <c r="S36" s="16">
        <f>$C36+NPV(10%,$D36:$Q36)</f>
        <v>1152350353.860214</v>
      </c>
    </row>
    <row r="37" spans="1:21" x14ac:dyDescent="0.3">
      <c r="A37" s="13" t="s">
        <v>97</v>
      </c>
      <c r="B37" s="14" t="s">
        <v>45</v>
      </c>
      <c r="C37" s="27" t="str">
        <f>IF(ISNUMBER(IRR($C36:C36)),IF(IRR($C36:C36)&gt;0,IRR($C36:C36),""),"")</f>
        <v/>
      </c>
      <c r="D37" s="27" t="str">
        <f>IF(ISNUMBER(IRR($C36:D36)),IF(IRR($C36:D36)&gt;0,IRR($C36:D36),""),"")</f>
        <v/>
      </c>
      <c r="E37" s="27" t="str">
        <f>IF(ISNUMBER(IRR($C36:E36)),IF(IRR($C36:E36)&gt;0,IRR($C36:E36),""),"")</f>
        <v/>
      </c>
      <c r="F37" s="27">
        <f>IF(ISNUMBER(IRR($C36:F36)),IF(IRR($C36:F36)&gt;0,IRR($C36:F36),""),"")</f>
        <v>0.33140024841939231</v>
      </c>
      <c r="G37" s="27">
        <f>IF(ISNUMBER(IRR($C36:G36)),IF(IRR($C36:G36)&gt;0,IRR($C36:G36),""),"")</f>
        <v>0.53041423971445112</v>
      </c>
      <c r="H37" s="27">
        <f>IF(ISNUMBER(IRR($C36:H36)),IF(IRR($C36:H36)&gt;0,IRR($C36:H36),""),"")</f>
        <v>0.61973586690909976</v>
      </c>
      <c r="I37" s="27">
        <f>IF(ISNUMBER(IRR($C36:I36)),IF(IRR($C36:I36)&gt;0,IRR($C36:I36),""),"")</f>
        <v>0.66348955496159689</v>
      </c>
      <c r="J37" s="27">
        <f>IF(ISNUMBER(IRR($C36:J36)),IF(IRR($C36:J36)&gt;0,IRR($C36:J36),""),"")</f>
        <v>0.68620185010561063</v>
      </c>
      <c r="K37" s="27">
        <f>IF(ISNUMBER(IRR($C36:K36)),IF(IRR($C36:K36)&gt;0,IRR($C36:K36),""),"")</f>
        <v>0.69845658485806505</v>
      </c>
      <c r="L37" s="27">
        <f>IF(ISNUMBER(IRR($C36:L36)),IF(IRR($C36:L36)&gt;0,IRR($C36:L36),""),"")</f>
        <v>0.70524284384661517</v>
      </c>
      <c r="M37" s="27">
        <f>IF(ISNUMBER(IRR($C36:M36)),IF(IRR($C36:M36)&gt;0,IRR($C36:M36),""),"")</f>
        <v>0.70906717883792592</v>
      </c>
      <c r="N37" s="27">
        <f>IF(ISNUMBER(IRR($C36:N36)),IF(IRR($C36:N36)&gt;0,IRR($C36:N36),""),"")</f>
        <v>0.71124784396583163</v>
      </c>
      <c r="O37" s="27">
        <f>IF(ISNUMBER(IRR($C36:O36)),IF(IRR($C36:O36)&gt;0,IRR($C36:O36),""),"")</f>
        <v>0.71250109386892801</v>
      </c>
      <c r="P37" s="27">
        <f>IF(ISNUMBER(IRR($C36:P36)),IF(IRR($C36:P36)&gt;0,IRR($C36:P36),""),"")</f>
        <v>0.71322512086817524</v>
      </c>
      <c r="Q37" s="27">
        <f>IF(ISNUMBER(IRR($C36:Q36)),IF(IRR($C36:Q36)&gt;0,IRR($C36:Q36),""),"")</f>
        <v>0.71316910988697635</v>
      </c>
      <c r="R37" s="16"/>
      <c r="S37" s="16"/>
    </row>
    <row r="38" spans="1:21" x14ac:dyDescent="0.3">
      <c r="A38" s="13" t="s">
        <v>98</v>
      </c>
      <c r="B38" s="14" t="s">
        <v>45</v>
      </c>
      <c r="C38" s="26">
        <v>0.15</v>
      </c>
      <c r="D38" s="26">
        <v>0.15</v>
      </c>
      <c r="E38" s="26">
        <v>0.15</v>
      </c>
      <c r="F38" s="26">
        <v>0.15</v>
      </c>
      <c r="G38" s="26">
        <v>0.15</v>
      </c>
      <c r="H38" s="26">
        <v>0.15</v>
      </c>
      <c r="I38" s="26">
        <v>0.15</v>
      </c>
      <c r="J38" s="26">
        <v>0.15</v>
      </c>
      <c r="K38" s="26">
        <v>0.15</v>
      </c>
      <c r="L38" s="26">
        <v>0.15</v>
      </c>
      <c r="M38" s="26">
        <v>0.15</v>
      </c>
      <c r="N38" s="26">
        <v>0.15</v>
      </c>
      <c r="O38" s="26">
        <v>0.15</v>
      </c>
      <c r="P38" s="26">
        <v>0.15</v>
      </c>
      <c r="Q38" s="26">
        <v>0.15</v>
      </c>
      <c r="R38" s="16"/>
      <c r="S38" s="16"/>
    </row>
    <row r="39" spans="1:21" x14ac:dyDescent="0.3">
      <c r="A39" s="13" t="s">
        <v>99</v>
      </c>
      <c r="B39" s="14"/>
      <c r="C39" s="16"/>
      <c r="D39" s="16">
        <f>IF(C40&lt;0,C40,0)</f>
        <v>-51000000</v>
      </c>
      <c r="E39" s="16">
        <f t="shared" ref="E39:Q39" si="7">IF(D40&lt;0,D40,0)</f>
        <v>-285600000</v>
      </c>
      <c r="F39" s="16">
        <f t="shared" si="7"/>
        <v>-55600000</v>
      </c>
      <c r="G39" s="16">
        <f t="shared" si="7"/>
        <v>0</v>
      </c>
      <c r="H39" s="16">
        <f t="shared" si="7"/>
        <v>0</v>
      </c>
      <c r="I39" s="16">
        <f t="shared" si="7"/>
        <v>0</v>
      </c>
      <c r="J39" s="16">
        <f t="shared" si="7"/>
        <v>0</v>
      </c>
      <c r="K39" s="16">
        <f t="shared" si="7"/>
        <v>0</v>
      </c>
      <c r="L39" s="16">
        <f t="shared" si="7"/>
        <v>0</v>
      </c>
      <c r="M39" s="16">
        <f t="shared" si="7"/>
        <v>0</v>
      </c>
      <c r="N39" s="16">
        <f t="shared" si="7"/>
        <v>0</v>
      </c>
      <c r="O39" s="16">
        <f t="shared" si="7"/>
        <v>0</v>
      </c>
      <c r="P39" s="16">
        <f t="shared" si="7"/>
        <v>0</v>
      </c>
      <c r="Q39" s="16">
        <f t="shared" si="7"/>
        <v>0</v>
      </c>
      <c r="R39" s="16"/>
      <c r="S39" s="16"/>
    </row>
    <row r="40" spans="1:21" x14ac:dyDescent="0.3">
      <c r="A40" s="13" t="s">
        <v>100</v>
      </c>
      <c r="B40" s="14" t="s">
        <v>21</v>
      </c>
      <c r="C40" s="16">
        <f>C36+C39</f>
        <v>-51000000</v>
      </c>
      <c r="D40" s="16">
        <f>D36+D39</f>
        <v>-285600000</v>
      </c>
      <c r="E40" s="16">
        <f t="shared" ref="E40:Q40" si="8">E36+E39</f>
        <v>-55600000</v>
      </c>
      <c r="F40" s="16">
        <f t="shared" si="8"/>
        <v>174400000</v>
      </c>
      <c r="G40" s="16">
        <f t="shared" si="8"/>
        <v>230000000</v>
      </c>
      <c r="H40" s="16">
        <f t="shared" si="8"/>
        <v>230000000</v>
      </c>
      <c r="I40" s="16">
        <f t="shared" si="8"/>
        <v>230000000</v>
      </c>
      <c r="J40" s="16">
        <f t="shared" si="8"/>
        <v>230000000</v>
      </c>
      <c r="K40" s="16">
        <f t="shared" si="8"/>
        <v>230000000</v>
      </c>
      <c r="L40" s="16">
        <f t="shared" si="8"/>
        <v>230000000</v>
      </c>
      <c r="M40" s="16">
        <f t="shared" si="8"/>
        <v>230000000</v>
      </c>
      <c r="N40" s="16">
        <f t="shared" si="8"/>
        <v>230000000</v>
      </c>
      <c r="O40" s="16">
        <f t="shared" si="8"/>
        <v>230000000</v>
      </c>
      <c r="P40" s="16">
        <f t="shared" si="8"/>
        <v>230000000</v>
      </c>
      <c r="Q40" s="16">
        <f t="shared" si="8"/>
        <v>-30600000</v>
      </c>
      <c r="R40" s="16">
        <f>SUM($C40:$Q40)</f>
        <v>2051600000</v>
      </c>
      <c r="S40" s="16">
        <f>$C40+NPV(10%,$D40:$Q40)</f>
        <v>828180556.71521068</v>
      </c>
    </row>
    <row r="41" spans="1:21" x14ac:dyDescent="0.3">
      <c r="A41" s="13" t="s">
        <v>101</v>
      </c>
      <c r="B41" s="14" t="s">
        <v>45</v>
      </c>
      <c r="C41" s="26">
        <v>0.2</v>
      </c>
      <c r="D41" s="26">
        <v>0.2</v>
      </c>
      <c r="E41" s="26">
        <v>0.2</v>
      </c>
      <c r="F41" s="26">
        <v>0.2</v>
      </c>
      <c r="G41" s="26">
        <v>0.2</v>
      </c>
      <c r="H41" s="26">
        <v>0.2</v>
      </c>
      <c r="I41" s="26">
        <v>0.2</v>
      </c>
      <c r="J41" s="26">
        <v>0.2</v>
      </c>
      <c r="K41" s="26">
        <v>0.2</v>
      </c>
      <c r="L41" s="26">
        <v>0.2</v>
      </c>
      <c r="M41" s="26">
        <v>0.2</v>
      </c>
      <c r="N41" s="26">
        <v>0.2</v>
      </c>
      <c r="O41" s="26">
        <v>0.2</v>
      </c>
      <c r="P41" s="26">
        <v>0.2</v>
      </c>
      <c r="Q41" s="26">
        <v>0.2</v>
      </c>
      <c r="R41" s="16"/>
      <c r="S41" s="16"/>
    </row>
    <row r="42" spans="1:21" x14ac:dyDescent="0.3">
      <c r="A42" s="13" t="s">
        <v>102</v>
      </c>
      <c r="B42" s="14" t="s">
        <v>21</v>
      </c>
      <c r="C42" s="17">
        <f>IF(C37&lt;C38,0,IF(C40&lt;0,0,C40*C41))</f>
        <v>0</v>
      </c>
      <c r="D42" s="17">
        <f t="shared" ref="D42:Q42" si="9">IF(D37&lt;D38,0,IF(D40&lt;0,0,D40*D41))</f>
        <v>0</v>
      </c>
      <c r="E42" s="17">
        <f t="shared" si="9"/>
        <v>0</v>
      </c>
      <c r="F42" s="17">
        <f>IF(F37&lt;F38,0,IF(F40&lt;0,0,F40*F41))</f>
        <v>34880000</v>
      </c>
      <c r="G42" s="17">
        <f t="shared" si="9"/>
        <v>46000000</v>
      </c>
      <c r="H42" s="17">
        <f t="shared" si="9"/>
        <v>46000000</v>
      </c>
      <c r="I42" s="17">
        <f t="shared" si="9"/>
        <v>46000000</v>
      </c>
      <c r="J42" s="17">
        <f t="shared" si="9"/>
        <v>46000000</v>
      </c>
      <c r="K42" s="17">
        <f t="shared" si="9"/>
        <v>46000000</v>
      </c>
      <c r="L42" s="17">
        <f t="shared" si="9"/>
        <v>46000000</v>
      </c>
      <c r="M42" s="17">
        <f t="shared" si="9"/>
        <v>46000000</v>
      </c>
      <c r="N42" s="17">
        <f t="shared" si="9"/>
        <v>46000000</v>
      </c>
      <c r="O42" s="17">
        <f t="shared" si="9"/>
        <v>46000000</v>
      </c>
      <c r="P42" s="17">
        <f t="shared" si="9"/>
        <v>46000000</v>
      </c>
      <c r="Q42" s="17">
        <f t="shared" si="9"/>
        <v>0</v>
      </c>
      <c r="R42" s="17">
        <f>SUM($C42:$Q42)</f>
        <v>494880000</v>
      </c>
      <c r="S42" s="17">
        <f>$C42+NPV(10%,$D42:$Q42)</f>
        <v>238565053.99129614</v>
      </c>
      <c r="U42" s="4">
        <f>S42/$S$71</f>
        <v>0.31970158578816904</v>
      </c>
    </row>
    <row r="44" spans="1:21" ht="21.6" customHeight="1" x14ac:dyDescent="0.3">
      <c r="A44" s="10" t="s">
        <v>103</v>
      </c>
      <c r="B44" s="1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21" x14ac:dyDescent="0.3">
      <c r="A45" s="13" t="s">
        <v>104</v>
      </c>
      <c r="B45" s="14" t="s">
        <v>21</v>
      </c>
      <c r="C45" s="16">
        <f>C$6-C$16-C$23-C$28-C$32-C$42+'Amortissements et Emprunt'!C191</f>
        <v>-12515000</v>
      </c>
      <c r="D45" s="16">
        <f>D$6-D$16-D$23-D$28-D$32-D$42+'Amortissements et Emprunt'!D191</f>
        <v>-41765000</v>
      </c>
      <c r="E45" s="16">
        <f>E$6-E$16-E$23-E$28-E$32-E$42+'Amortissements et Emprunt'!E191</f>
        <v>169835000</v>
      </c>
      <c r="F45" s="16">
        <f>F$6-F$16-F$23-F$28-F$32-F$42+'Amortissements et Emprunt'!F191</f>
        <v>135355000</v>
      </c>
      <c r="G45" s="16">
        <f>G$6-G$16-G$23-G$28-G$32-G$42+'Amortissements et Emprunt'!G191</f>
        <v>124635000</v>
      </c>
      <c r="H45" s="16">
        <f>H$6-H$16-H$23-H$28-H$32-H$42+'Amortissements et Emprunt'!H191</f>
        <v>124975000</v>
      </c>
      <c r="I45" s="16">
        <f>I$6-I$16-I$23-I$28-I$32-I$42+'Amortissements et Emprunt'!I191</f>
        <v>125263888.8888889</v>
      </c>
      <c r="J45" s="16">
        <f>J$6-J$16-J$23-J$28-J$32-J$42+'Amortissements et Emprunt'!J191</f>
        <v>125413888.8888889</v>
      </c>
      <c r="K45" s="16">
        <f>K$6-K$16-K$23-K$28-K$32-K$42+'Amortissements et Emprunt'!K191</f>
        <v>125385317.46031746</v>
      </c>
      <c r="L45" s="16">
        <f>L$6-L$16-L$23-L$28-L$32-L$42+'Amortissements et Emprunt'!L191</f>
        <v>125118650.79365079</v>
      </c>
      <c r="M45" s="16">
        <f>M$6-M$16-M$23-M$28-M$32-M$42+'Amortissements et Emprunt'!M191</f>
        <v>129518650.79365079</v>
      </c>
      <c r="N45" s="16">
        <f>N$6-N$16-N$23-N$28-N$32-N$42+'Amortissements et Emprunt'!N191</f>
        <v>151168650.79365081</v>
      </c>
      <c r="O45" s="16">
        <f>O$6-O$16-O$23-O$28-O$32-O$42+'Amortissements et Emprunt'!O191</f>
        <v>148835317.46031746</v>
      </c>
      <c r="P45" s="16">
        <f>P$6-P$16-P$23-P$28-P$32-P$42+'Amortissements et Emprunt'!P191</f>
        <v>144835317.46031746</v>
      </c>
      <c r="Q45" s="16">
        <f>Q$6-Q$16-Q$23-Q$28-Q$32-Q$42+'Amortissements et Emprunt'!Q191</f>
        <v>-49364682.539682537</v>
      </c>
      <c r="R45" s="16">
        <f>SUM($C45:$Q45)</f>
        <v>1526694999.9999998</v>
      </c>
      <c r="S45" s="16">
        <f>$C45+NPV(10%,$D45:$Q45)</f>
        <v>780215238.30325925</v>
      </c>
    </row>
    <row r="46" spans="1:21" x14ac:dyDescent="0.3">
      <c r="A46" s="13" t="s">
        <v>105</v>
      </c>
      <c r="B46" s="14" t="s">
        <v>21</v>
      </c>
      <c r="C46" s="16"/>
      <c r="D46" s="16">
        <f>IF(C47&lt;0,C47,0)</f>
        <v>-12515000</v>
      </c>
      <c r="E46" s="16">
        <f>IF(D47&lt;0,D47,0)</f>
        <v>-54280000</v>
      </c>
      <c r="F46" s="16">
        <f>IF(E47&lt;0,E47,0)</f>
        <v>0</v>
      </c>
      <c r="G46" s="16">
        <f>IF(F47&lt;0,F47,0)</f>
        <v>0</v>
      </c>
      <c r="H46" s="16">
        <f>IF(G47&lt;0,G47,0)</f>
        <v>0</v>
      </c>
      <c r="I46" s="16">
        <f t="shared" ref="I46:Q46" si="10">IF(H47&lt;0,H47,0)</f>
        <v>0</v>
      </c>
      <c r="J46" s="16">
        <f t="shared" si="10"/>
        <v>0</v>
      </c>
      <c r="K46" s="16">
        <f t="shared" si="10"/>
        <v>0</v>
      </c>
      <c r="L46" s="16">
        <f t="shared" si="10"/>
        <v>0</v>
      </c>
      <c r="M46" s="16">
        <f t="shared" si="10"/>
        <v>0</v>
      </c>
      <c r="N46" s="16">
        <f t="shared" si="10"/>
        <v>0</v>
      </c>
      <c r="O46" s="16">
        <f t="shared" si="10"/>
        <v>0</v>
      </c>
      <c r="P46" s="16">
        <f t="shared" si="10"/>
        <v>0</v>
      </c>
      <c r="Q46" s="16">
        <f t="shared" si="10"/>
        <v>0</v>
      </c>
      <c r="R46" s="19"/>
      <c r="S46" s="19"/>
    </row>
    <row r="47" spans="1:21" x14ac:dyDescent="0.3">
      <c r="A47" s="13" t="s">
        <v>106</v>
      </c>
      <c r="B47" s="14" t="s">
        <v>21</v>
      </c>
      <c r="C47" s="16">
        <f>C$45+C$46</f>
        <v>-12515000</v>
      </c>
      <c r="D47" s="16">
        <f t="shared" ref="D47:Q47" si="11">D$45+D$46</f>
        <v>-54280000</v>
      </c>
      <c r="E47" s="16">
        <f t="shared" si="11"/>
        <v>115555000</v>
      </c>
      <c r="F47" s="16">
        <f t="shared" si="11"/>
        <v>135355000</v>
      </c>
      <c r="G47" s="16">
        <f t="shared" si="11"/>
        <v>124635000</v>
      </c>
      <c r="H47" s="16">
        <f t="shared" si="11"/>
        <v>124975000</v>
      </c>
      <c r="I47" s="16">
        <f t="shared" si="11"/>
        <v>125263888.8888889</v>
      </c>
      <c r="J47" s="16">
        <f t="shared" si="11"/>
        <v>125413888.8888889</v>
      </c>
      <c r="K47" s="16">
        <f t="shared" si="11"/>
        <v>125385317.46031746</v>
      </c>
      <c r="L47" s="16">
        <f t="shared" si="11"/>
        <v>125118650.79365079</v>
      </c>
      <c r="M47" s="16">
        <f t="shared" si="11"/>
        <v>129518650.79365079</v>
      </c>
      <c r="N47" s="16">
        <f t="shared" si="11"/>
        <v>151168650.79365081</v>
      </c>
      <c r="O47" s="16">
        <f t="shared" si="11"/>
        <v>148835317.46031746</v>
      </c>
      <c r="P47" s="16">
        <f t="shared" si="11"/>
        <v>144835317.46031746</v>
      </c>
      <c r="Q47" s="16">
        <f t="shared" si="11"/>
        <v>-49364682.539682537</v>
      </c>
      <c r="R47" s="16">
        <f>SUM($C47:$Q47)</f>
        <v>1459899999.9999995</v>
      </c>
      <c r="S47" s="16">
        <f>$C47+NPV(10%,$D47:$Q47)</f>
        <v>723978461.44375503</v>
      </c>
    </row>
    <row r="48" spans="1:21" x14ac:dyDescent="0.3">
      <c r="A48" s="13" t="s">
        <v>107</v>
      </c>
      <c r="B48" s="14" t="s">
        <v>45</v>
      </c>
      <c r="C48" s="26">
        <v>0</v>
      </c>
      <c r="D48" s="26">
        <v>0</v>
      </c>
      <c r="E48" s="26">
        <v>0</v>
      </c>
      <c r="F48" s="26">
        <v>0.35</v>
      </c>
      <c r="G48" s="26">
        <v>0.35</v>
      </c>
      <c r="H48" s="26">
        <v>0.35</v>
      </c>
      <c r="I48" s="26">
        <v>0.35</v>
      </c>
      <c r="J48" s="26">
        <v>0.35</v>
      </c>
      <c r="K48" s="26">
        <v>0.35</v>
      </c>
      <c r="L48" s="26">
        <v>0.35</v>
      </c>
      <c r="M48" s="26">
        <v>0.35</v>
      </c>
      <c r="N48" s="26">
        <v>0.35</v>
      </c>
      <c r="O48" s="26">
        <v>0.35</v>
      </c>
      <c r="P48" s="26">
        <v>0.35</v>
      </c>
      <c r="Q48" s="26">
        <v>0.35</v>
      </c>
      <c r="R48" s="19"/>
      <c r="S48" s="19"/>
    </row>
    <row r="49" spans="1:21" x14ac:dyDescent="0.3">
      <c r="A49" s="13" t="s">
        <v>108</v>
      </c>
      <c r="B49" s="14" t="s">
        <v>21</v>
      </c>
      <c r="C49" s="17">
        <f>IF(C$47&gt;0,C$47*C$48,0)</f>
        <v>0</v>
      </c>
      <c r="D49" s="17">
        <f t="shared" ref="D49:Q49" si="12">IF(D$47&gt;0,D$47*D$48,0)</f>
        <v>0</v>
      </c>
      <c r="E49" s="17">
        <f t="shared" si="12"/>
        <v>0</v>
      </c>
      <c r="F49" s="17">
        <f t="shared" si="12"/>
        <v>47374250</v>
      </c>
      <c r="G49" s="17">
        <f t="shared" si="12"/>
        <v>43622250</v>
      </c>
      <c r="H49" s="17">
        <f t="shared" si="12"/>
        <v>43741250</v>
      </c>
      <c r="I49" s="17">
        <f t="shared" si="12"/>
        <v>43842361.111111112</v>
      </c>
      <c r="J49" s="17">
        <f t="shared" si="12"/>
        <v>43894861.111111112</v>
      </c>
      <c r="K49" s="17">
        <f t="shared" si="12"/>
        <v>43884861.111111112</v>
      </c>
      <c r="L49" s="17">
        <f t="shared" si="12"/>
        <v>43791527.777777776</v>
      </c>
      <c r="M49" s="17">
        <f t="shared" si="12"/>
        <v>45331527.777777776</v>
      </c>
      <c r="N49" s="17">
        <f t="shared" si="12"/>
        <v>52909027.777777776</v>
      </c>
      <c r="O49" s="17">
        <f t="shared" si="12"/>
        <v>52092361.111111112</v>
      </c>
      <c r="P49" s="17">
        <f t="shared" si="12"/>
        <v>50692361.111111112</v>
      </c>
      <c r="Q49" s="17">
        <f t="shared" si="12"/>
        <v>0</v>
      </c>
      <c r="R49" s="17">
        <f>SUM($C49:$Q49)</f>
        <v>511176638.8888889</v>
      </c>
      <c r="S49" s="17">
        <f>$C49+NPV(10%,$D49:$Q49)</f>
        <v>246168362.91628191</v>
      </c>
    </row>
    <row r="51" spans="1:21" ht="24.6" customHeight="1" x14ac:dyDescent="0.3">
      <c r="A51" s="10" t="s">
        <v>111</v>
      </c>
      <c r="B51" s="1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spans="1:21" x14ac:dyDescent="0.3">
      <c r="A52" s="13" t="s">
        <v>112</v>
      </c>
      <c r="B52" s="14" t="s">
        <v>21</v>
      </c>
      <c r="C52" s="24">
        <v>1500</v>
      </c>
      <c r="D52" s="24">
        <v>1500</v>
      </c>
      <c r="E52" s="24">
        <v>1500</v>
      </c>
      <c r="F52" s="24">
        <v>1500</v>
      </c>
      <c r="G52" s="24">
        <v>1500</v>
      </c>
      <c r="H52" s="24">
        <v>1500</v>
      </c>
      <c r="I52" s="24">
        <v>1500</v>
      </c>
      <c r="J52" s="24">
        <v>1500</v>
      </c>
      <c r="K52" s="24">
        <v>1500</v>
      </c>
      <c r="L52" s="24">
        <v>1500</v>
      </c>
      <c r="M52" s="24">
        <v>1500</v>
      </c>
      <c r="N52" s="24">
        <v>1500</v>
      </c>
      <c r="O52" s="24">
        <v>1500</v>
      </c>
      <c r="P52" s="24">
        <v>1500</v>
      </c>
      <c r="Q52" s="24">
        <v>1500</v>
      </c>
      <c r="R52" s="19"/>
      <c r="S52" s="19"/>
    </row>
    <row r="53" spans="1:21" x14ac:dyDescent="0.3">
      <c r="A53" s="13" t="s">
        <v>113</v>
      </c>
      <c r="B53" s="14" t="s">
        <v>45</v>
      </c>
      <c r="C53" s="26">
        <v>5.0000000000000001E-3</v>
      </c>
      <c r="D53" s="26">
        <v>5.0000000000000001E-3</v>
      </c>
      <c r="E53" s="26">
        <v>5.0000000000000001E-3</v>
      </c>
      <c r="F53" s="26">
        <v>5.0000000000000001E-3</v>
      </c>
      <c r="G53" s="26">
        <v>5.0000000000000001E-3</v>
      </c>
      <c r="H53" s="26">
        <v>5.0000000000000001E-3</v>
      </c>
      <c r="I53" s="26">
        <v>5.0000000000000001E-3</v>
      </c>
      <c r="J53" s="26">
        <v>5.0000000000000001E-3</v>
      </c>
      <c r="K53" s="26">
        <v>5.0000000000000001E-3</v>
      </c>
      <c r="L53" s="26">
        <v>5.0000000000000001E-3</v>
      </c>
      <c r="M53" s="26">
        <v>5.0000000000000001E-3</v>
      </c>
      <c r="N53" s="26">
        <v>5.0000000000000001E-3</v>
      </c>
      <c r="O53" s="26">
        <v>5.0000000000000001E-3</v>
      </c>
      <c r="P53" s="26">
        <v>5.0000000000000001E-3</v>
      </c>
      <c r="Q53" s="26">
        <v>5.0000000000000001E-3</v>
      </c>
      <c r="R53" s="19"/>
      <c r="S53" s="19"/>
    </row>
    <row r="54" spans="1:21" x14ac:dyDescent="0.3">
      <c r="A54" s="13" t="s">
        <v>114</v>
      </c>
      <c r="B54" s="14" t="s">
        <v>21</v>
      </c>
      <c r="C54" s="17">
        <f>IF(C$6*C$53&gt;C$52,C$6*C$53,C$52)</f>
        <v>1500</v>
      </c>
      <c r="D54" s="17">
        <f t="shared" ref="D54:Q54" si="13">IF(D$6*D$53&gt;D$52,D$6*D$53,D$52)</f>
        <v>1500</v>
      </c>
      <c r="E54" s="17">
        <f>IF(E$6*E$53&gt;E$52,E$6*E$53,E$52)</f>
        <v>2400000</v>
      </c>
      <c r="F54" s="17">
        <f t="shared" si="13"/>
        <v>2400000</v>
      </c>
      <c r="G54" s="17">
        <f t="shared" si="13"/>
        <v>2400000</v>
      </c>
      <c r="H54" s="17">
        <f t="shared" si="13"/>
        <v>2400000</v>
      </c>
      <c r="I54" s="17">
        <f t="shared" si="13"/>
        <v>2400000</v>
      </c>
      <c r="J54" s="17">
        <f t="shared" si="13"/>
        <v>2400000</v>
      </c>
      <c r="K54" s="17">
        <f t="shared" si="13"/>
        <v>2400000</v>
      </c>
      <c r="L54" s="17">
        <f t="shared" si="13"/>
        <v>2400000</v>
      </c>
      <c r="M54" s="17">
        <f t="shared" si="13"/>
        <v>2400000</v>
      </c>
      <c r="N54" s="17">
        <f t="shared" si="13"/>
        <v>2400000</v>
      </c>
      <c r="O54" s="17">
        <f t="shared" si="13"/>
        <v>2400000</v>
      </c>
      <c r="P54" s="17">
        <f t="shared" si="13"/>
        <v>2400000</v>
      </c>
      <c r="Q54" s="17">
        <f t="shared" si="13"/>
        <v>1500</v>
      </c>
      <c r="R54" s="17">
        <f>SUM($C54:$Q54)</f>
        <v>28804500</v>
      </c>
      <c r="S54" s="17">
        <f>$C54+NPV(10%,$D54:$Q54)</f>
        <v>14869495.337746393</v>
      </c>
    </row>
    <row r="55" spans="1:21" x14ac:dyDescent="0.3">
      <c r="A55" s="7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1" ht="25.2" customHeight="1" x14ac:dyDescent="0.3">
      <c r="A56" s="10" t="s">
        <v>109</v>
      </c>
      <c r="B56" s="11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21" x14ac:dyDescent="0.3">
      <c r="A57" s="13" t="s">
        <v>110</v>
      </c>
      <c r="B57" s="14" t="s">
        <v>21</v>
      </c>
      <c r="C57" s="17">
        <f>IF(C$54&gt;C$49,C$54,C$49)</f>
        <v>1500</v>
      </c>
      <c r="D57" s="17">
        <f t="shared" ref="D57:Q57" si="14">IF(D$54&gt;D$49,D$54,D$49)</f>
        <v>1500</v>
      </c>
      <c r="E57" s="17">
        <f t="shared" si="14"/>
        <v>2400000</v>
      </c>
      <c r="F57" s="17">
        <f t="shared" si="14"/>
        <v>47374250</v>
      </c>
      <c r="G57" s="17">
        <f t="shared" si="14"/>
        <v>43622250</v>
      </c>
      <c r="H57" s="17">
        <f t="shared" si="14"/>
        <v>43741250</v>
      </c>
      <c r="I57" s="17">
        <f t="shared" si="14"/>
        <v>43842361.111111112</v>
      </c>
      <c r="J57" s="17">
        <f t="shared" si="14"/>
        <v>43894861.111111112</v>
      </c>
      <c r="K57" s="17">
        <f>IF(K$54&gt;K$49,K$54,K$49)</f>
        <v>43884861.111111112</v>
      </c>
      <c r="L57" s="17">
        <f>IF(L$54&gt;L$49,L$54,L$49)</f>
        <v>43791527.777777776</v>
      </c>
      <c r="M57" s="17">
        <f t="shared" si="14"/>
        <v>45331527.777777776</v>
      </c>
      <c r="N57" s="17">
        <f t="shared" si="14"/>
        <v>52909027.777777776</v>
      </c>
      <c r="O57" s="17">
        <f t="shared" si="14"/>
        <v>52092361.111111112</v>
      </c>
      <c r="P57" s="17">
        <f t="shared" si="14"/>
        <v>50692361.111111112</v>
      </c>
      <c r="Q57" s="17">
        <f t="shared" si="14"/>
        <v>1500</v>
      </c>
      <c r="R57" s="17">
        <f>SUM($C57:$Q57)</f>
        <v>513581138.8888889</v>
      </c>
      <c r="S57" s="17">
        <f>$C57+NPV(10%,$D57:$Q57)</f>
        <v>248155092.62390721</v>
      </c>
      <c r="U57" s="4">
        <f>S57/$S$71</f>
        <v>0.33255321894784973</v>
      </c>
    </row>
    <row r="59" spans="1:21" x14ac:dyDescent="0.3">
      <c r="A59" s="10" t="s">
        <v>115</v>
      </c>
      <c r="B59" s="1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1:21" x14ac:dyDescent="0.3">
      <c r="A60" s="13" t="s">
        <v>116</v>
      </c>
      <c r="B60" s="14" t="s">
        <v>21</v>
      </c>
      <c r="C60" s="16">
        <f>IF(C$47-C$57&gt;0,C$47-C$57,0)</f>
        <v>0</v>
      </c>
      <c r="D60" s="16">
        <f t="shared" ref="D60:Q60" si="15">IF(D$47-D$57&gt;0,D$47-D$57,0)</f>
        <v>0</v>
      </c>
      <c r="E60" s="16">
        <f>IF(E$47-E$57&gt;0,E$47-E$57,0)</f>
        <v>113155000</v>
      </c>
      <c r="F60" s="16">
        <f t="shared" si="15"/>
        <v>87980750</v>
      </c>
      <c r="G60" s="16">
        <f t="shared" si="15"/>
        <v>81012750</v>
      </c>
      <c r="H60" s="16">
        <f t="shared" si="15"/>
        <v>81233750</v>
      </c>
      <c r="I60" s="16">
        <f t="shared" si="15"/>
        <v>81421527.777777791</v>
      </c>
      <c r="J60" s="16">
        <f t="shared" si="15"/>
        <v>81519027.777777791</v>
      </c>
      <c r="K60" s="16">
        <f t="shared" si="15"/>
        <v>81500456.349206358</v>
      </c>
      <c r="L60" s="16">
        <f t="shared" si="15"/>
        <v>81327123.015873015</v>
      </c>
      <c r="M60" s="16">
        <f t="shared" si="15"/>
        <v>84187123.015873015</v>
      </c>
      <c r="N60" s="16">
        <f t="shared" si="15"/>
        <v>98259623.01587303</v>
      </c>
      <c r="O60" s="16">
        <f t="shared" si="15"/>
        <v>96742956.349206358</v>
      </c>
      <c r="P60" s="16">
        <f t="shared" si="15"/>
        <v>94142956.349206358</v>
      </c>
      <c r="Q60" s="16">
        <f t="shared" si="15"/>
        <v>0</v>
      </c>
      <c r="R60" s="16">
        <f>SUM($C60:$Q60)</f>
        <v>1062483043.6507937</v>
      </c>
      <c r="S60" s="16">
        <f>$C60+NPV(10%,$D60:$Q60)</f>
        <v>550686345.77014351</v>
      </c>
    </row>
    <row r="61" spans="1:21" x14ac:dyDescent="0.3">
      <c r="A61" s="13" t="s">
        <v>117</v>
      </c>
      <c r="B61" s="14" t="s">
        <v>45</v>
      </c>
      <c r="C61" s="26">
        <v>0.1</v>
      </c>
      <c r="D61" s="26">
        <v>0.1</v>
      </c>
      <c r="E61" s="26">
        <v>0.1</v>
      </c>
      <c r="F61" s="26">
        <v>0.1</v>
      </c>
      <c r="G61" s="26">
        <v>0.1</v>
      </c>
      <c r="H61" s="26">
        <v>0.1</v>
      </c>
      <c r="I61" s="26">
        <v>0.1</v>
      </c>
      <c r="J61" s="26">
        <v>0.1</v>
      </c>
      <c r="K61" s="26">
        <v>0.1</v>
      </c>
      <c r="L61" s="26">
        <v>0.1</v>
      </c>
      <c r="M61" s="26">
        <v>0.1</v>
      </c>
      <c r="N61" s="26">
        <v>0.1</v>
      </c>
      <c r="O61" s="26">
        <v>0.1</v>
      </c>
      <c r="P61" s="26">
        <v>0.1</v>
      </c>
      <c r="Q61" s="26">
        <v>0.1</v>
      </c>
      <c r="R61" s="16"/>
      <c r="S61" s="16"/>
    </row>
    <row r="62" spans="1:21" x14ac:dyDescent="0.3">
      <c r="A62" s="13" t="s">
        <v>118</v>
      </c>
      <c r="B62" s="14" t="s">
        <v>21</v>
      </c>
      <c r="C62" s="17">
        <f t="shared" ref="C62:Q62" si="16">C$60*C$61</f>
        <v>0</v>
      </c>
      <c r="D62" s="17">
        <f t="shared" si="16"/>
        <v>0</v>
      </c>
      <c r="E62" s="17">
        <f t="shared" si="16"/>
        <v>11315500</v>
      </c>
      <c r="F62" s="17">
        <f t="shared" si="16"/>
        <v>8798075</v>
      </c>
      <c r="G62" s="17">
        <f t="shared" si="16"/>
        <v>8101275</v>
      </c>
      <c r="H62" s="17">
        <f t="shared" si="16"/>
        <v>8123375</v>
      </c>
      <c r="I62" s="17">
        <f t="shared" si="16"/>
        <v>8142152.7777777798</v>
      </c>
      <c r="J62" s="17">
        <f t="shared" si="16"/>
        <v>8151902.7777777798</v>
      </c>
      <c r="K62" s="17">
        <f t="shared" si="16"/>
        <v>8150045.6349206362</v>
      </c>
      <c r="L62" s="17">
        <f t="shared" si="16"/>
        <v>8132712.3015873022</v>
      </c>
      <c r="M62" s="17">
        <f t="shared" si="16"/>
        <v>8418712.3015873022</v>
      </c>
      <c r="N62" s="17">
        <f t="shared" si="16"/>
        <v>9825962.3015873041</v>
      </c>
      <c r="O62" s="17">
        <f t="shared" si="16"/>
        <v>9674295.6349206362</v>
      </c>
      <c r="P62" s="17">
        <f t="shared" si="16"/>
        <v>9414295.6349206362</v>
      </c>
      <c r="Q62" s="17">
        <f t="shared" si="16"/>
        <v>0</v>
      </c>
      <c r="R62" s="17">
        <f>SUM($C62:$Q62)</f>
        <v>106248304.36507937</v>
      </c>
      <c r="S62" s="17">
        <f>$C62+NPV(10%,$D62:$Q62)</f>
        <v>55068634.577014349</v>
      </c>
      <c r="U62" s="4">
        <f>S62/$S$71</f>
        <v>7.3797605755380288E-2</v>
      </c>
    </row>
    <row r="63" spans="1:21" x14ac:dyDescent="0.3">
      <c r="A63" s="13"/>
      <c r="B63" s="1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spans="1:21" x14ac:dyDescent="0.3">
      <c r="A64" s="10" t="s">
        <v>119</v>
      </c>
      <c r="B64" s="1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1:21" x14ac:dyDescent="0.3">
      <c r="A65" s="13" t="s">
        <v>120</v>
      </c>
      <c r="B65" s="14" t="s">
        <v>45</v>
      </c>
      <c r="C65" s="29">
        <v>0.25</v>
      </c>
      <c r="D65" s="29">
        <v>0.25</v>
      </c>
      <c r="E65" s="29">
        <v>0.25</v>
      </c>
      <c r="F65" s="29">
        <v>0.25</v>
      </c>
      <c r="G65" s="29">
        <v>0.25</v>
      </c>
      <c r="H65" s="29">
        <v>0.25</v>
      </c>
      <c r="I65" s="29">
        <v>0.25</v>
      </c>
      <c r="J65" s="29">
        <v>0.25</v>
      </c>
      <c r="K65" s="29">
        <v>0.25</v>
      </c>
      <c r="L65" s="29">
        <v>0.25</v>
      </c>
      <c r="M65" s="29">
        <v>0.25</v>
      </c>
      <c r="N65" s="29">
        <v>0.25</v>
      </c>
      <c r="O65" s="29">
        <v>0.25</v>
      </c>
      <c r="P65" s="29">
        <v>0.25</v>
      </c>
      <c r="Q65" s="29">
        <v>0.25</v>
      </c>
      <c r="R65" s="16"/>
      <c r="S65" s="16"/>
    </row>
    <row r="66" spans="1:21" x14ac:dyDescent="0.3">
      <c r="A66" s="13" t="s">
        <v>121</v>
      </c>
      <c r="B66" s="14" t="s">
        <v>21</v>
      </c>
      <c r="C66" s="16">
        <f>C$60*C$65</f>
        <v>0</v>
      </c>
      <c r="D66" s="16">
        <f t="shared" ref="D66:Q66" si="17">D$60*D$65</f>
        <v>0</v>
      </c>
      <c r="E66" s="16">
        <f>E$60*E$65</f>
        <v>28288750</v>
      </c>
      <c r="F66" s="16">
        <f t="shared" si="17"/>
        <v>21995187.5</v>
      </c>
      <c r="G66" s="16">
        <f t="shared" si="17"/>
        <v>20253187.5</v>
      </c>
      <c r="H66" s="16">
        <f t="shared" si="17"/>
        <v>20308437.5</v>
      </c>
      <c r="I66" s="16">
        <f t="shared" si="17"/>
        <v>20355381.944444448</v>
      </c>
      <c r="J66" s="16">
        <f t="shared" si="17"/>
        <v>20379756.944444448</v>
      </c>
      <c r="K66" s="16">
        <f t="shared" si="17"/>
        <v>20375114.08730159</v>
      </c>
      <c r="L66" s="16">
        <f t="shared" si="17"/>
        <v>20331780.753968254</v>
      </c>
      <c r="M66" s="16">
        <f t="shared" si="17"/>
        <v>21046780.753968254</v>
      </c>
      <c r="N66" s="16">
        <f t="shared" si="17"/>
        <v>24564905.753968257</v>
      </c>
      <c r="O66" s="16">
        <f t="shared" si="17"/>
        <v>24185739.08730159</v>
      </c>
      <c r="P66" s="16">
        <f t="shared" si="17"/>
        <v>23535739.08730159</v>
      </c>
      <c r="Q66" s="16">
        <f t="shared" si="17"/>
        <v>0</v>
      </c>
      <c r="R66" s="16">
        <f>SUM($C66:$Q66)</f>
        <v>265620760.91269842</v>
      </c>
      <c r="S66" s="16">
        <f>$C66+NPV(10%,$D66:$Q66)</f>
        <v>137671586.44253588</v>
      </c>
    </row>
    <row r="67" spans="1:21" x14ac:dyDescent="0.3">
      <c r="A67" s="13" t="s">
        <v>122</v>
      </c>
      <c r="B67" s="14" t="s">
        <v>45</v>
      </c>
      <c r="C67" s="26">
        <v>0.15</v>
      </c>
      <c r="D67" s="26">
        <v>0.15</v>
      </c>
      <c r="E67" s="26">
        <v>0.15</v>
      </c>
      <c r="F67" s="26">
        <v>0.15</v>
      </c>
      <c r="G67" s="26">
        <v>0.15</v>
      </c>
      <c r="H67" s="26">
        <v>0.15</v>
      </c>
      <c r="I67" s="26">
        <v>0.15</v>
      </c>
      <c r="J67" s="26">
        <v>0.15</v>
      </c>
      <c r="K67" s="26">
        <v>0.15</v>
      </c>
      <c r="L67" s="26">
        <v>0.15</v>
      </c>
      <c r="M67" s="26">
        <v>0.15</v>
      </c>
      <c r="N67" s="26">
        <v>0.15</v>
      </c>
      <c r="O67" s="26">
        <v>0.15</v>
      </c>
      <c r="P67" s="26">
        <v>0.15</v>
      </c>
      <c r="Q67" s="26">
        <v>0.15</v>
      </c>
      <c r="R67" s="16"/>
      <c r="S67" s="16"/>
    </row>
    <row r="68" spans="1:21" x14ac:dyDescent="0.3">
      <c r="A68" s="13" t="s">
        <v>123</v>
      </c>
      <c r="B68" s="14" t="s">
        <v>21</v>
      </c>
      <c r="C68" s="17">
        <f>C$66*C$67</f>
        <v>0</v>
      </c>
      <c r="D68" s="17">
        <f t="shared" ref="D68:P68" si="18">D$66*D$67</f>
        <v>0</v>
      </c>
      <c r="E68" s="17">
        <f t="shared" si="18"/>
        <v>4243312.5</v>
      </c>
      <c r="F68" s="17">
        <f t="shared" si="18"/>
        <v>3299278.125</v>
      </c>
      <c r="G68" s="17">
        <f t="shared" si="18"/>
        <v>3037978.125</v>
      </c>
      <c r="H68" s="17">
        <f t="shared" si="18"/>
        <v>3046265.625</v>
      </c>
      <c r="I68" s="17">
        <f t="shared" si="18"/>
        <v>3053307.291666667</v>
      </c>
      <c r="J68" s="17">
        <f t="shared" si="18"/>
        <v>3056963.541666667</v>
      </c>
      <c r="K68" s="17">
        <f t="shared" si="18"/>
        <v>3056267.1130952383</v>
      </c>
      <c r="L68" s="17">
        <f t="shared" si="18"/>
        <v>3049767.1130952379</v>
      </c>
      <c r="M68" s="17">
        <f t="shared" si="18"/>
        <v>3157017.1130952379</v>
      </c>
      <c r="N68" s="17">
        <f t="shared" si="18"/>
        <v>3684735.8630952383</v>
      </c>
      <c r="O68" s="17">
        <f t="shared" si="18"/>
        <v>3627860.8630952383</v>
      </c>
      <c r="P68" s="17">
        <f t="shared" si="18"/>
        <v>3530360.8630952383</v>
      </c>
      <c r="Q68" s="17">
        <f>Q$66*Q$67</f>
        <v>0</v>
      </c>
      <c r="R68" s="17">
        <f>SUM($C68:$Q68)</f>
        <v>39843114.136904769</v>
      </c>
      <c r="S68" s="17">
        <f>$C68+NPV(10%,$D68:$Q68)</f>
        <v>20650737.96638038</v>
      </c>
      <c r="U68" s="4">
        <f>S68/$S$71</f>
        <v>2.7674102158267603E-2</v>
      </c>
    </row>
    <row r="70" spans="1:21" x14ac:dyDescent="0.3">
      <c r="A70" s="10" t="s">
        <v>124</v>
      </c>
      <c r="B70" s="11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1:21" x14ac:dyDescent="0.3">
      <c r="A71" s="13" t="s">
        <v>125</v>
      </c>
      <c r="B71" s="14" t="s">
        <v>21</v>
      </c>
      <c r="C71" s="17">
        <f>C$23+C$28+C$32+C$42+C$57+C$62+C$68</f>
        <v>5016500</v>
      </c>
      <c r="D71" s="17">
        <f t="shared" ref="D71:P71" si="19">D$23+D$28+D$32+D$42+D$57+D$62+D$68</f>
        <v>16500</v>
      </c>
      <c r="E71" s="17">
        <f t="shared" si="19"/>
        <v>46773812.5</v>
      </c>
      <c r="F71" s="17">
        <f t="shared" si="19"/>
        <v>123166603.125</v>
      </c>
      <c r="G71" s="17">
        <f t="shared" si="19"/>
        <v>129576503.125</v>
      </c>
      <c r="H71" s="17">
        <f t="shared" si="19"/>
        <v>129785890.625</v>
      </c>
      <c r="I71" s="17">
        <f t="shared" si="19"/>
        <v>129912821.18055555</v>
      </c>
      <c r="J71" s="17">
        <f t="shared" si="19"/>
        <v>129978727.43055555</v>
      </c>
      <c r="K71" s="17">
        <f t="shared" si="19"/>
        <v>129966173.85912699</v>
      </c>
      <c r="L71" s="17">
        <f t="shared" si="19"/>
        <v>129849007.19246031</v>
      </c>
      <c r="M71" s="17">
        <f t="shared" si="19"/>
        <v>131782257.19246031</v>
      </c>
      <c r="N71" s="17">
        <f t="shared" si="19"/>
        <v>141294725.9424603</v>
      </c>
      <c r="O71" s="17">
        <f t="shared" si="19"/>
        <v>140269517.60912696</v>
      </c>
      <c r="P71" s="17">
        <f t="shared" si="19"/>
        <v>138512017.60912696</v>
      </c>
      <c r="Q71" s="17">
        <f>Q$23+Q$28+Q$32+Q$42+Q$57+Q$62+Q$68</f>
        <v>76500</v>
      </c>
      <c r="R71" s="17">
        <f>SUM($C71:$Q71)</f>
        <v>1505977557.3908732</v>
      </c>
      <c r="S71" s="17">
        <f>$C71+NPV(10%,$D71:$Q71)</f>
        <v>746211669.24510312</v>
      </c>
    </row>
    <row r="72" spans="1:21" x14ac:dyDescent="0.3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 spans="1:21" x14ac:dyDescent="0.3">
      <c r="A73" s="10" t="s">
        <v>126</v>
      </c>
      <c r="B73" s="11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21" x14ac:dyDescent="0.3">
      <c r="A74" s="13" t="s">
        <v>127</v>
      </c>
      <c r="B74" s="14" t="s">
        <v>21</v>
      </c>
      <c r="C74" s="17">
        <f>C$19-C$71</f>
        <v>-55016500</v>
      </c>
      <c r="D74" s="17">
        <f t="shared" ref="D74:Q74" si="20">D$19-D$71</f>
        <v>-230016500</v>
      </c>
      <c r="E74" s="17">
        <f t="shared" si="20"/>
        <v>183226187.5</v>
      </c>
      <c r="F74" s="17">
        <f t="shared" si="20"/>
        <v>106833396.875</v>
      </c>
      <c r="G74" s="17">
        <f t="shared" si="20"/>
        <v>100423496.875</v>
      </c>
      <c r="H74" s="17">
        <f t="shared" si="20"/>
        <v>100214109.375</v>
      </c>
      <c r="I74" s="17">
        <f t="shared" si="20"/>
        <v>100087178.81944445</v>
      </c>
      <c r="J74" s="17">
        <f t="shared" si="20"/>
        <v>100021272.56944445</v>
      </c>
      <c r="K74" s="17">
        <f t="shared" si="20"/>
        <v>100033826.14087301</v>
      </c>
      <c r="L74" s="17">
        <f t="shared" si="20"/>
        <v>100150992.80753969</v>
      </c>
      <c r="M74" s="17">
        <f t="shared" si="20"/>
        <v>98217742.807539687</v>
      </c>
      <c r="N74" s="17">
        <f t="shared" si="20"/>
        <v>88705274.057539701</v>
      </c>
      <c r="O74" s="17">
        <f t="shared" si="20"/>
        <v>89730482.390873045</v>
      </c>
      <c r="P74" s="17">
        <f t="shared" si="20"/>
        <v>91487982.390873045</v>
      </c>
      <c r="Q74" s="17">
        <f t="shared" si="20"/>
        <v>-30076500</v>
      </c>
      <c r="R74" s="17">
        <f>SUM($C74:$Q74)</f>
        <v>944022442.60912704</v>
      </c>
      <c r="S74" s="17">
        <f>$C74+NPV(10%,$D74:$Q74)</f>
        <v>411478501.54951292</v>
      </c>
    </row>
    <row r="75" spans="1:21" x14ac:dyDescent="0.3">
      <c r="A75" s="13" t="s">
        <v>128</v>
      </c>
      <c r="B75" s="14" t="s">
        <v>45</v>
      </c>
      <c r="C75" s="21" t="str">
        <f>IF(ISNUMBER(IRR($C74:C74)),IF(IRR($C74:C74)&gt;0,IRR($C74:C74),""),"")</f>
        <v/>
      </c>
      <c r="D75" s="21" t="str">
        <f>IF(ISNUMBER(IRR($C74:D74)),IF(IRR($C74:D74)&gt;0,IRR($C74:D74),""),"")</f>
        <v/>
      </c>
      <c r="E75" s="21" t="str">
        <f>IF(ISNUMBER(IRR($C74:E74)),IF(IRR($C74:E74)&gt;0,IRR($C74:E74),""),"")</f>
        <v/>
      </c>
      <c r="F75" s="21">
        <f>IF(ISNUMBER(IRR($C74:F74)),IF(IRR($C74:F74)&gt;0,IRR($C74:F74),""),"")</f>
        <v>1.1262471926990925E-2</v>
      </c>
      <c r="G75" s="21">
        <f>IF(ISNUMBER(IRR($C74:G74)),IF(IRR($C74:G74)&gt;0,IRR($C74:G74),""),"")</f>
        <v>0.1761768627670337</v>
      </c>
      <c r="H75" s="21">
        <f>IF(ISNUMBER(IRR($C74:H74)),IF(IRR($C74:H74)&gt;0,IRR($C74:H74),""),"")</f>
        <v>0.26642849359066956</v>
      </c>
      <c r="I75" s="21">
        <f>IF(ISNUMBER(IRR($C74:I74)),IF(IRR($C74:I74)&gt;0,IRR($C74:I74),""),"")</f>
        <v>0.31841386641063307</v>
      </c>
      <c r="J75" s="21">
        <f>IF(ISNUMBER(IRR($C74:J74)),IF(IRR($C74:J74)&gt;0,IRR($C74:J74),""),"")</f>
        <v>0.34980116681781181</v>
      </c>
      <c r="K75" s="21">
        <f>IF(ISNUMBER(IRR($C74:K74)),IF(IRR($C74:K74)&gt;0,IRR($C74:K74),""),"")</f>
        <v>0.36947700857602639</v>
      </c>
      <c r="L75" s="21">
        <f>IF(ISNUMBER(IRR($C74:L74)),IF(IRR($C74:L74)&gt;0,IRR($C74:L74),""),"")</f>
        <v>0.38217857743977213</v>
      </c>
      <c r="M75" s="21">
        <f>IF(ISNUMBER(IRR($C74:M74)),IF(IRR($C74:M74)&gt;0,IRR($C74:M74),""),"")</f>
        <v>0.39039361827854369</v>
      </c>
      <c r="N75" s="21">
        <f>IF(ISNUMBER(IRR($C74:N74)),IF(IRR($C74:N74)&gt;0,IRR($C74:N74),""),"")</f>
        <v>0.39538729207951273</v>
      </c>
      <c r="O75" s="21">
        <f>IF(ISNUMBER(IRR($C74:O74)),IF(IRR($C74:O74)&gt;0,IRR($C74:O74),""),"")</f>
        <v>0.39883799428057043</v>
      </c>
      <c r="P75" s="21">
        <f>IF(ISNUMBER(IRR($C74:P74)),IF(IRR($C74:P74)&gt;0,IRR($C74:P74),""),"")</f>
        <v>0.40126150810446881</v>
      </c>
      <c r="Q75" s="21">
        <f>IF(ISNUMBER(IRR($C74:Q74)),IF(IRR($C74:Q74)&gt;0,IRR($C74:Q74),""),"")</f>
        <v>0.40069973035732276</v>
      </c>
      <c r="R75" s="22"/>
      <c r="S75" s="22"/>
    </row>
    <row r="76" spans="1:21" x14ac:dyDescent="0.3">
      <c r="A76" s="30"/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 spans="1:21" x14ac:dyDescent="0.3">
      <c r="A77" s="10" t="s">
        <v>129</v>
      </c>
      <c r="B77" s="11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21" x14ac:dyDescent="0.3">
      <c r="A78" s="13" t="s">
        <v>130</v>
      </c>
      <c r="B78" s="14" t="s">
        <v>21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>
        <f>R$19</f>
        <v>2450000000</v>
      </c>
      <c r="S78" s="17">
        <f>S$19</f>
        <v>1157690170.7946157</v>
      </c>
    </row>
    <row r="79" spans="1:21" x14ac:dyDescent="0.3">
      <c r="A79" s="13" t="s">
        <v>131</v>
      </c>
      <c r="B79" s="14" t="s">
        <v>45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3">
        <f>R$71/R$78</f>
        <v>0.61468471730239727</v>
      </c>
      <c r="S79" s="33">
        <f>S$71/S$78</f>
        <v>0.64456940904397431</v>
      </c>
    </row>
    <row r="80" spans="1:21" x14ac:dyDescent="0.3">
      <c r="A80" s="13" t="s">
        <v>132</v>
      </c>
      <c r="B80" s="14" t="s">
        <v>45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3">
        <f>R$74/R$78</f>
        <v>0.3853152826976029</v>
      </c>
      <c r="S80" s="33">
        <f>S$74/S$78</f>
        <v>0.35543059095602597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1"/>
  <sheetViews>
    <sheetView showGridLines="0" zoomScale="8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73" sqref="D173"/>
    </sheetView>
  </sheetViews>
  <sheetFormatPr baseColWidth="10" defaultRowHeight="19.2" customHeight="1" x14ac:dyDescent="0.3"/>
  <cols>
    <col min="1" max="1" width="38.33203125" style="6" customWidth="1"/>
    <col min="2" max="16" width="11.5546875" style="6"/>
    <col min="17" max="17" width="14.6640625" style="6" customWidth="1"/>
    <col min="18" max="16384" width="11.5546875" style="6"/>
  </cols>
  <sheetData>
    <row r="1" spans="1:17" ht="19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22</v>
      </c>
      <c r="O1" s="5" t="s">
        <v>23</v>
      </c>
      <c r="P1" s="5" t="s">
        <v>24</v>
      </c>
      <c r="Q1" s="5" t="s">
        <v>25</v>
      </c>
    </row>
    <row r="2" spans="1:17" ht="19.2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19.2" customHeight="1" x14ac:dyDescent="0.3">
      <c r="A3" s="13" t="s">
        <v>34</v>
      </c>
      <c r="B3" s="34" t="s">
        <v>35</v>
      </c>
      <c r="C3" s="35">
        <v>15</v>
      </c>
      <c r="D3" s="35">
        <v>14</v>
      </c>
      <c r="E3" s="35">
        <v>13</v>
      </c>
      <c r="F3" s="35">
        <v>12</v>
      </c>
      <c r="G3" s="35">
        <v>11</v>
      </c>
      <c r="H3" s="35">
        <v>10</v>
      </c>
      <c r="I3" s="35">
        <v>9</v>
      </c>
      <c r="J3" s="35">
        <v>8</v>
      </c>
      <c r="K3" s="35">
        <v>7</v>
      </c>
      <c r="L3" s="35">
        <v>6</v>
      </c>
      <c r="M3" s="35">
        <v>5</v>
      </c>
      <c r="N3" s="35">
        <v>4</v>
      </c>
      <c r="O3" s="35">
        <v>3</v>
      </c>
      <c r="P3" s="35">
        <v>2</v>
      </c>
      <c r="Q3" s="35">
        <v>1</v>
      </c>
    </row>
    <row r="4" spans="1:17" ht="19.2" customHeight="1" x14ac:dyDescent="0.3">
      <c r="A4" s="34"/>
      <c r="B4" s="34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ht="19.2" customHeight="1" x14ac:dyDescent="0.3">
      <c r="A5" s="10" t="s">
        <v>36</v>
      </c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ht="19.2" customHeight="1" x14ac:dyDescent="0.3">
      <c r="A6" s="13" t="s">
        <v>37</v>
      </c>
      <c r="B6" s="34" t="s">
        <v>35</v>
      </c>
      <c r="C6" s="24">
        <v>10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7" ht="19.2" customHeight="1" x14ac:dyDescent="0.3">
      <c r="A7" s="13" t="s">
        <v>38</v>
      </c>
      <c r="B7" s="34" t="s">
        <v>39</v>
      </c>
      <c r="C7" s="24">
        <v>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9" spans="1:17" ht="19.2" customHeight="1" x14ac:dyDescent="0.3">
      <c r="A9" s="13" t="s">
        <v>41</v>
      </c>
      <c r="B9" s="34"/>
    </row>
    <row r="10" spans="1:17" ht="19.2" customHeight="1" x14ac:dyDescent="0.3">
      <c r="A10" s="34" t="s">
        <v>42</v>
      </c>
      <c r="B10" s="34" t="s">
        <v>35</v>
      </c>
      <c r="C10" s="35">
        <f>IF($C$6&lt;C$3,$C$6,C$3)</f>
        <v>10</v>
      </c>
      <c r="D10" s="15">
        <f t="shared" ref="D10:L10" si="0">IF(C10=0,0,IF(C10-1&lt;D$3,C10-1,D$3))</f>
        <v>9</v>
      </c>
      <c r="E10" s="15">
        <f t="shared" si="0"/>
        <v>8</v>
      </c>
      <c r="F10" s="15">
        <f t="shared" si="0"/>
        <v>7</v>
      </c>
      <c r="G10" s="15">
        <f t="shared" si="0"/>
        <v>6</v>
      </c>
      <c r="H10" s="15">
        <f t="shared" si="0"/>
        <v>5</v>
      </c>
      <c r="I10" s="15">
        <f t="shared" si="0"/>
        <v>4</v>
      </c>
      <c r="J10" s="15">
        <f t="shared" si="0"/>
        <v>3</v>
      </c>
      <c r="K10" s="15">
        <f t="shared" si="0"/>
        <v>2</v>
      </c>
      <c r="L10" s="15">
        <f t="shared" si="0"/>
        <v>1</v>
      </c>
      <c r="M10" s="15">
        <f>IF(L10=0,0,IF(L10-1&lt;M$3,L10-1,M$3))</f>
        <v>0</v>
      </c>
      <c r="N10" s="15">
        <f t="shared" ref="N10:Q10" si="1">IF(M10=0,0,IF(M10-1&lt;N$3,M10-1,N$3))</f>
        <v>0</v>
      </c>
      <c r="O10" s="15">
        <f t="shared" si="1"/>
        <v>0</v>
      </c>
      <c r="P10" s="15">
        <f t="shared" si="1"/>
        <v>0</v>
      </c>
      <c r="Q10" s="15">
        <f t="shared" si="1"/>
        <v>0</v>
      </c>
    </row>
    <row r="11" spans="1:17" ht="19.2" customHeight="1" x14ac:dyDescent="0.3">
      <c r="A11" s="34" t="s">
        <v>43</v>
      </c>
      <c r="B11" s="34" t="s">
        <v>21</v>
      </c>
      <c r="C11" s="35">
        <f>'Modèle_législation en vigueur'!C9</f>
        <v>50000000</v>
      </c>
      <c r="D11" s="15">
        <f>C15</f>
        <v>45000000</v>
      </c>
      <c r="E11" s="15">
        <f t="shared" ref="E11:M11" si="2">D15</f>
        <v>40000000</v>
      </c>
      <c r="F11" s="15">
        <f t="shared" si="2"/>
        <v>35000000</v>
      </c>
      <c r="G11" s="15">
        <f t="shared" si="2"/>
        <v>30000000</v>
      </c>
      <c r="H11" s="15">
        <f t="shared" si="2"/>
        <v>25000000</v>
      </c>
      <c r="I11" s="15">
        <f t="shared" si="2"/>
        <v>20000000</v>
      </c>
      <c r="J11" s="15">
        <f t="shared" si="2"/>
        <v>15000000</v>
      </c>
      <c r="K11" s="15">
        <f t="shared" si="2"/>
        <v>10000000</v>
      </c>
      <c r="L11" s="15">
        <f t="shared" si="2"/>
        <v>5000000</v>
      </c>
      <c r="M11" s="15">
        <f t="shared" si="2"/>
        <v>0</v>
      </c>
      <c r="N11" s="15">
        <f t="shared" ref="N11" si="3">M15</f>
        <v>0</v>
      </c>
      <c r="O11" s="15">
        <f t="shared" ref="O11" si="4">N15</f>
        <v>0</v>
      </c>
      <c r="P11" s="15">
        <f t="shared" ref="P11" si="5">O15</f>
        <v>0</v>
      </c>
      <c r="Q11" s="15">
        <f t="shared" ref="Q11" si="6">P15</f>
        <v>0</v>
      </c>
    </row>
    <row r="12" spans="1:17" ht="19.2" customHeight="1" x14ac:dyDescent="0.3">
      <c r="A12" s="34" t="s">
        <v>44</v>
      </c>
      <c r="B12" s="34" t="s">
        <v>45</v>
      </c>
      <c r="C12" s="39">
        <f>IF(C10=0,0,1/C10)</f>
        <v>0.1</v>
      </c>
      <c r="D12" s="39">
        <f>IF(D10=0,0,1/D10)</f>
        <v>0.1111111111111111</v>
      </c>
      <c r="E12" s="39">
        <f t="shared" ref="E12:M12" si="7">IF(E10=0,0,1/E10)</f>
        <v>0.125</v>
      </c>
      <c r="F12" s="39">
        <f t="shared" si="7"/>
        <v>0.14285714285714285</v>
      </c>
      <c r="G12" s="39">
        <f t="shared" si="7"/>
        <v>0.16666666666666666</v>
      </c>
      <c r="H12" s="39">
        <f t="shared" si="7"/>
        <v>0.2</v>
      </c>
      <c r="I12" s="39">
        <f t="shared" si="7"/>
        <v>0.25</v>
      </c>
      <c r="J12" s="39">
        <f t="shared" si="7"/>
        <v>0.33333333333333331</v>
      </c>
      <c r="K12" s="39">
        <f t="shared" si="7"/>
        <v>0.5</v>
      </c>
      <c r="L12" s="39">
        <f t="shared" si="7"/>
        <v>1</v>
      </c>
      <c r="M12" s="39">
        <f t="shared" si="7"/>
        <v>0</v>
      </c>
      <c r="N12" s="39">
        <f t="shared" ref="N12:Q12" si="8">IF(N10=0,0,1/N10)</f>
        <v>0</v>
      </c>
      <c r="O12" s="39">
        <f t="shared" si="8"/>
        <v>0</v>
      </c>
      <c r="P12" s="39">
        <f t="shared" si="8"/>
        <v>0</v>
      </c>
      <c r="Q12" s="39">
        <f t="shared" si="8"/>
        <v>0</v>
      </c>
    </row>
    <row r="13" spans="1:17" ht="19.2" customHeight="1" x14ac:dyDescent="0.3">
      <c r="A13" s="34" t="s">
        <v>46</v>
      </c>
      <c r="B13" s="34" t="s">
        <v>45</v>
      </c>
      <c r="C13" s="39">
        <f>IF(C10=0,0,IF($C$7*1/$C$6&gt;C12,$C$7*1/$C$6,C12))</f>
        <v>0.1</v>
      </c>
      <c r="D13" s="39">
        <f>IF(D10=0,0,IF($C$7*1/$C$6&gt;D12,$C$7*1/$C$6,D12))</f>
        <v>0.1111111111111111</v>
      </c>
      <c r="E13" s="39">
        <f t="shared" ref="E13:M13" si="9">IF(E10=0,0,IF($C$7*1/$C$6&gt;E12,$C$7*1/$C$6,E12))</f>
        <v>0.125</v>
      </c>
      <c r="F13" s="39">
        <f t="shared" si="9"/>
        <v>0.14285714285714285</v>
      </c>
      <c r="G13" s="39">
        <f t="shared" si="9"/>
        <v>0.16666666666666666</v>
      </c>
      <c r="H13" s="39">
        <f t="shared" si="9"/>
        <v>0.2</v>
      </c>
      <c r="I13" s="39">
        <f t="shared" si="9"/>
        <v>0.25</v>
      </c>
      <c r="J13" s="39">
        <f t="shared" si="9"/>
        <v>0.33333333333333331</v>
      </c>
      <c r="K13" s="39">
        <f t="shared" si="9"/>
        <v>0.5</v>
      </c>
      <c r="L13" s="39">
        <f t="shared" si="9"/>
        <v>1</v>
      </c>
      <c r="M13" s="39">
        <f t="shared" si="9"/>
        <v>0</v>
      </c>
      <c r="N13" s="39">
        <f t="shared" ref="N13:Q13" si="10">IF(N10=0,0,IF($C$7*1/$C$6&gt;N12,$C$7*1/$C$6,N12))</f>
        <v>0</v>
      </c>
      <c r="O13" s="39">
        <f t="shared" si="10"/>
        <v>0</v>
      </c>
      <c r="P13" s="39">
        <f t="shared" si="10"/>
        <v>0</v>
      </c>
      <c r="Q13" s="39">
        <f t="shared" si="10"/>
        <v>0</v>
      </c>
    </row>
    <row r="14" spans="1:17" ht="19.2" customHeight="1" x14ac:dyDescent="0.3">
      <c r="A14" s="34" t="s">
        <v>47</v>
      </c>
      <c r="B14" s="34" t="s">
        <v>21</v>
      </c>
      <c r="C14" s="15">
        <f>C11*C13</f>
        <v>5000000</v>
      </c>
      <c r="D14" s="15">
        <f>D11*D13</f>
        <v>5000000</v>
      </c>
      <c r="E14" s="15">
        <f t="shared" ref="E14:M14" si="11">E11*E13</f>
        <v>5000000</v>
      </c>
      <c r="F14" s="15">
        <f t="shared" si="11"/>
        <v>5000000</v>
      </c>
      <c r="G14" s="15">
        <f t="shared" si="11"/>
        <v>5000000</v>
      </c>
      <c r="H14" s="15">
        <f t="shared" si="11"/>
        <v>5000000</v>
      </c>
      <c r="I14" s="15">
        <f t="shared" si="11"/>
        <v>5000000</v>
      </c>
      <c r="J14" s="15">
        <f t="shared" si="11"/>
        <v>5000000</v>
      </c>
      <c r="K14" s="15">
        <f t="shared" si="11"/>
        <v>5000000</v>
      </c>
      <c r="L14" s="15">
        <f t="shared" si="11"/>
        <v>5000000</v>
      </c>
      <c r="M14" s="15">
        <f t="shared" si="11"/>
        <v>0</v>
      </c>
      <c r="N14" s="15">
        <f t="shared" ref="N14:Q14" si="12">N11*N13</f>
        <v>0</v>
      </c>
      <c r="O14" s="15">
        <f t="shared" si="12"/>
        <v>0</v>
      </c>
      <c r="P14" s="15">
        <f t="shared" si="12"/>
        <v>0</v>
      </c>
      <c r="Q14" s="15">
        <f t="shared" si="12"/>
        <v>0</v>
      </c>
    </row>
    <row r="15" spans="1:17" ht="19.2" customHeight="1" x14ac:dyDescent="0.3">
      <c r="A15" s="34" t="s">
        <v>48</v>
      </c>
      <c r="B15" s="34" t="s">
        <v>21</v>
      </c>
      <c r="C15" s="15">
        <f>C11-C14</f>
        <v>45000000</v>
      </c>
      <c r="D15" s="15">
        <f>D11-D14</f>
        <v>40000000</v>
      </c>
      <c r="E15" s="15">
        <f t="shared" ref="E15:M15" si="13">E11-E14</f>
        <v>35000000</v>
      </c>
      <c r="F15" s="15">
        <f t="shared" si="13"/>
        <v>30000000</v>
      </c>
      <c r="G15" s="15">
        <f t="shared" si="13"/>
        <v>25000000</v>
      </c>
      <c r="H15" s="15">
        <f t="shared" si="13"/>
        <v>20000000</v>
      </c>
      <c r="I15" s="15">
        <f t="shared" si="13"/>
        <v>15000000</v>
      </c>
      <c r="J15" s="15">
        <f t="shared" si="13"/>
        <v>10000000</v>
      </c>
      <c r="K15" s="15">
        <f t="shared" si="13"/>
        <v>5000000</v>
      </c>
      <c r="L15" s="15">
        <f t="shared" si="13"/>
        <v>0</v>
      </c>
      <c r="M15" s="15">
        <f t="shared" si="13"/>
        <v>0</v>
      </c>
      <c r="N15" s="15">
        <f t="shared" ref="N15:Q15" si="14">N11-N14</f>
        <v>0</v>
      </c>
      <c r="O15" s="15">
        <f t="shared" si="14"/>
        <v>0</v>
      </c>
      <c r="P15" s="15">
        <f t="shared" si="14"/>
        <v>0</v>
      </c>
      <c r="Q15" s="15">
        <f t="shared" si="14"/>
        <v>0</v>
      </c>
    </row>
    <row r="16" spans="1:17" ht="19.2" customHeight="1" x14ac:dyDescent="0.3">
      <c r="A16" s="34"/>
      <c r="B16" s="34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19.2" customHeight="1" x14ac:dyDescent="0.3">
      <c r="A17" s="13" t="s">
        <v>49</v>
      </c>
      <c r="B17" s="34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19.2" customHeight="1" x14ac:dyDescent="0.3">
      <c r="A18" s="34" t="s">
        <v>42</v>
      </c>
      <c r="B18" s="34" t="s">
        <v>35</v>
      </c>
      <c r="C18" s="30"/>
      <c r="D18" s="35">
        <f>IF($C$6&lt;D$3,$C$6,D$3)</f>
        <v>10</v>
      </c>
      <c r="E18" s="15">
        <f t="shared" ref="E18:M18" si="15">IF(D18=0,0,IF(D18-1&lt;E$3,D18-1,E$3))</f>
        <v>9</v>
      </c>
      <c r="F18" s="15">
        <f t="shared" si="15"/>
        <v>8</v>
      </c>
      <c r="G18" s="15">
        <f t="shared" si="15"/>
        <v>7</v>
      </c>
      <c r="H18" s="15">
        <f t="shared" si="15"/>
        <v>6</v>
      </c>
      <c r="I18" s="15">
        <f t="shared" si="15"/>
        <v>5</v>
      </c>
      <c r="J18" s="15">
        <f t="shared" si="15"/>
        <v>4</v>
      </c>
      <c r="K18" s="15">
        <f t="shared" si="15"/>
        <v>3</v>
      </c>
      <c r="L18" s="15">
        <f t="shared" si="15"/>
        <v>2</v>
      </c>
      <c r="M18" s="15">
        <f t="shared" si="15"/>
        <v>1</v>
      </c>
      <c r="N18" s="15">
        <f t="shared" ref="N18" si="16">IF(M18=0,0,IF(M18-1&lt;N$3,M18-1,N$3))</f>
        <v>0</v>
      </c>
      <c r="O18" s="15">
        <f t="shared" ref="O18" si="17">IF(N18=0,0,IF(N18-1&lt;O$3,N18-1,O$3))</f>
        <v>0</v>
      </c>
      <c r="P18" s="15">
        <f t="shared" ref="P18" si="18">IF(O18=0,0,IF(O18-1&lt;P$3,O18-1,P$3))</f>
        <v>0</v>
      </c>
      <c r="Q18" s="15">
        <f t="shared" ref="Q18" si="19">IF(P18=0,0,IF(P18-1&lt;Q$3,P18-1,Q$3))</f>
        <v>0</v>
      </c>
    </row>
    <row r="19" spans="1:17" ht="19.2" customHeight="1" x14ac:dyDescent="0.3">
      <c r="A19" s="34" t="s">
        <v>43</v>
      </c>
      <c r="B19" s="34" t="s">
        <v>21</v>
      </c>
      <c r="C19" s="30"/>
      <c r="D19" s="35">
        <f>'Modèle_législation en vigueur'!D9</f>
        <v>150000000</v>
      </c>
      <c r="E19" s="15">
        <f>D23</f>
        <v>135000000</v>
      </c>
      <c r="F19" s="15">
        <f t="shared" ref="F19:M19" si="20">E23</f>
        <v>120000000</v>
      </c>
      <c r="G19" s="15">
        <f t="shared" si="20"/>
        <v>105000000</v>
      </c>
      <c r="H19" s="15">
        <f t="shared" si="20"/>
        <v>90000000</v>
      </c>
      <c r="I19" s="15">
        <f t="shared" si="20"/>
        <v>75000000</v>
      </c>
      <c r="J19" s="15">
        <f t="shared" si="20"/>
        <v>60000000</v>
      </c>
      <c r="K19" s="15">
        <f t="shared" si="20"/>
        <v>45000000</v>
      </c>
      <c r="L19" s="15">
        <f t="shared" si="20"/>
        <v>30000000</v>
      </c>
      <c r="M19" s="15">
        <f t="shared" si="20"/>
        <v>15000000</v>
      </c>
      <c r="N19" s="15">
        <f t="shared" ref="N19" si="21">M23</f>
        <v>0</v>
      </c>
      <c r="O19" s="15">
        <f t="shared" ref="O19" si="22">N23</f>
        <v>0</v>
      </c>
      <c r="P19" s="15">
        <f t="shared" ref="P19" si="23">O23</f>
        <v>0</v>
      </c>
      <c r="Q19" s="15">
        <f t="shared" ref="Q19" si="24">P23</f>
        <v>0</v>
      </c>
    </row>
    <row r="20" spans="1:17" ht="19.2" customHeight="1" x14ac:dyDescent="0.3">
      <c r="A20" s="34" t="s">
        <v>44</v>
      </c>
      <c r="B20" s="34" t="s">
        <v>45</v>
      </c>
      <c r="C20" s="30"/>
      <c r="D20" s="39">
        <f>IF(D18=0,0,1/D18)</f>
        <v>0.1</v>
      </c>
      <c r="E20" s="39">
        <f>IF(E18=0,0,1/E18)</f>
        <v>0.1111111111111111</v>
      </c>
      <c r="F20" s="39">
        <f t="shared" ref="F20:M20" si="25">IF(F18=0,0,1/F18)</f>
        <v>0.125</v>
      </c>
      <c r="G20" s="39">
        <f t="shared" si="25"/>
        <v>0.14285714285714285</v>
      </c>
      <c r="H20" s="39">
        <f t="shared" si="25"/>
        <v>0.16666666666666666</v>
      </c>
      <c r="I20" s="39">
        <f t="shared" si="25"/>
        <v>0.2</v>
      </c>
      <c r="J20" s="39">
        <f t="shared" si="25"/>
        <v>0.25</v>
      </c>
      <c r="K20" s="39">
        <f t="shared" si="25"/>
        <v>0.33333333333333331</v>
      </c>
      <c r="L20" s="39">
        <f t="shared" si="25"/>
        <v>0.5</v>
      </c>
      <c r="M20" s="39">
        <f t="shared" si="25"/>
        <v>1</v>
      </c>
      <c r="N20" s="39">
        <f t="shared" ref="N20:Q20" si="26">IF(N18=0,0,1/N18)</f>
        <v>0</v>
      </c>
      <c r="O20" s="39">
        <f t="shared" si="26"/>
        <v>0</v>
      </c>
      <c r="P20" s="39">
        <f t="shared" si="26"/>
        <v>0</v>
      </c>
      <c r="Q20" s="39">
        <f t="shared" si="26"/>
        <v>0</v>
      </c>
    </row>
    <row r="21" spans="1:17" ht="19.2" customHeight="1" x14ac:dyDescent="0.3">
      <c r="A21" s="34" t="s">
        <v>46</v>
      </c>
      <c r="B21" s="34" t="s">
        <v>45</v>
      </c>
      <c r="C21" s="30"/>
      <c r="D21" s="39">
        <f>IF(D18=0,0,IF($C$7*1/$C$6&gt;D20,$C$7*1/$C$6,D20))</f>
        <v>0.1</v>
      </c>
      <c r="E21" s="39">
        <f>IF(E18=0,0,IF($C$7*1/$C$6&gt;E20,$C$7*1/$C$6,E20))</f>
        <v>0.1111111111111111</v>
      </c>
      <c r="F21" s="39">
        <f t="shared" ref="F21:M21" si="27">IF(F18=0,0,IF($C$7*1/$C$6&gt;F20,$C$7*1/$C$6,F20))</f>
        <v>0.125</v>
      </c>
      <c r="G21" s="39">
        <f t="shared" si="27"/>
        <v>0.14285714285714285</v>
      </c>
      <c r="H21" s="39">
        <f t="shared" si="27"/>
        <v>0.16666666666666666</v>
      </c>
      <c r="I21" s="39">
        <f t="shared" si="27"/>
        <v>0.2</v>
      </c>
      <c r="J21" s="39">
        <f t="shared" si="27"/>
        <v>0.25</v>
      </c>
      <c r="K21" s="39">
        <f t="shared" si="27"/>
        <v>0.33333333333333331</v>
      </c>
      <c r="L21" s="39">
        <f t="shared" si="27"/>
        <v>0.5</v>
      </c>
      <c r="M21" s="39">
        <f t="shared" si="27"/>
        <v>1</v>
      </c>
      <c r="N21" s="39">
        <f t="shared" ref="N21:Q21" si="28">IF(N18=0,0,IF($C$7*1/$C$6&gt;N20,$C$7*1/$C$6,N20))</f>
        <v>0</v>
      </c>
      <c r="O21" s="39">
        <f t="shared" si="28"/>
        <v>0</v>
      </c>
      <c r="P21" s="39">
        <f t="shared" si="28"/>
        <v>0</v>
      </c>
      <c r="Q21" s="39">
        <f t="shared" si="28"/>
        <v>0</v>
      </c>
    </row>
    <row r="22" spans="1:17" ht="19.2" customHeight="1" x14ac:dyDescent="0.3">
      <c r="A22" s="34" t="s">
        <v>47</v>
      </c>
      <c r="B22" s="34" t="s">
        <v>21</v>
      </c>
      <c r="C22" s="30"/>
      <c r="D22" s="15">
        <f>D19*D21</f>
        <v>15000000</v>
      </c>
      <c r="E22" s="15">
        <f>E19*E21</f>
        <v>15000000</v>
      </c>
      <c r="F22" s="15">
        <f t="shared" ref="F22:M22" si="29">F19*F21</f>
        <v>15000000</v>
      </c>
      <c r="G22" s="15">
        <f t="shared" si="29"/>
        <v>15000000</v>
      </c>
      <c r="H22" s="15">
        <f t="shared" si="29"/>
        <v>15000000</v>
      </c>
      <c r="I22" s="15">
        <f t="shared" si="29"/>
        <v>15000000</v>
      </c>
      <c r="J22" s="15">
        <f>J19*J21</f>
        <v>15000000</v>
      </c>
      <c r="K22" s="15">
        <f t="shared" si="29"/>
        <v>15000000</v>
      </c>
      <c r="L22" s="15">
        <f t="shared" si="29"/>
        <v>15000000</v>
      </c>
      <c r="M22" s="15">
        <f t="shared" si="29"/>
        <v>15000000</v>
      </c>
      <c r="N22" s="15">
        <f t="shared" ref="N22:Q22" si="30">N19*N21</f>
        <v>0</v>
      </c>
      <c r="O22" s="15">
        <f t="shared" si="30"/>
        <v>0</v>
      </c>
      <c r="P22" s="15">
        <f t="shared" si="30"/>
        <v>0</v>
      </c>
      <c r="Q22" s="15">
        <f t="shared" si="30"/>
        <v>0</v>
      </c>
    </row>
    <row r="23" spans="1:17" ht="19.2" customHeight="1" x14ac:dyDescent="0.3">
      <c r="A23" s="34" t="s">
        <v>48</v>
      </c>
      <c r="B23" s="34" t="s">
        <v>21</v>
      </c>
      <c r="C23" s="30"/>
      <c r="D23" s="15">
        <f>D19-D22</f>
        <v>135000000</v>
      </c>
      <c r="E23" s="15">
        <f>E19-E22</f>
        <v>120000000</v>
      </c>
      <c r="F23" s="15">
        <f t="shared" ref="F23:M23" si="31">F19-F22</f>
        <v>105000000</v>
      </c>
      <c r="G23" s="15">
        <f t="shared" si="31"/>
        <v>90000000</v>
      </c>
      <c r="H23" s="15">
        <f t="shared" si="31"/>
        <v>75000000</v>
      </c>
      <c r="I23" s="15">
        <f t="shared" si="31"/>
        <v>60000000</v>
      </c>
      <c r="J23" s="15">
        <f t="shared" si="31"/>
        <v>45000000</v>
      </c>
      <c r="K23" s="15">
        <f t="shared" si="31"/>
        <v>30000000</v>
      </c>
      <c r="L23" s="15">
        <f t="shared" si="31"/>
        <v>15000000</v>
      </c>
      <c r="M23" s="15">
        <f t="shared" si="31"/>
        <v>0</v>
      </c>
      <c r="N23" s="15">
        <f t="shared" ref="N23:Q23" si="32">N19-N22</f>
        <v>0</v>
      </c>
      <c r="O23" s="15">
        <f t="shared" si="32"/>
        <v>0</v>
      </c>
      <c r="P23" s="15">
        <f t="shared" si="32"/>
        <v>0</v>
      </c>
      <c r="Q23" s="15">
        <f t="shared" si="32"/>
        <v>0</v>
      </c>
    </row>
    <row r="24" spans="1:17" ht="19.2" customHeight="1" x14ac:dyDescent="0.3">
      <c r="A24" s="34"/>
      <c r="B24" s="34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</row>
    <row r="25" spans="1:17" ht="19.2" customHeight="1" x14ac:dyDescent="0.3">
      <c r="A25" s="13" t="s">
        <v>50</v>
      </c>
      <c r="B25" s="34" t="s">
        <v>21</v>
      </c>
      <c r="C25" s="15">
        <f>C$14+C$22</f>
        <v>5000000</v>
      </c>
      <c r="D25" s="15">
        <f>D$14+D$22</f>
        <v>20000000</v>
      </c>
      <c r="E25" s="15">
        <f>E$14+E$22</f>
        <v>20000000</v>
      </c>
      <c r="F25" s="15">
        <f>F$14+F$22</f>
        <v>20000000</v>
      </c>
      <c r="G25" s="15">
        <f t="shared" ref="G25:P25" si="33">G$14+G$22</f>
        <v>20000000</v>
      </c>
      <c r="H25" s="15">
        <f t="shared" si="33"/>
        <v>20000000</v>
      </c>
      <c r="I25" s="15">
        <f t="shared" si="33"/>
        <v>20000000</v>
      </c>
      <c r="J25" s="15">
        <f t="shared" si="33"/>
        <v>20000000</v>
      </c>
      <c r="K25" s="15">
        <f t="shared" si="33"/>
        <v>20000000</v>
      </c>
      <c r="L25" s="15">
        <f t="shared" si="33"/>
        <v>20000000</v>
      </c>
      <c r="M25" s="15">
        <f t="shared" si="33"/>
        <v>15000000</v>
      </c>
      <c r="N25" s="15">
        <f t="shared" si="33"/>
        <v>0</v>
      </c>
      <c r="O25" s="15">
        <f t="shared" si="33"/>
        <v>0</v>
      </c>
      <c r="P25" s="15">
        <f t="shared" si="33"/>
        <v>0</v>
      </c>
      <c r="Q25" s="15">
        <f>Q$14+Q$22</f>
        <v>0</v>
      </c>
    </row>
    <row r="27" spans="1:17" ht="19.2" customHeight="1" x14ac:dyDescent="0.3">
      <c r="A27" s="10" t="s">
        <v>40</v>
      </c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spans="1:17" ht="19.2" customHeight="1" x14ac:dyDescent="0.3">
      <c r="A28" s="13" t="s">
        <v>37</v>
      </c>
      <c r="B28" s="34" t="s">
        <v>35</v>
      </c>
      <c r="C28" s="24">
        <v>15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7" ht="19.2" customHeight="1" x14ac:dyDescent="0.3">
      <c r="A29" s="13" t="s">
        <v>38</v>
      </c>
      <c r="B29" s="34" t="s">
        <v>39</v>
      </c>
      <c r="C29" s="40">
        <v>1.5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1" spans="1:17" ht="19.2" customHeight="1" x14ac:dyDescent="0.3">
      <c r="A31" s="13" t="s">
        <v>41</v>
      </c>
      <c r="B31" s="34"/>
    </row>
    <row r="32" spans="1:17" ht="19.2" customHeight="1" x14ac:dyDescent="0.3">
      <c r="A32" s="34" t="s">
        <v>42</v>
      </c>
      <c r="B32" s="34" t="s">
        <v>35</v>
      </c>
      <c r="C32" s="35">
        <f>IF($C$6&lt;C$3,$C$6,C$3)</f>
        <v>10</v>
      </c>
      <c r="D32" s="15">
        <f t="shared" ref="D32" si="34">IF(C32=0,0,IF(C32-1&lt;D$3,C32-1,D$3))</f>
        <v>9</v>
      </c>
      <c r="E32" s="15">
        <f t="shared" ref="E32" si="35">IF(D32=0,0,IF(D32-1&lt;E$3,D32-1,E$3))</f>
        <v>8</v>
      </c>
      <c r="F32" s="15">
        <f t="shared" ref="F32" si="36">IF(E32=0,0,IF(E32-1&lt;F$3,E32-1,F$3))</f>
        <v>7</v>
      </c>
      <c r="G32" s="15">
        <f t="shared" ref="G32" si="37">IF(F32=0,0,IF(F32-1&lt;G$3,F32-1,G$3))</f>
        <v>6</v>
      </c>
      <c r="H32" s="15">
        <f t="shared" ref="H32" si="38">IF(G32=0,0,IF(G32-1&lt;H$3,G32-1,H$3))</f>
        <v>5</v>
      </c>
      <c r="I32" s="15">
        <f t="shared" ref="I32" si="39">IF(H32=0,0,IF(H32-1&lt;I$3,H32-1,I$3))</f>
        <v>4</v>
      </c>
      <c r="J32" s="15">
        <f t="shared" ref="J32" si="40">IF(I32=0,0,IF(I32-1&lt;J$3,I32-1,J$3))</f>
        <v>3</v>
      </c>
      <c r="K32" s="15">
        <f t="shared" ref="K32" si="41">IF(J32=0,0,IF(J32-1&lt;K$3,J32-1,K$3))</f>
        <v>2</v>
      </c>
      <c r="L32" s="15">
        <f t="shared" ref="L32" si="42">IF(K32=0,0,IF(K32-1&lt;L$3,K32-1,L$3))</f>
        <v>1</v>
      </c>
      <c r="M32" s="15">
        <f>IF(L32=0,0,IF(L32-1&lt;M$3,L32-1,M$3))</f>
        <v>0</v>
      </c>
      <c r="N32" s="15">
        <f t="shared" ref="N32:Q32" si="43">IF(M32=0,0,IF(M32-1&lt;N$3,M32-1,N$3))</f>
        <v>0</v>
      </c>
      <c r="O32" s="15">
        <f t="shared" si="43"/>
        <v>0</v>
      </c>
      <c r="P32" s="15">
        <f t="shared" si="43"/>
        <v>0</v>
      </c>
      <c r="Q32" s="15">
        <f t="shared" si="43"/>
        <v>0</v>
      </c>
    </row>
    <row r="33" spans="1:17" ht="19.2" customHeight="1" x14ac:dyDescent="0.3">
      <c r="A33" s="34" t="s">
        <v>43</v>
      </c>
      <c r="B33" s="34" t="s">
        <v>21</v>
      </c>
      <c r="C33" s="35">
        <f>'Modèle_législation en vigueur'!C10</f>
        <v>0</v>
      </c>
      <c r="D33" s="15">
        <f>C37</f>
        <v>0</v>
      </c>
      <c r="E33" s="15">
        <f t="shared" ref="E33" si="44">D37</f>
        <v>0</v>
      </c>
      <c r="F33" s="15">
        <f t="shared" ref="F33" si="45">E37</f>
        <v>0</v>
      </c>
      <c r="G33" s="15">
        <f t="shared" ref="G33" si="46">F37</f>
        <v>0</v>
      </c>
      <c r="H33" s="15">
        <f t="shared" ref="H33" si="47">G37</f>
        <v>0</v>
      </c>
      <c r="I33" s="15">
        <f t="shared" ref="I33" si="48">H37</f>
        <v>0</v>
      </c>
      <c r="J33" s="15">
        <f t="shared" ref="J33" si="49">I37</f>
        <v>0</v>
      </c>
      <c r="K33" s="15">
        <f t="shared" ref="K33" si="50">J37</f>
        <v>0</v>
      </c>
      <c r="L33" s="15">
        <f t="shared" ref="L33" si="51">K37</f>
        <v>0</v>
      </c>
      <c r="M33" s="15">
        <f t="shared" ref="M33" si="52">L37</f>
        <v>0</v>
      </c>
      <c r="N33" s="15">
        <f t="shared" ref="N33" si="53">M37</f>
        <v>0</v>
      </c>
      <c r="O33" s="15">
        <f t="shared" ref="O33" si="54">N37</f>
        <v>0</v>
      </c>
      <c r="P33" s="15">
        <f t="shared" ref="P33" si="55">O37</f>
        <v>0</v>
      </c>
      <c r="Q33" s="15">
        <f t="shared" ref="Q33" si="56">P37</f>
        <v>0</v>
      </c>
    </row>
    <row r="34" spans="1:17" ht="19.2" customHeight="1" x14ac:dyDescent="0.3">
      <c r="A34" s="34" t="s">
        <v>44</v>
      </c>
      <c r="B34" s="34" t="s">
        <v>45</v>
      </c>
      <c r="C34" s="39">
        <f>IF(C32=0,0,1/C32)</f>
        <v>0.1</v>
      </c>
      <c r="D34" s="39">
        <f>IF(D32=0,0,1/D32)</f>
        <v>0.1111111111111111</v>
      </c>
      <c r="E34" s="39">
        <f t="shared" ref="E34:Q34" si="57">IF(E32=0,0,1/E32)</f>
        <v>0.125</v>
      </c>
      <c r="F34" s="39">
        <f t="shared" si="57"/>
        <v>0.14285714285714285</v>
      </c>
      <c r="G34" s="39">
        <f t="shared" si="57"/>
        <v>0.16666666666666666</v>
      </c>
      <c r="H34" s="39">
        <f t="shared" si="57"/>
        <v>0.2</v>
      </c>
      <c r="I34" s="39">
        <f t="shared" si="57"/>
        <v>0.25</v>
      </c>
      <c r="J34" s="39">
        <f t="shared" si="57"/>
        <v>0.33333333333333331</v>
      </c>
      <c r="K34" s="39">
        <f t="shared" si="57"/>
        <v>0.5</v>
      </c>
      <c r="L34" s="39">
        <f t="shared" si="57"/>
        <v>1</v>
      </c>
      <c r="M34" s="39">
        <f t="shared" si="57"/>
        <v>0</v>
      </c>
      <c r="N34" s="39">
        <f t="shared" si="57"/>
        <v>0</v>
      </c>
      <c r="O34" s="39">
        <f t="shared" si="57"/>
        <v>0</v>
      </c>
      <c r="P34" s="39">
        <f t="shared" si="57"/>
        <v>0</v>
      </c>
      <c r="Q34" s="39">
        <f t="shared" si="57"/>
        <v>0</v>
      </c>
    </row>
    <row r="35" spans="1:17" ht="19.2" customHeight="1" x14ac:dyDescent="0.3">
      <c r="A35" s="34" t="s">
        <v>46</v>
      </c>
      <c r="B35" s="34" t="s">
        <v>45</v>
      </c>
      <c r="C35" s="39">
        <f>IF(C32=0,0,IF($C$29*1/$C$28&gt;C34,$C$29*1/$C$28,C34))</f>
        <v>0.1</v>
      </c>
      <c r="D35" s="39">
        <f t="shared" ref="D35:Q35" si="58">IF(D32=0,0,IF($C$29*1/$C$28&gt;D34,$C$29*1/$C$28,D34))</f>
        <v>0.1111111111111111</v>
      </c>
      <c r="E35" s="39">
        <f t="shared" si="58"/>
        <v>0.125</v>
      </c>
      <c r="F35" s="39">
        <f t="shared" si="58"/>
        <v>0.14285714285714285</v>
      </c>
      <c r="G35" s="39">
        <f t="shared" si="58"/>
        <v>0.16666666666666666</v>
      </c>
      <c r="H35" s="39">
        <f t="shared" si="58"/>
        <v>0.2</v>
      </c>
      <c r="I35" s="39">
        <f t="shared" si="58"/>
        <v>0.25</v>
      </c>
      <c r="J35" s="39">
        <f t="shared" si="58"/>
        <v>0.33333333333333331</v>
      </c>
      <c r="K35" s="39">
        <f t="shared" si="58"/>
        <v>0.5</v>
      </c>
      <c r="L35" s="39">
        <f t="shared" si="58"/>
        <v>1</v>
      </c>
      <c r="M35" s="39">
        <f t="shared" si="58"/>
        <v>0</v>
      </c>
      <c r="N35" s="39">
        <f t="shared" si="58"/>
        <v>0</v>
      </c>
      <c r="O35" s="39">
        <f t="shared" si="58"/>
        <v>0</v>
      </c>
      <c r="P35" s="39">
        <f t="shared" si="58"/>
        <v>0</v>
      </c>
      <c r="Q35" s="39">
        <f t="shared" si="58"/>
        <v>0</v>
      </c>
    </row>
    <row r="36" spans="1:17" ht="19.2" customHeight="1" x14ac:dyDescent="0.3">
      <c r="A36" s="34" t="s">
        <v>47</v>
      </c>
      <c r="B36" s="34" t="s">
        <v>21</v>
      </c>
      <c r="C36" s="15">
        <f>C33*C35</f>
        <v>0</v>
      </c>
      <c r="D36" s="15">
        <f>D33*D35</f>
        <v>0</v>
      </c>
      <c r="E36" s="15">
        <f t="shared" ref="E36:Q36" si="59">E33*E35</f>
        <v>0</v>
      </c>
      <c r="F36" s="15">
        <f t="shared" si="59"/>
        <v>0</v>
      </c>
      <c r="G36" s="15">
        <f t="shared" si="59"/>
        <v>0</v>
      </c>
      <c r="H36" s="15">
        <f t="shared" si="59"/>
        <v>0</v>
      </c>
      <c r="I36" s="15">
        <f t="shared" si="59"/>
        <v>0</v>
      </c>
      <c r="J36" s="15">
        <f t="shared" si="59"/>
        <v>0</v>
      </c>
      <c r="K36" s="15">
        <f t="shared" si="59"/>
        <v>0</v>
      </c>
      <c r="L36" s="15">
        <f t="shared" si="59"/>
        <v>0</v>
      </c>
      <c r="M36" s="15">
        <f t="shared" si="59"/>
        <v>0</v>
      </c>
      <c r="N36" s="15">
        <f t="shared" si="59"/>
        <v>0</v>
      </c>
      <c r="O36" s="15">
        <f t="shared" si="59"/>
        <v>0</v>
      </c>
      <c r="P36" s="15">
        <f t="shared" si="59"/>
        <v>0</v>
      </c>
      <c r="Q36" s="15">
        <f t="shared" si="59"/>
        <v>0</v>
      </c>
    </row>
    <row r="37" spans="1:17" ht="19.2" customHeight="1" x14ac:dyDescent="0.3">
      <c r="A37" s="34" t="s">
        <v>48</v>
      </c>
      <c r="B37" s="34" t="s">
        <v>21</v>
      </c>
      <c r="C37" s="15">
        <f>C33-C36</f>
        <v>0</v>
      </c>
      <c r="D37" s="15">
        <f>D33-D36</f>
        <v>0</v>
      </c>
      <c r="E37" s="15">
        <f t="shared" ref="E37:Q37" si="60">E33-E36</f>
        <v>0</v>
      </c>
      <c r="F37" s="15">
        <f t="shared" si="60"/>
        <v>0</v>
      </c>
      <c r="G37" s="15">
        <f t="shared" si="60"/>
        <v>0</v>
      </c>
      <c r="H37" s="15">
        <f t="shared" si="60"/>
        <v>0</v>
      </c>
      <c r="I37" s="15">
        <f t="shared" si="60"/>
        <v>0</v>
      </c>
      <c r="J37" s="15">
        <f t="shared" si="60"/>
        <v>0</v>
      </c>
      <c r="K37" s="15">
        <f t="shared" si="60"/>
        <v>0</v>
      </c>
      <c r="L37" s="15">
        <f t="shared" si="60"/>
        <v>0</v>
      </c>
      <c r="M37" s="15">
        <f t="shared" si="60"/>
        <v>0</v>
      </c>
      <c r="N37" s="15">
        <f t="shared" si="60"/>
        <v>0</v>
      </c>
      <c r="O37" s="15">
        <f t="shared" si="60"/>
        <v>0</v>
      </c>
      <c r="P37" s="15">
        <f t="shared" si="60"/>
        <v>0</v>
      </c>
      <c r="Q37" s="15">
        <f t="shared" si="60"/>
        <v>0</v>
      </c>
    </row>
    <row r="38" spans="1:17" ht="19.2" customHeight="1" x14ac:dyDescent="0.3">
      <c r="A38" s="34"/>
      <c r="B38" s="34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19.2" customHeight="1" x14ac:dyDescent="0.3">
      <c r="A39" s="13" t="s">
        <v>49</v>
      </c>
      <c r="B39" s="3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ht="19.2" customHeight="1" x14ac:dyDescent="0.3">
      <c r="A40" s="34" t="s">
        <v>42</v>
      </c>
      <c r="B40" s="34" t="s">
        <v>35</v>
      </c>
      <c r="C40" s="30"/>
      <c r="D40" s="35">
        <f>IF($C$6&lt;D$3,$C$6,D$3)</f>
        <v>10</v>
      </c>
      <c r="E40" s="15">
        <f t="shared" ref="E40" si="61">IF(D40=0,0,IF(D40-1&lt;E$3,D40-1,E$3))</f>
        <v>9</v>
      </c>
      <c r="F40" s="15">
        <f t="shared" ref="F40" si="62">IF(E40=0,0,IF(E40-1&lt;F$3,E40-1,F$3))</f>
        <v>8</v>
      </c>
      <c r="G40" s="15">
        <f t="shared" ref="G40" si="63">IF(F40=0,0,IF(F40-1&lt;G$3,F40-1,G$3))</f>
        <v>7</v>
      </c>
      <c r="H40" s="15">
        <f t="shared" ref="H40" si="64">IF(G40=0,0,IF(G40-1&lt;H$3,G40-1,H$3))</f>
        <v>6</v>
      </c>
      <c r="I40" s="15">
        <f t="shared" ref="I40" si="65">IF(H40=0,0,IF(H40-1&lt;I$3,H40-1,I$3))</f>
        <v>5</v>
      </c>
      <c r="J40" s="15">
        <f t="shared" ref="J40" si="66">IF(I40=0,0,IF(I40-1&lt;J$3,I40-1,J$3))</f>
        <v>4</v>
      </c>
      <c r="K40" s="15">
        <f t="shared" ref="K40" si="67">IF(J40=0,0,IF(J40-1&lt;K$3,J40-1,K$3))</f>
        <v>3</v>
      </c>
      <c r="L40" s="15">
        <f t="shared" ref="L40" si="68">IF(K40=0,0,IF(K40-1&lt;L$3,K40-1,L$3))</f>
        <v>2</v>
      </c>
      <c r="M40" s="15">
        <f t="shared" ref="M40" si="69">IF(L40=0,0,IF(L40-1&lt;M$3,L40-1,M$3))</f>
        <v>1</v>
      </c>
      <c r="N40" s="15">
        <f t="shared" ref="N40" si="70">IF(M40=0,0,IF(M40-1&lt;N$3,M40-1,N$3))</f>
        <v>0</v>
      </c>
      <c r="O40" s="15">
        <f t="shared" ref="O40" si="71">IF(N40=0,0,IF(N40-1&lt;O$3,N40-1,O$3))</f>
        <v>0</v>
      </c>
      <c r="P40" s="15">
        <f t="shared" ref="P40" si="72">IF(O40=0,0,IF(O40-1&lt;P$3,O40-1,P$3))</f>
        <v>0</v>
      </c>
      <c r="Q40" s="15">
        <f t="shared" ref="Q40" si="73">IF(P40=0,0,IF(P40-1&lt;Q$3,P40-1,Q$3))</f>
        <v>0</v>
      </c>
    </row>
    <row r="41" spans="1:17" ht="19.2" customHeight="1" x14ac:dyDescent="0.3">
      <c r="A41" s="34" t="s">
        <v>43</v>
      </c>
      <c r="B41" s="34" t="s">
        <v>21</v>
      </c>
      <c r="C41" s="30"/>
      <c r="D41" s="35">
        <f>'Modèle_législation en vigueur'!D10</f>
        <v>80000000</v>
      </c>
      <c r="E41" s="15">
        <f>D45</f>
        <v>72000000</v>
      </c>
      <c r="F41" s="15">
        <f t="shared" ref="F41" si="74">E45</f>
        <v>64000000</v>
      </c>
      <c r="G41" s="15">
        <f t="shared" ref="G41" si="75">F45</f>
        <v>56000000</v>
      </c>
      <c r="H41" s="15">
        <f t="shared" ref="H41" si="76">G45</f>
        <v>48000000</v>
      </c>
      <c r="I41" s="15">
        <f t="shared" ref="I41" si="77">H45</f>
        <v>40000000</v>
      </c>
      <c r="J41" s="15">
        <f t="shared" ref="J41" si="78">I45</f>
        <v>32000000</v>
      </c>
      <c r="K41" s="15">
        <f t="shared" ref="K41" si="79">J45</f>
        <v>24000000</v>
      </c>
      <c r="L41" s="15">
        <f t="shared" ref="L41" si="80">K45</f>
        <v>16000000</v>
      </c>
      <c r="M41" s="15">
        <f t="shared" ref="M41" si="81">L45</f>
        <v>8000000</v>
      </c>
      <c r="N41" s="15">
        <f t="shared" ref="N41" si="82">M45</f>
        <v>0</v>
      </c>
      <c r="O41" s="15">
        <f t="shared" ref="O41" si="83">N45</f>
        <v>0</v>
      </c>
      <c r="P41" s="15">
        <f t="shared" ref="P41" si="84">O45</f>
        <v>0</v>
      </c>
      <c r="Q41" s="15">
        <f t="shared" ref="Q41" si="85">P45</f>
        <v>0</v>
      </c>
    </row>
    <row r="42" spans="1:17" ht="19.2" customHeight="1" x14ac:dyDescent="0.3">
      <c r="A42" s="34" t="s">
        <v>44</v>
      </c>
      <c r="B42" s="34" t="s">
        <v>45</v>
      </c>
      <c r="C42" s="30"/>
      <c r="D42" s="39">
        <f>IF(D40=0,0,1/D40)</f>
        <v>0.1</v>
      </c>
      <c r="E42" s="39">
        <f>IF(E40=0,0,1/E40)</f>
        <v>0.1111111111111111</v>
      </c>
      <c r="F42" s="39">
        <f t="shared" ref="F42:Q42" si="86">IF(F40=0,0,1/F40)</f>
        <v>0.125</v>
      </c>
      <c r="G42" s="39">
        <f t="shared" si="86"/>
        <v>0.14285714285714285</v>
      </c>
      <c r="H42" s="39">
        <f t="shared" si="86"/>
        <v>0.16666666666666666</v>
      </c>
      <c r="I42" s="39">
        <f t="shared" si="86"/>
        <v>0.2</v>
      </c>
      <c r="J42" s="39">
        <f t="shared" si="86"/>
        <v>0.25</v>
      </c>
      <c r="K42" s="39">
        <f t="shared" si="86"/>
        <v>0.33333333333333331</v>
      </c>
      <c r="L42" s="39">
        <f t="shared" si="86"/>
        <v>0.5</v>
      </c>
      <c r="M42" s="39">
        <f t="shared" si="86"/>
        <v>1</v>
      </c>
      <c r="N42" s="39">
        <f t="shared" si="86"/>
        <v>0</v>
      </c>
      <c r="O42" s="39">
        <f t="shared" si="86"/>
        <v>0</v>
      </c>
      <c r="P42" s="39">
        <f t="shared" si="86"/>
        <v>0</v>
      </c>
      <c r="Q42" s="39">
        <f t="shared" si="86"/>
        <v>0</v>
      </c>
    </row>
    <row r="43" spans="1:17" ht="19.2" customHeight="1" x14ac:dyDescent="0.3">
      <c r="A43" s="34" t="s">
        <v>46</v>
      </c>
      <c r="B43" s="34" t="s">
        <v>45</v>
      </c>
      <c r="C43" s="30"/>
      <c r="D43" s="39">
        <f>IF(D40=0,0,IF($C$29*1/$C$28&gt;D42,$C$29*1/$C$28,D42))</f>
        <v>0.1</v>
      </c>
      <c r="E43" s="39">
        <f t="shared" ref="E43" si="87">IF(E40=0,0,IF($C$29*1/$C$28&gt;E42,$C$29*1/$C$28,E42))</f>
        <v>0.1111111111111111</v>
      </c>
      <c r="F43" s="39">
        <f t="shared" ref="F43" si="88">IF(F40=0,0,IF($C$29*1/$C$28&gt;F42,$C$29*1/$C$28,F42))</f>
        <v>0.125</v>
      </c>
      <c r="G43" s="39">
        <f t="shared" ref="G43" si="89">IF(G40=0,0,IF($C$29*1/$C$28&gt;G42,$C$29*1/$C$28,G42))</f>
        <v>0.14285714285714285</v>
      </c>
      <c r="H43" s="39">
        <f t="shared" ref="H43" si="90">IF(H40=0,0,IF($C$29*1/$C$28&gt;H42,$C$29*1/$C$28,H42))</f>
        <v>0.16666666666666666</v>
      </c>
      <c r="I43" s="39">
        <f t="shared" ref="I43" si="91">IF(I40=0,0,IF($C$29*1/$C$28&gt;I42,$C$29*1/$C$28,I42))</f>
        <v>0.2</v>
      </c>
      <c r="J43" s="39">
        <f t="shared" ref="J43" si="92">IF(J40=0,0,IF($C$29*1/$C$28&gt;J42,$C$29*1/$C$28,J42))</f>
        <v>0.25</v>
      </c>
      <c r="K43" s="39">
        <f t="shared" ref="K43" si="93">IF(K40=0,0,IF($C$29*1/$C$28&gt;K42,$C$29*1/$C$28,K42))</f>
        <v>0.33333333333333331</v>
      </c>
      <c r="L43" s="39">
        <f t="shared" ref="L43" si="94">IF(L40=0,0,IF($C$29*1/$C$28&gt;L42,$C$29*1/$C$28,L42))</f>
        <v>0.5</v>
      </c>
      <c r="M43" s="39">
        <f t="shared" ref="M43" si="95">IF(M40=0,0,IF($C$29*1/$C$28&gt;M42,$C$29*1/$C$28,M42))</f>
        <v>1</v>
      </c>
      <c r="N43" s="39">
        <f t="shared" ref="N43" si="96">IF(N40=0,0,IF($C$29*1/$C$28&gt;N42,$C$29*1/$C$28,N42))</f>
        <v>0</v>
      </c>
      <c r="O43" s="39">
        <f t="shared" ref="O43" si="97">IF(O40=0,0,IF($C$29*1/$C$28&gt;O42,$C$29*1/$C$28,O42))</f>
        <v>0</v>
      </c>
      <c r="P43" s="39">
        <f t="shared" ref="P43" si="98">IF(P40=0,0,IF($C$29*1/$C$28&gt;P42,$C$29*1/$C$28,P42))</f>
        <v>0</v>
      </c>
      <c r="Q43" s="39">
        <f t="shared" ref="Q43" si="99">IF(Q40=0,0,IF($C$29*1/$C$28&gt;Q42,$C$29*1/$C$28,Q42))</f>
        <v>0</v>
      </c>
    </row>
    <row r="44" spans="1:17" ht="19.2" customHeight="1" x14ac:dyDescent="0.3">
      <c r="A44" s="34" t="s">
        <v>47</v>
      </c>
      <c r="B44" s="34" t="s">
        <v>21</v>
      </c>
      <c r="C44" s="30"/>
      <c r="D44" s="15">
        <f>D41*D43</f>
        <v>8000000</v>
      </c>
      <c r="E44" s="15">
        <f t="shared" ref="E44:Q44" si="100">E41*E43</f>
        <v>8000000</v>
      </c>
      <c r="F44" s="15">
        <f t="shared" si="100"/>
        <v>8000000</v>
      </c>
      <c r="G44" s="15">
        <f t="shared" si="100"/>
        <v>8000000</v>
      </c>
      <c r="H44" s="15">
        <f t="shared" si="100"/>
        <v>8000000</v>
      </c>
      <c r="I44" s="15">
        <f t="shared" si="100"/>
        <v>8000000</v>
      </c>
      <c r="J44" s="15">
        <f t="shared" si="100"/>
        <v>8000000</v>
      </c>
      <c r="K44" s="15">
        <f t="shared" si="100"/>
        <v>8000000</v>
      </c>
      <c r="L44" s="15">
        <f t="shared" si="100"/>
        <v>8000000</v>
      </c>
      <c r="M44" s="15">
        <f t="shared" si="100"/>
        <v>8000000</v>
      </c>
      <c r="N44" s="15">
        <f t="shared" si="100"/>
        <v>0</v>
      </c>
      <c r="O44" s="15">
        <f t="shared" si="100"/>
        <v>0</v>
      </c>
      <c r="P44" s="15">
        <f t="shared" si="100"/>
        <v>0</v>
      </c>
      <c r="Q44" s="15">
        <f t="shared" si="100"/>
        <v>0</v>
      </c>
    </row>
    <row r="45" spans="1:17" ht="19.2" customHeight="1" x14ac:dyDescent="0.3">
      <c r="A45" s="34" t="s">
        <v>48</v>
      </c>
      <c r="B45" s="34" t="s">
        <v>21</v>
      </c>
      <c r="C45" s="30"/>
      <c r="D45" s="15">
        <f>D41-D44</f>
        <v>72000000</v>
      </c>
      <c r="E45" s="15">
        <f t="shared" ref="E45:Q45" si="101">E41-E44</f>
        <v>64000000</v>
      </c>
      <c r="F45" s="15">
        <f t="shared" si="101"/>
        <v>56000000</v>
      </c>
      <c r="G45" s="15">
        <f t="shared" si="101"/>
        <v>48000000</v>
      </c>
      <c r="H45" s="15">
        <f t="shared" si="101"/>
        <v>40000000</v>
      </c>
      <c r="I45" s="15">
        <f t="shared" si="101"/>
        <v>32000000</v>
      </c>
      <c r="J45" s="15">
        <f t="shared" si="101"/>
        <v>24000000</v>
      </c>
      <c r="K45" s="15">
        <f t="shared" si="101"/>
        <v>16000000</v>
      </c>
      <c r="L45" s="15">
        <f t="shared" si="101"/>
        <v>8000000</v>
      </c>
      <c r="M45" s="15">
        <f t="shared" si="101"/>
        <v>0</v>
      </c>
      <c r="N45" s="15">
        <f t="shared" si="101"/>
        <v>0</v>
      </c>
      <c r="O45" s="15">
        <f t="shared" si="101"/>
        <v>0</v>
      </c>
      <c r="P45" s="15">
        <f t="shared" si="101"/>
        <v>0</v>
      </c>
      <c r="Q45" s="15">
        <f t="shared" si="101"/>
        <v>0</v>
      </c>
    </row>
    <row r="46" spans="1:17" ht="19.2" customHeight="1" x14ac:dyDescent="0.3">
      <c r="A46" s="34"/>
      <c r="B46" s="34"/>
    </row>
    <row r="47" spans="1:17" ht="19.2" customHeight="1" x14ac:dyDescent="0.3">
      <c r="A47" s="13" t="s">
        <v>51</v>
      </c>
      <c r="B47" s="34"/>
    </row>
    <row r="48" spans="1:17" ht="19.2" customHeight="1" x14ac:dyDescent="0.3">
      <c r="A48" s="34" t="s">
        <v>42</v>
      </c>
      <c r="B48" s="34" t="s">
        <v>35</v>
      </c>
      <c r="E48" s="35">
        <f>IF($C$6&lt;E$3,$C$6,E$3)</f>
        <v>10</v>
      </c>
      <c r="F48" s="15">
        <f t="shared" ref="F48" si="102">IF(E48=0,0,IF(E48-1&lt;F$3,E48-1,F$3))</f>
        <v>9</v>
      </c>
      <c r="G48" s="15">
        <f t="shared" ref="G48" si="103">IF(F48=0,0,IF(F48-1&lt;G$3,F48-1,G$3))</f>
        <v>8</v>
      </c>
      <c r="H48" s="15">
        <f t="shared" ref="H48" si="104">IF(G48=0,0,IF(G48-1&lt;H$3,G48-1,H$3))</f>
        <v>7</v>
      </c>
      <c r="I48" s="15">
        <f t="shared" ref="I48" si="105">IF(H48=0,0,IF(H48-1&lt;I$3,H48-1,I$3))</f>
        <v>6</v>
      </c>
      <c r="J48" s="15">
        <f t="shared" ref="J48" si="106">IF(I48=0,0,IF(I48-1&lt;J$3,I48-1,J$3))</f>
        <v>5</v>
      </c>
      <c r="K48" s="15">
        <f t="shared" ref="K48" si="107">IF(J48=0,0,IF(J48-1&lt;K$3,J48-1,K$3))</f>
        <v>4</v>
      </c>
      <c r="L48" s="15">
        <f t="shared" ref="L48" si="108">IF(K48=0,0,IF(K48-1&lt;L$3,K48-1,L$3))</f>
        <v>3</v>
      </c>
      <c r="M48" s="15">
        <f>IF(L48=0,0,IF(L48-1&lt;M$3,L48-1,M$3))</f>
        <v>2</v>
      </c>
      <c r="N48" s="15">
        <f t="shared" ref="N48:Q48" si="109">IF(M48=0,0,IF(M48-1&lt;N$3,M48-1,N$3))</f>
        <v>1</v>
      </c>
      <c r="O48" s="15">
        <f t="shared" si="109"/>
        <v>0</v>
      </c>
      <c r="P48" s="15">
        <f t="shared" si="109"/>
        <v>0</v>
      </c>
      <c r="Q48" s="15">
        <f t="shared" si="109"/>
        <v>0</v>
      </c>
    </row>
    <row r="49" spans="1:17" ht="19.2" customHeight="1" x14ac:dyDescent="0.3">
      <c r="A49" s="34" t="s">
        <v>43</v>
      </c>
      <c r="B49" s="34" t="s">
        <v>21</v>
      </c>
      <c r="E49" s="35">
        <f>'Modèle_législation en vigueur'!E10</f>
        <v>10000000</v>
      </c>
      <c r="F49" s="15">
        <f t="shared" ref="F49" si="110">E53</f>
        <v>9000000</v>
      </c>
      <c r="G49" s="15">
        <f t="shared" ref="G49" si="111">F53</f>
        <v>8000000</v>
      </c>
      <c r="H49" s="15">
        <f t="shared" ref="H49" si="112">G53</f>
        <v>7000000</v>
      </c>
      <c r="I49" s="15">
        <f t="shared" ref="I49" si="113">H53</f>
        <v>6000000</v>
      </c>
      <c r="J49" s="15">
        <f t="shared" ref="J49" si="114">I53</f>
        <v>5000000</v>
      </c>
      <c r="K49" s="15">
        <f t="shared" ref="K49" si="115">J53</f>
        <v>4000000</v>
      </c>
      <c r="L49" s="15">
        <f t="shared" ref="L49" si="116">K53</f>
        <v>3000000</v>
      </c>
      <c r="M49" s="15">
        <f t="shared" ref="M49" si="117">L53</f>
        <v>2000000</v>
      </c>
      <c r="N49" s="15">
        <f t="shared" ref="N49" si="118">M53</f>
        <v>1000000</v>
      </c>
      <c r="O49" s="15">
        <f t="shared" ref="O49" si="119">N53</f>
        <v>0</v>
      </c>
      <c r="P49" s="15">
        <f t="shared" ref="P49" si="120">O53</f>
        <v>0</v>
      </c>
      <c r="Q49" s="15">
        <f t="shared" ref="Q49" si="121">P53</f>
        <v>0</v>
      </c>
    </row>
    <row r="50" spans="1:17" ht="19.2" customHeight="1" x14ac:dyDescent="0.3">
      <c r="A50" s="34" t="s">
        <v>44</v>
      </c>
      <c r="B50" s="34" t="s">
        <v>45</v>
      </c>
      <c r="E50" s="39">
        <f t="shared" ref="E50:Q50" si="122">IF(E48=0,0,1/E48)</f>
        <v>0.1</v>
      </c>
      <c r="F50" s="39">
        <f t="shared" si="122"/>
        <v>0.1111111111111111</v>
      </c>
      <c r="G50" s="39">
        <f t="shared" si="122"/>
        <v>0.125</v>
      </c>
      <c r="H50" s="39">
        <f t="shared" si="122"/>
        <v>0.14285714285714285</v>
      </c>
      <c r="I50" s="39">
        <f t="shared" si="122"/>
        <v>0.16666666666666666</v>
      </c>
      <c r="J50" s="39">
        <f t="shared" si="122"/>
        <v>0.2</v>
      </c>
      <c r="K50" s="39">
        <f t="shared" si="122"/>
        <v>0.25</v>
      </c>
      <c r="L50" s="39">
        <f t="shared" si="122"/>
        <v>0.33333333333333331</v>
      </c>
      <c r="M50" s="39">
        <f t="shared" si="122"/>
        <v>0.5</v>
      </c>
      <c r="N50" s="39">
        <f t="shared" si="122"/>
        <v>1</v>
      </c>
      <c r="O50" s="39">
        <f t="shared" si="122"/>
        <v>0</v>
      </c>
      <c r="P50" s="39">
        <f t="shared" si="122"/>
        <v>0</v>
      </c>
      <c r="Q50" s="39">
        <f t="shared" si="122"/>
        <v>0</v>
      </c>
    </row>
    <row r="51" spans="1:17" ht="19.2" customHeight="1" x14ac:dyDescent="0.3">
      <c r="A51" s="34" t="s">
        <v>46</v>
      </c>
      <c r="B51" s="34" t="s">
        <v>45</v>
      </c>
      <c r="E51" s="39">
        <f t="shared" ref="E51" si="123">IF(E48=0,0,IF($C$29*1/$C$28&gt;E50,$C$29*1/$C$28,E50))</f>
        <v>0.1</v>
      </c>
      <c r="F51" s="39">
        <f t="shared" ref="F51" si="124">IF(F48=0,0,IF($C$29*1/$C$28&gt;F50,$C$29*1/$C$28,F50))</f>
        <v>0.1111111111111111</v>
      </c>
      <c r="G51" s="39">
        <f t="shared" ref="G51" si="125">IF(G48=0,0,IF($C$29*1/$C$28&gt;G50,$C$29*1/$C$28,G50))</f>
        <v>0.125</v>
      </c>
      <c r="H51" s="39">
        <f t="shared" ref="H51" si="126">IF(H48=0,0,IF($C$29*1/$C$28&gt;H50,$C$29*1/$C$28,H50))</f>
        <v>0.14285714285714285</v>
      </c>
      <c r="I51" s="39">
        <f t="shared" ref="I51" si="127">IF(I48=0,0,IF($C$29*1/$C$28&gt;I50,$C$29*1/$C$28,I50))</f>
        <v>0.16666666666666666</v>
      </c>
      <c r="J51" s="39">
        <f t="shared" ref="J51" si="128">IF(J48=0,0,IF($C$29*1/$C$28&gt;J50,$C$29*1/$C$28,J50))</f>
        <v>0.2</v>
      </c>
      <c r="K51" s="39">
        <f t="shared" ref="K51" si="129">IF(K48=0,0,IF($C$29*1/$C$28&gt;K50,$C$29*1/$C$28,K50))</f>
        <v>0.25</v>
      </c>
      <c r="L51" s="39">
        <f t="shared" ref="L51" si="130">IF(L48=0,0,IF($C$29*1/$C$28&gt;L50,$C$29*1/$C$28,L50))</f>
        <v>0.33333333333333331</v>
      </c>
      <c r="M51" s="39">
        <f t="shared" ref="M51" si="131">IF(M48=0,0,IF($C$29*1/$C$28&gt;M50,$C$29*1/$C$28,M50))</f>
        <v>0.5</v>
      </c>
      <c r="N51" s="39">
        <f t="shared" ref="N51" si="132">IF(N48=0,0,IF($C$29*1/$C$28&gt;N50,$C$29*1/$C$28,N50))</f>
        <v>1</v>
      </c>
      <c r="O51" s="39">
        <f t="shared" ref="O51" si="133">IF(O48=0,0,IF($C$29*1/$C$28&gt;O50,$C$29*1/$C$28,O50))</f>
        <v>0</v>
      </c>
      <c r="P51" s="39">
        <f t="shared" ref="P51" si="134">IF(P48=0,0,IF($C$29*1/$C$28&gt;P50,$C$29*1/$C$28,P50))</f>
        <v>0</v>
      </c>
      <c r="Q51" s="39">
        <f t="shared" ref="Q51" si="135">IF(Q48=0,0,IF($C$29*1/$C$28&gt;Q50,$C$29*1/$C$28,Q50))</f>
        <v>0</v>
      </c>
    </row>
    <row r="52" spans="1:17" ht="19.2" customHeight="1" x14ac:dyDescent="0.3">
      <c r="A52" s="34" t="s">
        <v>47</v>
      </c>
      <c r="B52" s="34" t="s">
        <v>21</v>
      </c>
      <c r="E52" s="15">
        <f t="shared" ref="E52:Q52" si="136">E49*E51</f>
        <v>1000000</v>
      </c>
      <c r="F52" s="15">
        <f t="shared" si="136"/>
        <v>1000000</v>
      </c>
      <c r="G52" s="15">
        <f t="shared" si="136"/>
        <v>1000000</v>
      </c>
      <c r="H52" s="15">
        <f t="shared" si="136"/>
        <v>1000000</v>
      </c>
      <c r="I52" s="15">
        <f t="shared" si="136"/>
        <v>1000000</v>
      </c>
      <c r="J52" s="15">
        <f t="shared" si="136"/>
        <v>1000000</v>
      </c>
      <c r="K52" s="15">
        <f t="shared" si="136"/>
        <v>1000000</v>
      </c>
      <c r="L52" s="15">
        <f t="shared" si="136"/>
        <v>1000000</v>
      </c>
      <c r="M52" s="15">
        <f t="shared" si="136"/>
        <v>1000000</v>
      </c>
      <c r="N52" s="15">
        <f t="shared" si="136"/>
        <v>1000000</v>
      </c>
      <c r="O52" s="15">
        <f t="shared" si="136"/>
        <v>0</v>
      </c>
      <c r="P52" s="15">
        <f t="shared" si="136"/>
        <v>0</v>
      </c>
      <c r="Q52" s="15">
        <f t="shared" si="136"/>
        <v>0</v>
      </c>
    </row>
    <row r="53" spans="1:17" ht="19.2" customHeight="1" x14ac:dyDescent="0.3">
      <c r="A53" s="34" t="s">
        <v>48</v>
      </c>
      <c r="B53" s="34" t="s">
        <v>21</v>
      </c>
      <c r="E53" s="15">
        <f t="shared" ref="E53:Q53" si="137">E49-E52</f>
        <v>9000000</v>
      </c>
      <c r="F53" s="15">
        <f t="shared" si="137"/>
        <v>8000000</v>
      </c>
      <c r="G53" s="15">
        <f t="shared" si="137"/>
        <v>7000000</v>
      </c>
      <c r="H53" s="15">
        <f t="shared" si="137"/>
        <v>6000000</v>
      </c>
      <c r="I53" s="15">
        <f t="shared" si="137"/>
        <v>5000000</v>
      </c>
      <c r="J53" s="15">
        <f t="shared" si="137"/>
        <v>4000000</v>
      </c>
      <c r="K53" s="15">
        <f t="shared" si="137"/>
        <v>3000000</v>
      </c>
      <c r="L53" s="15">
        <f t="shared" si="137"/>
        <v>2000000</v>
      </c>
      <c r="M53" s="15">
        <f t="shared" si="137"/>
        <v>1000000</v>
      </c>
      <c r="N53" s="15">
        <f t="shared" si="137"/>
        <v>0</v>
      </c>
      <c r="O53" s="15">
        <f t="shared" si="137"/>
        <v>0</v>
      </c>
      <c r="P53" s="15">
        <f t="shared" si="137"/>
        <v>0</v>
      </c>
      <c r="Q53" s="15">
        <f t="shared" si="137"/>
        <v>0</v>
      </c>
    </row>
    <row r="54" spans="1:17" ht="19.2" customHeight="1" x14ac:dyDescent="0.3">
      <c r="A54" s="34"/>
      <c r="B54" s="34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1:17" ht="19.2" customHeight="1" x14ac:dyDescent="0.3">
      <c r="A55" s="13" t="s">
        <v>52</v>
      </c>
      <c r="B55" s="34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1:17" ht="19.2" customHeight="1" x14ac:dyDescent="0.3">
      <c r="A56" s="34" t="s">
        <v>42</v>
      </c>
      <c r="B56" s="34" t="s">
        <v>35</v>
      </c>
      <c r="C56" s="30"/>
      <c r="F56" s="35">
        <f>IF($C$6&lt;F$3,$C$6,F$3)</f>
        <v>10</v>
      </c>
      <c r="G56" s="15">
        <f t="shared" ref="G56" si="138">IF(F56=0,0,IF(F56-1&lt;G$3,F56-1,G$3))</f>
        <v>9</v>
      </c>
      <c r="H56" s="15">
        <f t="shared" ref="H56" si="139">IF(G56=0,0,IF(G56-1&lt;H$3,G56-1,H$3))</f>
        <v>8</v>
      </c>
      <c r="I56" s="15">
        <f t="shared" ref="I56" si="140">IF(H56=0,0,IF(H56-1&lt;I$3,H56-1,I$3))</f>
        <v>7</v>
      </c>
      <c r="J56" s="15">
        <f t="shared" ref="J56" si="141">IF(I56=0,0,IF(I56-1&lt;J$3,I56-1,J$3))</f>
        <v>6</v>
      </c>
      <c r="K56" s="15">
        <f t="shared" ref="K56" si="142">IF(J56=0,0,IF(J56-1&lt;K$3,J56-1,K$3))</f>
        <v>5</v>
      </c>
      <c r="L56" s="15">
        <f t="shared" ref="L56" si="143">IF(K56=0,0,IF(K56-1&lt;L$3,K56-1,L$3))</f>
        <v>4</v>
      </c>
      <c r="M56" s="15">
        <f t="shared" ref="M56" si="144">IF(L56=0,0,IF(L56-1&lt;M$3,L56-1,M$3))</f>
        <v>3</v>
      </c>
      <c r="N56" s="15">
        <f t="shared" ref="N56" si="145">IF(M56=0,0,IF(M56-1&lt;N$3,M56-1,N$3))</f>
        <v>2</v>
      </c>
      <c r="O56" s="15">
        <f t="shared" ref="O56" si="146">IF(N56=0,0,IF(N56-1&lt;O$3,N56-1,O$3))</f>
        <v>1</v>
      </c>
      <c r="P56" s="15">
        <f t="shared" ref="P56" si="147">IF(O56=0,0,IF(O56-1&lt;P$3,O56-1,P$3))</f>
        <v>0</v>
      </c>
      <c r="Q56" s="15">
        <f t="shared" ref="Q56" si="148">IF(P56=0,0,IF(P56-1&lt;Q$3,P56-1,Q$3))</f>
        <v>0</v>
      </c>
    </row>
    <row r="57" spans="1:17" ht="19.2" customHeight="1" x14ac:dyDescent="0.3">
      <c r="A57" s="34" t="s">
        <v>43</v>
      </c>
      <c r="B57" s="34" t="s">
        <v>21</v>
      </c>
      <c r="C57" s="30"/>
      <c r="F57" s="15">
        <f>'Modèle_législation en vigueur'!F10</f>
        <v>10000000</v>
      </c>
      <c r="G57" s="15">
        <f t="shared" ref="G57" si="149">F61</f>
        <v>9000000</v>
      </c>
      <c r="H57" s="15">
        <f t="shared" ref="H57" si="150">G61</f>
        <v>8000000</v>
      </c>
      <c r="I57" s="15">
        <f t="shared" ref="I57" si="151">H61</f>
        <v>7000000</v>
      </c>
      <c r="J57" s="15">
        <f t="shared" ref="J57" si="152">I61</f>
        <v>6000000</v>
      </c>
      <c r="K57" s="15">
        <f t="shared" ref="K57" si="153">J61</f>
        <v>5000000</v>
      </c>
      <c r="L57" s="15">
        <f t="shared" ref="L57" si="154">K61</f>
        <v>4000000</v>
      </c>
      <c r="M57" s="15">
        <f t="shared" ref="M57" si="155">L61</f>
        <v>3000000</v>
      </c>
      <c r="N57" s="15">
        <f t="shared" ref="N57" si="156">M61</f>
        <v>2000000</v>
      </c>
      <c r="O57" s="15">
        <f t="shared" ref="O57" si="157">N61</f>
        <v>1000000</v>
      </c>
      <c r="P57" s="15">
        <f t="shared" ref="P57" si="158">O61</f>
        <v>0</v>
      </c>
      <c r="Q57" s="15">
        <f t="shared" ref="Q57" si="159">P61</f>
        <v>0</v>
      </c>
    </row>
    <row r="58" spans="1:17" ht="19.2" customHeight="1" x14ac:dyDescent="0.3">
      <c r="A58" s="34" t="s">
        <v>44</v>
      </c>
      <c r="B58" s="34" t="s">
        <v>45</v>
      </c>
      <c r="C58" s="30"/>
      <c r="F58" s="39">
        <f t="shared" ref="F58:Q58" si="160">IF(F56=0,0,1/F56)</f>
        <v>0.1</v>
      </c>
      <c r="G58" s="39">
        <f t="shared" si="160"/>
        <v>0.1111111111111111</v>
      </c>
      <c r="H58" s="39">
        <f t="shared" si="160"/>
        <v>0.125</v>
      </c>
      <c r="I58" s="39">
        <f t="shared" si="160"/>
        <v>0.14285714285714285</v>
      </c>
      <c r="J58" s="39">
        <f t="shared" si="160"/>
        <v>0.16666666666666666</v>
      </c>
      <c r="K58" s="39">
        <f t="shared" si="160"/>
        <v>0.2</v>
      </c>
      <c r="L58" s="39">
        <f t="shared" si="160"/>
        <v>0.25</v>
      </c>
      <c r="M58" s="39">
        <f t="shared" si="160"/>
        <v>0.33333333333333331</v>
      </c>
      <c r="N58" s="39">
        <f t="shared" si="160"/>
        <v>0.5</v>
      </c>
      <c r="O58" s="39">
        <f t="shared" si="160"/>
        <v>1</v>
      </c>
      <c r="P58" s="39">
        <f t="shared" si="160"/>
        <v>0</v>
      </c>
      <c r="Q58" s="39">
        <f t="shared" si="160"/>
        <v>0</v>
      </c>
    </row>
    <row r="59" spans="1:17" ht="19.2" customHeight="1" x14ac:dyDescent="0.3">
      <c r="A59" s="34" t="s">
        <v>46</v>
      </c>
      <c r="B59" s="34" t="s">
        <v>45</v>
      </c>
      <c r="C59" s="30"/>
      <c r="F59" s="39">
        <f t="shared" ref="F59" si="161">IF(F56=0,0,IF($C$29*1/$C$28&gt;F58,$C$29*1/$C$28,F58))</f>
        <v>0.1</v>
      </c>
      <c r="G59" s="39">
        <f t="shared" ref="G59" si="162">IF(G56=0,0,IF($C$29*1/$C$28&gt;G58,$C$29*1/$C$28,G58))</f>
        <v>0.1111111111111111</v>
      </c>
      <c r="H59" s="39">
        <f t="shared" ref="H59" si="163">IF(H56=0,0,IF($C$29*1/$C$28&gt;H58,$C$29*1/$C$28,H58))</f>
        <v>0.125</v>
      </c>
      <c r="I59" s="39">
        <f t="shared" ref="I59" si="164">IF(I56=0,0,IF($C$29*1/$C$28&gt;I58,$C$29*1/$C$28,I58))</f>
        <v>0.14285714285714285</v>
      </c>
      <c r="J59" s="39">
        <f t="shared" ref="J59" si="165">IF(J56=0,0,IF($C$29*1/$C$28&gt;J58,$C$29*1/$C$28,J58))</f>
        <v>0.16666666666666666</v>
      </c>
      <c r="K59" s="39">
        <f t="shared" ref="K59" si="166">IF(K56=0,0,IF($C$29*1/$C$28&gt;K58,$C$29*1/$C$28,K58))</f>
        <v>0.2</v>
      </c>
      <c r="L59" s="39">
        <f t="shared" ref="L59" si="167">IF(L56=0,0,IF($C$29*1/$C$28&gt;L58,$C$29*1/$C$28,L58))</f>
        <v>0.25</v>
      </c>
      <c r="M59" s="39">
        <f t="shared" ref="M59" si="168">IF(M56=0,0,IF($C$29*1/$C$28&gt;M58,$C$29*1/$C$28,M58))</f>
        <v>0.33333333333333331</v>
      </c>
      <c r="N59" s="39">
        <f t="shared" ref="N59" si="169">IF(N56=0,0,IF($C$29*1/$C$28&gt;N58,$C$29*1/$C$28,N58))</f>
        <v>0.5</v>
      </c>
      <c r="O59" s="39">
        <f t="shared" ref="O59" si="170">IF(O56=0,0,IF($C$29*1/$C$28&gt;O58,$C$29*1/$C$28,O58))</f>
        <v>1</v>
      </c>
      <c r="P59" s="39">
        <f t="shared" ref="P59" si="171">IF(P56=0,0,IF($C$29*1/$C$28&gt;P58,$C$29*1/$C$28,P58))</f>
        <v>0</v>
      </c>
      <c r="Q59" s="39">
        <f t="shared" ref="Q59" si="172">IF(Q56=0,0,IF($C$29*1/$C$28&gt;Q58,$C$29*1/$C$28,Q58))</f>
        <v>0</v>
      </c>
    </row>
    <row r="60" spans="1:17" ht="19.2" customHeight="1" x14ac:dyDescent="0.3">
      <c r="A60" s="34" t="s">
        <v>47</v>
      </c>
      <c r="B60" s="34" t="s">
        <v>21</v>
      </c>
      <c r="C60" s="30"/>
      <c r="F60" s="15">
        <f t="shared" ref="F60:Q60" si="173">F57*F59</f>
        <v>1000000</v>
      </c>
      <c r="G60" s="15">
        <f t="shared" si="173"/>
        <v>1000000</v>
      </c>
      <c r="H60" s="15">
        <f t="shared" si="173"/>
        <v>1000000</v>
      </c>
      <c r="I60" s="15">
        <f t="shared" si="173"/>
        <v>1000000</v>
      </c>
      <c r="J60" s="15">
        <f t="shared" si="173"/>
        <v>1000000</v>
      </c>
      <c r="K60" s="15">
        <f t="shared" si="173"/>
        <v>1000000</v>
      </c>
      <c r="L60" s="15">
        <f t="shared" si="173"/>
        <v>1000000</v>
      </c>
      <c r="M60" s="15">
        <f t="shared" si="173"/>
        <v>1000000</v>
      </c>
      <c r="N60" s="15">
        <f t="shared" si="173"/>
        <v>1000000</v>
      </c>
      <c r="O60" s="15">
        <f t="shared" si="173"/>
        <v>1000000</v>
      </c>
      <c r="P60" s="15">
        <f t="shared" si="173"/>
        <v>0</v>
      </c>
      <c r="Q60" s="15">
        <f t="shared" si="173"/>
        <v>0</v>
      </c>
    </row>
    <row r="61" spans="1:17" ht="19.2" customHeight="1" x14ac:dyDescent="0.3">
      <c r="A61" s="34" t="s">
        <v>48</v>
      </c>
      <c r="B61" s="34" t="s">
        <v>21</v>
      </c>
      <c r="C61" s="30"/>
      <c r="F61" s="15">
        <f t="shared" ref="F61:Q61" si="174">F57-F60</f>
        <v>9000000</v>
      </c>
      <c r="G61" s="15">
        <f t="shared" si="174"/>
        <v>8000000</v>
      </c>
      <c r="H61" s="15">
        <f t="shared" si="174"/>
        <v>7000000</v>
      </c>
      <c r="I61" s="15">
        <f t="shared" si="174"/>
        <v>6000000</v>
      </c>
      <c r="J61" s="15">
        <f t="shared" si="174"/>
        <v>5000000</v>
      </c>
      <c r="K61" s="15">
        <f t="shared" si="174"/>
        <v>4000000</v>
      </c>
      <c r="L61" s="15">
        <f t="shared" si="174"/>
        <v>3000000</v>
      </c>
      <c r="M61" s="15">
        <f t="shared" si="174"/>
        <v>2000000</v>
      </c>
      <c r="N61" s="15">
        <f t="shared" si="174"/>
        <v>1000000</v>
      </c>
      <c r="O61" s="15">
        <f t="shared" si="174"/>
        <v>0</v>
      </c>
      <c r="P61" s="15">
        <f t="shared" si="174"/>
        <v>0</v>
      </c>
      <c r="Q61" s="15">
        <f t="shared" si="174"/>
        <v>0</v>
      </c>
    </row>
    <row r="62" spans="1:17" ht="19.2" customHeight="1" x14ac:dyDescent="0.3">
      <c r="A62" s="34"/>
      <c r="B62" s="34"/>
    </row>
    <row r="63" spans="1:17" ht="19.2" customHeight="1" x14ac:dyDescent="0.3">
      <c r="A63" s="13" t="s">
        <v>53</v>
      </c>
      <c r="B63" s="34"/>
    </row>
    <row r="64" spans="1:17" ht="19.2" customHeight="1" x14ac:dyDescent="0.3">
      <c r="A64" s="34" t="s">
        <v>42</v>
      </c>
      <c r="B64" s="34" t="s">
        <v>35</v>
      </c>
      <c r="G64" s="35">
        <f>IF($C$6&lt;G$3,$C$6,G$3)</f>
        <v>10</v>
      </c>
      <c r="H64" s="15">
        <f t="shared" ref="H64" si="175">IF(G64=0,0,IF(G64-1&lt;H$3,G64-1,H$3))</f>
        <v>9</v>
      </c>
      <c r="I64" s="15">
        <f t="shared" ref="I64" si="176">IF(H64=0,0,IF(H64-1&lt;I$3,H64-1,I$3))</f>
        <v>8</v>
      </c>
      <c r="J64" s="15">
        <f t="shared" ref="J64" si="177">IF(I64=0,0,IF(I64-1&lt;J$3,I64-1,J$3))</f>
        <v>7</v>
      </c>
      <c r="K64" s="15">
        <f t="shared" ref="K64" si="178">IF(J64=0,0,IF(J64-1&lt;K$3,J64-1,K$3))</f>
        <v>6</v>
      </c>
      <c r="L64" s="15">
        <f t="shared" ref="L64" si="179">IF(K64=0,0,IF(K64-1&lt;L$3,K64-1,L$3))</f>
        <v>5</v>
      </c>
      <c r="M64" s="15">
        <f>IF(L64=0,0,IF(L64-1&lt;M$3,L64-1,M$3))</f>
        <v>4</v>
      </c>
      <c r="N64" s="15">
        <f t="shared" ref="N64:Q64" si="180">IF(M64=0,0,IF(M64-1&lt;N$3,M64-1,N$3))</f>
        <v>3</v>
      </c>
      <c r="O64" s="15">
        <f t="shared" si="180"/>
        <v>2</v>
      </c>
      <c r="P64" s="15">
        <f t="shared" si="180"/>
        <v>1</v>
      </c>
      <c r="Q64" s="15">
        <f t="shared" si="180"/>
        <v>0</v>
      </c>
    </row>
    <row r="65" spans="1:17" ht="19.2" customHeight="1" x14ac:dyDescent="0.3">
      <c r="A65" s="34" t="s">
        <v>43</v>
      </c>
      <c r="B65" s="34" t="s">
        <v>21</v>
      </c>
      <c r="G65" s="15">
        <f>'Modèle_législation en vigueur'!G10</f>
        <v>10000000</v>
      </c>
      <c r="H65" s="15">
        <f t="shared" ref="H65" si="181">G69</f>
        <v>9000000</v>
      </c>
      <c r="I65" s="15">
        <f t="shared" ref="I65" si="182">H69</f>
        <v>8000000</v>
      </c>
      <c r="J65" s="15">
        <f t="shared" ref="J65" si="183">I69</f>
        <v>7000000</v>
      </c>
      <c r="K65" s="15">
        <f t="shared" ref="K65" si="184">J69</f>
        <v>6000000</v>
      </c>
      <c r="L65" s="15">
        <f t="shared" ref="L65" si="185">K69</f>
        <v>5000000</v>
      </c>
      <c r="M65" s="15">
        <f t="shared" ref="M65" si="186">L69</f>
        <v>4000000</v>
      </c>
      <c r="N65" s="15">
        <f t="shared" ref="N65" si="187">M69</f>
        <v>3000000</v>
      </c>
      <c r="O65" s="15">
        <f t="shared" ref="O65" si="188">N69</f>
        <v>2000000</v>
      </c>
      <c r="P65" s="15">
        <f t="shared" ref="P65" si="189">O69</f>
        <v>1000000</v>
      </c>
      <c r="Q65" s="15">
        <f t="shared" ref="Q65" si="190">P69</f>
        <v>0</v>
      </c>
    </row>
    <row r="66" spans="1:17" ht="19.2" customHeight="1" x14ac:dyDescent="0.3">
      <c r="A66" s="34" t="s">
        <v>44</v>
      </c>
      <c r="B66" s="34" t="s">
        <v>45</v>
      </c>
      <c r="G66" s="39">
        <f t="shared" ref="G66:Q66" si="191">IF(G64=0,0,1/G64)</f>
        <v>0.1</v>
      </c>
      <c r="H66" s="39">
        <f t="shared" si="191"/>
        <v>0.1111111111111111</v>
      </c>
      <c r="I66" s="39">
        <f t="shared" si="191"/>
        <v>0.125</v>
      </c>
      <c r="J66" s="39">
        <f t="shared" si="191"/>
        <v>0.14285714285714285</v>
      </c>
      <c r="K66" s="39">
        <f t="shared" si="191"/>
        <v>0.16666666666666666</v>
      </c>
      <c r="L66" s="39">
        <f t="shared" si="191"/>
        <v>0.2</v>
      </c>
      <c r="M66" s="39">
        <f t="shared" si="191"/>
        <v>0.25</v>
      </c>
      <c r="N66" s="39">
        <f t="shared" si="191"/>
        <v>0.33333333333333331</v>
      </c>
      <c r="O66" s="39">
        <f t="shared" si="191"/>
        <v>0.5</v>
      </c>
      <c r="P66" s="39">
        <f t="shared" si="191"/>
        <v>1</v>
      </c>
      <c r="Q66" s="39">
        <f t="shared" si="191"/>
        <v>0</v>
      </c>
    </row>
    <row r="67" spans="1:17" ht="19.2" customHeight="1" x14ac:dyDescent="0.3">
      <c r="A67" s="34" t="s">
        <v>46</v>
      </c>
      <c r="B67" s="34" t="s">
        <v>45</v>
      </c>
      <c r="G67" s="39">
        <f t="shared" ref="G67" si="192">IF(G64=0,0,IF($C$29*1/$C$28&gt;G66,$C$29*1/$C$28,G66))</f>
        <v>0.1</v>
      </c>
      <c r="H67" s="39">
        <f t="shared" ref="H67" si="193">IF(H64=0,0,IF($C$29*1/$C$28&gt;H66,$C$29*1/$C$28,H66))</f>
        <v>0.1111111111111111</v>
      </c>
      <c r="I67" s="39">
        <f t="shared" ref="I67" si="194">IF(I64=0,0,IF($C$29*1/$C$28&gt;I66,$C$29*1/$C$28,I66))</f>
        <v>0.125</v>
      </c>
      <c r="J67" s="39">
        <f t="shared" ref="J67" si="195">IF(J64=0,0,IF($C$29*1/$C$28&gt;J66,$C$29*1/$C$28,J66))</f>
        <v>0.14285714285714285</v>
      </c>
      <c r="K67" s="39">
        <f t="shared" ref="K67" si="196">IF(K64=0,0,IF($C$29*1/$C$28&gt;K66,$C$29*1/$C$28,K66))</f>
        <v>0.16666666666666666</v>
      </c>
      <c r="L67" s="39">
        <f t="shared" ref="L67" si="197">IF(L64=0,0,IF($C$29*1/$C$28&gt;L66,$C$29*1/$C$28,L66))</f>
        <v>0.2</v>
      </c>
      <c r="M67" s="39">
        <f t="shared" ref="M67" si="198">IF(M64=0,0,IF($C$29*1/$C$28&gt;M66,$C$29*1/$C$28,M66))</f>
        <v>0.25</v>
      </c>
      <c r="N67" s="39">
        <f t="shared" ref="N67" si="199">IF(N64=0,0,IF($C$29*1/$C$28&gt;N66,$C$29*1/$C$28,N66))</f>
        <v>0.33333333333333331</v>
      </c>
      <c r="O67" s="39">
        <f t="shared" ref="O67" si="200">IF(O64=0,0,IF($C$29*1/$C$28&gt;O66,$C$29*1/$C$28,O66))</f>
        <v>0.5</v>
      </c>
      <c r="P67" s="39">
        <f t="shared" ref="P67" si="201">IF(P64=0,0,IF($C$29*1/$C$28&gt;P66,$C$29*1/$C$28,P66))</f>
        <v>1</v>
      </c>
      <c r="Q67" s="39">
        <f t="shared" ref="Q67" si="202">IF(Q64=0,0,IF($C$29*1/$C$28&gt;Q66,$C$29*1/$C$28,Q66))</f>
        <v>0</v>
      </c>
    </row>
    <row r="68" spans="1:17" ht="19.2" customHeight="1" x14ac:dyDescent="0.3">
      <c r="A68" s="34" t="s">
        <v>47</v>
      </c>
      <c r="B68" s="34" t="s">
        <v>21</v>
      </c>
      <c r="G68" s="15">
        <f t="shared" ref="G68:Q68" si="203">G65*G67</f>
        <v>1000000</v>
      </c>
      <c r="H68" s="15">
        <f t="shared" si="203"/>
        <v>1000000</v>
      </c>
      <c r="I68" s="15">
        <f t="shared" si="203"/>
        <v>1000000</v>
      </c>
      <c r="J68" s="15">
        <f t="shared" si="203"/>
        <v>1000000</v>
      </c>
      <c r="K68" s="15">
        <f t="shared" si="203"/>
        <v>1000000</v>
      </c>
      <c r="L68" s="15">
        <f t="shared" si="203"/>
        <v>1000000</v>
      </c>
      <c r="M68" s="15">
        <f t="shared" si="203"/>
        <v>1000000</v>
      </c>
      <c r="N68" s="15">
        <f t="shared" si="203"/>
        <v>1000000</v>
      </c>
      <c r="O68" s="15">
        <f t="shared" si="203"/>
        <v>1000000</v>
      </c>
      <c r="P68" s="15">
        <f t="shared" si="203"/>
        <v>1000000</v>
      </c>
      <c r="Q68" s="15">
        <f t="shared" si="203"/>
        <v>0</v>
      </c>
    </row>
    <row r="69" spans="1:17" ht="19.2" customHeight="1" x14ac:dyDescent="0.3">
      <c r="A69" s="34" t="s">
        <v>48</v>
      </c>
      <c r="B69" s="34" t="s">
        <v>21</v>
      </c>
      <c r="G69" s="15">
        <f t="shared" ref="G69:Q69" si="204">G65-G68</f>
        <v>9000000</v>
      </c>
      <c r="H69" s="15">
        <f t="shared" si="204"/>
        <v>8000000</v>
      </c>
      <c r="I69" s="15">
        <f t="shared" si="204"/>
        <v>7000000</v>
      </c>
      <c r="J69" s="15">
        <f t="shared" si="204"/>
        <v>6000000</v>
      </c>
      <c r="K69" s="15">
        <f t="shared" si="204"/>
        <v>5000000</v>
      </c>
      <c r="L69" s="15">
        <f t="shared" si="204"/>
        <v>4000000</v>
      </c>
      <c r="M69" s="15">
        <f t="shared" si="204"/>
        <v>3000000</v>
      </c>
      <c r="N69" s="15">
        <f t="shared" si="204"/>
        <v>2000000</v>
      </c>
      <c r="O69" s="15">
        <f t="shared" si="204"/>
        <v>1000000</v>
      </c>
      <c r="P69" s="15">
        <f t="shared" si="204"/>
        <v>0</v>
      </c>
      <c r="Q69" s="15">
        <f t="shared" si="204"/>
        <v>0</v>
      </c>
    </row>
    <row r="70" spans="1:17" ht="19.2" customHeight="1" x14ac:dyDescent="0.3">
      <c r="A70" s="34"/>
      <c r="B70" s="34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spans="1:17" ht="19.2" customHeight="1" x14ac:dyDescent="0.3">
      <c r="A71" s="13" t="s">
        <v>54</v>
      </c>
      <c r="B71" s="34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spans="1:17" ht="19.2" customHeight="1" x14ac:dyDescent="0.3">
      <c r="A72" s="34" t="s">
        <v>42</v>
      </c>
      <c r="B72" s="34" t="s">
        <v>35</v>
      </c>
      <c r="H72" s="35">
        <f>IF($C$6&lt;H$3,$C$6,H$3)</f>
        <v>10</v>
      </c>
      <c r="I72" s="15">
        <f t="shared" ref="I72" si="205">IF(H72=0,0,IF(H72-1&lt;I$3,H72-1,I$3))</f>
        <v>9</v>
      </c>
      <c r="J72" s="15">
        <f t="shared" ref="J72" si="206">IF(I72=0,0,IF(I72-1&lt;J$3,I72-1,J$3))</f>
        <v>8</v>
      </c>
      <c r="K72" s="15">
        <f t="shared" ref="K72" si="207">IF(J72=0,0,IF(J72-1&lt;K$3,J72-1,K$3))</f>
        <v>7</v>
      </c>
      <c r="L72" s="15">
        <f t="shared" ref="L72" si="208">IF(K72=0,0,IF(K72-1&lt;L$3,K72-1,L$3))</f>
        <v>6</v>
      </c>
      <c r="M72" s="15">
        <f t="shared" ref="M72" si="209">IF(L72=0,0,IF(L72-1&lt;M$3,L72-1,M$3))</f>
        <v>5</v>
      </c>
      <c r="N72" s="15">
        <f t="shared" ref="N72" si="210">IF(M72=0,0,IF(M72-1&lt;N$3,M72-1,N$3))</f>
        <v>4</v>
      </c>
      <c r="O72" s="15">
        <f t="shared" ref="O72" si="211">IF(N72=0,0,IF(N72-1&lt;O$3,N72-1,O$3))</f>
        <v>3</v>
      </c>
      <c r="P72" s="15">
        <f t="shared" ref="P72" si="212">IF(O72=0,0,IF(O72-1&lt;P$3,O72-1,P$3))</f>
        <v>2</v>
      </c>
      <c r="Q72" s="15">
        <f t="shared" ref="Q72" si="213">IF(P72=0,0,IF(P72-1&lt;Q$3,P72-1,Q$3))</f>
        <v>1</v>
      </c>
    </row>
    <row r="73" spans="1:17" ht="19.2" customHeight="1" x14ac:dyDescent="0.3">
      <c r="A73" s="34" t="s">
        <v>43</v>
      </c>
      <c r="B73" s="34" t="s">
        <v>21</v>
      </c>
      <c r="H73" s="15">
        <f>'Modèle_législation en vigueur'!H10</f>
        <v>10000000</v>
      </c>
      <c r="I73" s="15">
        <f t="shared" ref="I73" si="214">H77</f>
        <v>9000000</v>
      </c>
      <c r="J73" s="15">
        <f t="shared" ref="J73" si="215">I77</f>
        <v>8000000</v>
      </c>
      <c r="K73" s="15">
        <f t="shared" ref="K73" si="216">J77</f>
        <v>7000000</v>
      </c>
      <c r="L73" s="15">
        <f t="shared" ref="L73" si="217">K77</f>
        <v>6000000</v>
      </c>
      <c r="M73" s="15">
        <f t="shared" ref="M73" si="218">L77</f>
        <v>5000000</v>
      </c>
      <c r="N73" s="15">
        <f t="shared" ref="N73" si="219">M77</f>
        <v>4000000</v>
      </c>
      <c r="O73" s="15">
        <f t="shared" ref="O73" si="220">N77</f>
        <v>3000000</v>
      </c>
      <c r="P73" s="15">
        <f t="shared" ref="P73" si="221">O77</f>
        <v>2000000</v>
      </c>
      <c r="Q73" s="15">
        <f t="shared" ref="Q73" si="222">P77</f>
        <v>1000000</v>
      </c>
    </row>
    <row r="74" spans="1:17" ht="19.2" customHeight="1" x14ac:dyDescent="0.3">
      <c r="A74" s="34" t="s">
        <v>44</v>
      </c>
      <c r="B74" s="34" t="s">
        <v>45</v>
      </c>
      <c r="H74" s="39">
        <f t="shared" ref="H74:Q74" si="223">IF(H72=0,0,1/H72)</f>
        <v>0.1</v>
      </c>
      <c r="I74" s="39">
        <f t="shared" si="223"/>
        <v>0.1111111111111111</v>
      </c>
      <c r="J74" s="39">
        <f t="shared" si="223"/>
        <v>0.125</v>
      </c>
      <c r="K74" s="39">
        <f t="shared" si="223"/>
        <v>0.14285714285714285</v>
      </c>
      <c r="L74" s="39">
        <f t="shared" si="223"/>
        <v>0.16666666666666666</v>
      </c>
      <c r="M74" s="39">
        <f t="shared" si="223"/>
        <v>0.2</v>
      </c>
      <c r="N74" s="39">
        <f t="shared" si="223"/>
        <v>0.25</v>
      </c>
      <c r="O74" s="39">
        <f t="shared" si="223"/>
        <v>0.33333333333333331</v>
      </c>
      <c r="P74" s="39">
        <f t="shared" si="223"/>
        <v>0.5</v>
      </c>
      <c r="Q74" s="39">
        <f t="shared" si="223"/>
        <v>1</v>
      </c>
    </row>
    <row r="75" spans="1:17" ht="19.2" customHeight="1" x14ac:dyDescent="0.3">
      <c r="A75" s="34" t="s">
        <v>46</v>
      </c>
      <c r="B75" s="34" t="s">
        <v>45</v>
      </c>
      <c r="H75" s="39">
        <f t="shared" ref="H75" si="224">IF(H72=0,0,IF($C$29*1/$C$28&gt;H74,$C$29*1/$C$28,H74))</f>
        <v>0.1</v>
      </c>
      <c r="I75" s="39">
        <f t="shared" ref="I75" si="225">IF(I72=0,0,IF($C$29*1/$C$28&gt;I74,$C$29*1/$C$28,I74))</f>
        <v>0.1111111111111111</v>
      </c>
      <c r="J75" s="39">
        <f t="shared" ref="J75" si="226">IF(J72=0,0,IF($C$29*1/$C$28&gt;J74,$C$29*1/$C$28,J74))</f>
        <v>0.125</v>
      </c>
      <c r="K75" s="39">
        <f t="shared" ref="K75" si="227">IF(K72=0,0,IF($C$29*1/$C$28&gt;K74,$C$29*1/$C$28,K74))</f>
        <v>0.14285714285714285</v>
      </c>
      <c r="L75" s="39">
        <f t="shared" ref="L75" si="228">IF(L72=0,0,IF($C$29*1/$C$28&gt;L74,$C$29*1/$C$28,L74))</f>
        <v>0.16666666666666666</v>
      </c>
      <c r="M75" s="39">
        <f t="shared" ref="M75" si="229">IF(M72=0,0,IF($C$29*1/$C$28&gt;M74,$C$29*1/$C$28,M74))</f>
        <v>0.2</v>
      </c>
      <c r="N75" s="39">
        <f t="shared" ref="N75" si="230">IF(N72=0,0,IF($C$29*1/$C$28&gt;N74,$C$29*1/$C$28,N74))</f>
        <v>0.25</v>
      </c>
      <c r="O75" s="39">
        <f t="shared" ref="O75" si="231">IF(O72=0,0,IF($C$29*1/$C$28&gt;O74,$C$29*1/$C$28,O74))</f>
        <v>0.33333333333333331</v>
      </c>
      <c r="P75" s="39">
        <f t="shared" ref="P75" si="232">IF(P72=0,0,IF($C$29*1/$C$28&gt;P74,$C$29*1/$C$28,P74))</f>
        <v>0.5</v>
      </c>
      <c r="Q75" s="39">
        <f t="shared" ref="Q75" si="233">IF(Q72=0,0,IF($C$29*1/$C$28&gt;Q74,$C$29*1/$C$28,Q74))</f>
        <v>1</v>
      </c>
    </row>
    <row r="76" spans="1:17" ht="19.2" customHeight="1" x14ac:dyDescent="0.3">
      <c r="A76" s="34" t="s">
        <v>47</v>
      </c>
      <c r="B76" s="34" t="s">
        <v>21</v>
      </c>
      <c r="H76" s="15">
        <f t="shared" ref="H76:Q76" si="234">H73*H75</f>
        <v>1000000</v>
      </c>
      <c r="I76" s="15">
        <f t="shared" si="234"/>
        <v>1000000</v>
      </c>
      <c r="J76" s="15">
        <f t="shared" si="234"/>
        <v>1000000</v>
      </c>
      <c r="K76" s="15">
        <f t="shared" si="234"/>
        <v>1000000</v>
      </c>
      <c r="L76" s="15">
        <f t="shared" si="234"/>
        <v>1000000</v>
      </c>
      <c r="M76" s="15">
        <f t="shared" si="234"/>
        <v>1000000</v>
      </c>
      <c r="N76" s="15">
        <f t="shared" si="234"/>
        <v>1000000</v>
      </c>
      <c r="O76" s="15">
        <f t="shared" si="234"/>
        <v>1000000</v>
      </c>
      <c r="P76" s="15">
        <f t="shared" si="234"/>
        <v>1000000</v>
      </c>
      <c r="Q76" s="15">
        <f t="shared" si="234"/>
        <v>1000000</v>
      </c>
    </row>
    <row r="77" spans="1:17" ht="19.2" customHeight="1" x14ac:dyDescent="0.3">
      <c r="A77" s="34" t="s">
        <v>48</v>
      </c>
      <c r="B77" s="34" t="s">
        <v>21</v>
      </c>
      <c r="H77" s="15">
        <f t="shared" ref="H77:Q77" si="235">H73-H76</f>
        <v>9000000</v>
      </c>
      <c r="I77" s="15">
        <f t="shared" si="235"/>
        <v>8000000</v>
      </c>
      <c r="J77" s="15">
        <f t="shared" si="235"/>
        <v>7000000</v>
      </c>
      <c r="K77" s="15">
        <f t="shared" si="235"/>
        <v>6000000</v>
      </c>
      <c r="L77" s="15">
        <f t="shared" si="235"/>
        <v>5000000</v>
      </c>
      <c r="M77" s="15">
        <f t="shared" si="235"/>
        <v>4000000</v>
      </c>
      <c r="N77" s="15">
        <f t="shared" si="235"/>
        <v>3000000</v>
      </c>
      <c r="O77" s="15">
        <f t="shared" si="235"/>
        <v>2000000</v>
      </c>
      <c r="P77" s="15">
        <f t="shared" si="235"/>
        <v>1000000</v>
      </c>
      <c r="Q77" s="15">
        <f t="shared" si="235"/>
        <v>0</v>
      </c>
    </row>
    <row r="78" spans="1:17" ht="19.2" customHeight="1" x14ac:dyDescent="0.3">
      <c r="A78" s="34"/>
      <c r="B78" s="34"/>
    </row>
    <row r="79" spans="1:17" ht="19.2" customHeight="1" x14ac:dyDescent="0.3">
      <c r="A79" s="13" t="s">
        <v>55</v>
      </c>
      <c r="B79" s="34"/>
    </row>
    <row r="80" spans="1:17" ht="19.2" customHeight="1" x14ac:dyDescent="0.3">
      <c r="A80" s="34" t="s">
        <v>42</v>
      </c>
      <c r="B80" s="34" t="s">
        <v>35</v>
      </c>
      <c r="I80" s="35">
        <f>IF($C$6&lt;I$3,$C$6,I$3)</f>
        <v>9</v>
      </c>
      <c r="J80" s="15">
        <f t="shared" ref="J80" si="236">IF(I80=0,0,IF(I80-1&lt;J$3,I80-1,J$3))</f>
        <v>8</v>
      </c>
      <c r="K80" s="15">
        <f t="shared" ref="K80" si="237">IF(J80=0,0,IF(J80-1&lt;K$3,J80-1,K$3))</f>
        <v>7</v>
      </c>
      <c r="L80" s="15">
        <f t="shared" ref="L80" si="238">IF(K80=0,0,IF(K80-1&lt;L$3,K80-1,L$3))</f>
        <v>6</v>
      </c>
      <c r="M80" s="15">
        <f>IF(L80=0,0,IF(L80-1&lt;M$3,L80-1,M$3))</f>
        <v>5</v>
      </c>
      <c r="N80" s="15">
        <f t="shared" ref="N80:Q80" si="239">IF(M80=0,0,IF(M80-1&lt;N$3,M80-1,N$3))</f>
        <v>4</v>
      </c>
      <c r="O80" s="15">
        <f t="shared" si="239"/>
        <v>3</v>
      </c>
      <c r="P80" s="15">
        <f t="shared" si="239"/>
        <v>2</v>
      </c>
      <c r="Q80" s="15">
        <f t="shared" si="239"/>
        <v>1</v>
      </c>
    </row>
    <row r="81" spans="1:17" ht="19.2" customHeight="1" x14ac:dyDescent="0.3">
      <c r="A81" s="34" t="s">
        <v>43</v>
      </c>
      <c r="B81" s="34" t="s">
        <v>21</v>
      </c>
      <c r="I81" s="15">
        <f>'Modèle_législation en vigueur'!I10</f>
        <v>10000000</v>
      </c>
      <c r="J81" s="15">
        <f t="shared" ref="J81" si="240">I85</f>
        <v>8888888.8888888881</v>
      </c>
      <c r="K81" s="15">
        <f t="shared" ref="K81" si="241">J85</f>
        <v>7777777.7777777771</v>
      </c>
      <c r="L81" s="15">
        <f t="shared" ref="L81" si="242">K85</f>
        <v>6666666.666666666</v>
      </c>
      <c r="M81" s="15">
        <f t="shared" ref="M81" si="243">L85</f>
        <v>5555555.555555555</v>
      </c>
      <c r="N81" s="15">
        <f t="shared" ref="N81" si="244">M85</f>
        <v>4444444.444444444</v>
      </c>
      <c r="O81" s="15">
        <f t="shared" ref="O81" si="245">N85</f>
        <v>3333333.333333333</v>
      </c>
      <c r="P81" s="15">
        <f t="shared" ref="P81" si="246">O85</f>
        <v>2222222.222222222</v>
      </c>
      <c r="Q81" s="15">
        <f t="shared" ref="Q81" si="247">P85</f>
        <v>1111111.111111111</v>
      </c>
    </row>
    <row r="82" spans="1:17" ht="19.2" customHeight="1" x14ac:dyDescent="0.3">
      <c r="A82" s="34" t="s">
        <v>44</v>
      </c>
      <c r="B82" s="34" t="s">
        <v>45</v>
      </c>
      <c r="I82" s="39">
        <f t="shared" ref="I82:Q82" si="248">IF(I80=0,0,1/I80)</f>
        <v>0.1111111111111111</v>
      </c>
      <c r="J82" s="39">
        <f t="shared" si="248"/>
        <v>0.125</v>
      </c>
      <c r="K82" s="39">
        <f t="shared" si="248"/>
        <v>0.14285714285714285</v>
      </c>
      <c r="L82" s="39">
        <f t="shared" si="248"/>
        <v>0.16666666666666666</v>
      </c>
      <c r="M82" s="39">
        <f t="shared" si="248"/>
        <v>0.2</v>
      </c>
      <c r="N82" s="39">
        <f t="shared" si="248"/>
        <v>0.25</v>
      </c>
      <c r="O82" s="39">
        <f t="shared" si="248"/>
        <v>0.33333333333333331</v>
      </c>
      <c r="P82" s="39">
        <f t="shared" si="248"/>
        <v>0.5</v>
      </c>
      <c r="Q82" s="39">
        <f t="shared" si="248"/>
        <v>1</v>
      </c>
    </row>
    <row r="83" spans="1:17" ht="19.2" customHeight="1" x14ac:dyDescent="0.3">
      <c r="A83" s="34" t="s">
        <v>46</v>
      </c>
      <c r="B83" s="34" t="s">
        <v>45</v>
      </c>
      <c r="I83" s="39">
        <f>IF(I80=0,0,IF($C$29*1/$C$28&gt;I82,$C$29*1/$C$28,I82))</f>
        <v>0.1111111111111111</v>
      </c>
      <c r="J83" s="39">
        <f t="shared" ref="J83" si="249">IF(J80=0,0,IF($C$29*1/$C$28&gt;J82,$C$29*1/$C$28,J82))</f>
        <v>0.125</v>
      </c>
      <c r="K83" s="39">
        <f t="shared" ref="K83" si="250">IF(K80=0,0,IF($C$29*1/$C$28&gt;K82,$C$29*1/$C$28,K82))</f>
        <v>0.14285714285714285</v>
      </c>
      <c r="L83" s="39">
        <f t="shared" ref="L83" si="251">IF(L80=0,0,IF($C$29*1/$C$28&gt;L82,$C$29*1/$C$28,L82))</f>
        <v>0.16666666666666666</v>
      </c>
      <c r="M83" s="39">
        <f t="shared" ref="M83" si="252">IF(M80=0,0,IF($C$29*1/$C$28&gt;M82,$C$29*1/$C$28,M82))</f>
        <v>0.2</v>
      </c>
      <c r="N83" s="39">
        <f t="shared" ref="N83" si="253">IF(N80=0,0,IF($C$29*1/$C$28&gt;N82,$C$29*1/$C$28,N82))</f>
        <v>0.25</v>
      </c>
      <c r="O83" s="39">
        <f t="shared" ref="O83" si="254">IF(O80=0,0,IF($C$29*1/$C$28&gt;O82,$C$29*1/$C$28,O82))</f>
        <v>0.33333333333333331</v>
      </c>
      <c r="P83" s="39">
        <f t="shared" ref="P83" si="255">IF(P80=0,0,IF($C$29*1/$C$28&gt;P82,$C$29*1/$C$28,P82))</f>
        <v>0.5</v>
      </c>
      <c r="Q83" s="39">
        <f t="shared" ref="Q83" si="256">IF(Q80=0,0,IF($C$29*1/$C$28&gt;Q82,$C$29*1/$C$28,Q82))</f>
        <v>1</v>
      </c>
    </row>
    <row r="84" spans="1:17" ht="19.2" customHeight="1" x14ac:dyDescent="0.3">
      <c r="A84" s="34" t="s">
        <v>47</v>
      </c>
      <c r="B84" s="34" t="s">
        <v>21</v>
      </c>
      <c r="I84" s="15">
        <f>I81*I83</f>
        <v>1111111.111111111</v>
      </c>
      <c r="J84" s="15">
        <f t="shared" ref="J84:Q84" si="257">J81*J83</f>
        <v>1111111.111111111</v>
      </c>
      <c r="K84" s="15">
        <f t="shared" si="257"/>
        <v>1111111.111111111</v>
      </c>
      <c r="L84" s="15">
        <f t="shared" si="257"/>
        <v>1111111.111111111</v>
      </c>
      <c r="M84" s="15">
        <f t="shared" si="257"/>
        <v>1111111.111111111</v>
      </c>
      <c r="N84" s="15">
        <f t="shared" si="257"/>
        <v>1111111.111111111</v>
      </c>
      <c r="O84" s="15">
        <f t="shared" si="257"/>
        <v>1111111.111111111</v>
      </c>
      <c r="P84" s="15">
        <f t="shared" si="257"/>
        <v>1111111.111111111</v>
      </c>
      <c r="Q84" s="15">
        <f t="shared" si="257"/>
        <v>1111111.111111111</v>
      </c>
    </row>
    <row r="85" spans="1:17" ht="19.2" customHeight="1" x14ac:dyDescent="0.3">
      <c r="A85" s="34" t="s">
        <v>48</v>
      </c>
      <c r="B85" s="34" t="s">
        <v>21</v>
      </c>
      <c r="I85" s="15">
        <f t="shared" ref="I85:Q85" si="258">I81-I84</f>
        <v>8888888.8888888881</v>
      </c>
      <c r="J85" s="15">
        <f t="shared" si="258"/>
        <v>7777777.7777777771</v>
      </c>
      <c r="K85" s="15">
        <f t="shared" si="258"/>
        <v>6666666.666666666</v>
      </c>
      <c r="L85" s="15">
        <f t="shared" si="258"/>
        <v>5555555.555555555</v>
      </c>
      <c r="M85" s="15">
        <f t="shared" si="258"/>
        <v>4444444.444444444</v>
      </c>
      <c r="N85" s="15">
        <f t="shared" si="258"/>
        <v>3333333.333333333</v>
      </c>
      <c r="O85" s="15">
        <f t="shared" si="258"/>
        <v>2222222.222222222</v>
      </c>
      <c r="P85" s="15">
        <f t="shared" si="258"/>
        <v>1111111.111111111</v>
      </c>
      <c r="Q85" s="15">
        <f t="shared" si="258"/>
        <v>0</v>
      </c>
    </row>
    <row r="86" spans="1:17" ht="19.2" customHeight="1" x14ac:dyDescent="0.3">
      <c r="A86" s="34"/>
      <c r="B86" s="34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9.2" customHeight="1" x14ac:dyDescent="0.3">
      <c r="A87" s="13" t="s">
        <v>56</v>
      </c>
      <c r="B87" s="34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9.2" customHeight="1" x14ac:dyDescent="0.3">
      <c r="A88" s="34" t="s">
        <v>42</v>
      </c>
      <c r="B88" s="34" t="s">
        <v>35</v>
      </c>
      <c r="J88" s="35">
        <f>IF($C$6&lt;J$3,$C$6,J$3)</f>
        <v>8</v>
      </c>
      <c r="K88" s="15">
        <f t="shared" ref="K88" si="259">IF(J88=0,0,IF(J88-1&lt;K$3,J88-1,K$3))</f>
        <v>7</v>
      </c>
      <c r="L88" s="15">
        <f t="shared" ref="L88" si="260">IF(K88=0,0,IF(K88-1&lt;L$3,K88-1,L$3))</f>
        <v>6</v>
      </c>
      <c r="M88" s="15">
        <f t="shared" ref="M88" si="261">IF(L88=0,0,IF(L88-1&lt;M$3,L88-1,M$3))</f>
        <v>5</v>
      </c>
      <c r="N88" s="15">
        <f t="shared" ref="N88" si="262">IF(M88=0,0,IF(M88-1&lt;N$3,M88-1,N$3))</f>
        <v>4</v>
      </c>
      <c r="O88" s="15">
        <f t="shared" ref="O88" si="263">IF(N88=0,0,IF(N88-1&lt;O$3,N88-1,O$3))</f>
        <v>3</v>
      </c>
      <c r="P88" s="15">
        <f t="shared" ref="P88" si="264">IF(O88=0,0,IF(O88-1&lt;P$3,O88-1,P$3))</f>
        <v>2</v>
      </c>
      <c r="Q88" s="15">
        <f t="shared" ref="Q88" si="265">IF(P88=0,0,IF(P88-1&lt;Q$3,P88-1,Q$3))</f>
        <v>1</v>
      </c>
    </row>
    <row r="89" spans="1:17" ht="19.2" customHeight="1" x14ac:dyDescent="0.3">
      <c r="A89" s="34" t="s">
        <v>43</v>
      </c>
      <c r="B89" s="34" t="s">
        <v>21</v>
      </c>
      <c r="J89" s="15">
        <f>'Modèle_législation en vigueur'!J10</f>
        <v>10000000</v>
      </c>
      <c r="K89" s="15">
        <f t="shared" ref="K89" si="266">J93</f>
        <v>8750000</v>
      </c>
      <c r="L89" s="15">
        <f t="shared" ref="L89" si="267">K93</f>
        <v>7500000</v>
      </c>
      <c r="M89" s="15">
        <f t="shared" ref="M89" si="268">L93</f>
        <v>6250000</v>
      </c>
      <c r="N89" s="15">
        <f t="shared" ref="N89" si="269">M93</f>
        <v>5000000</v>
      </c>
      <c r="O89" s="15">
        <f t="shared" ref="O89" si="270">N93</f>
        <v>3750000</v>
      </c>
      <c r="P89" s="15">
        <f t="shared" ref="P89" si="271">O93</f>
        <v>2500000</v>
      </c>
      <c r="Q89" s="15">
        <f t="shared" ref="Q89" si="272">P93</f>
        <v>1250000</v>
      </c>
    </row>
    <row r="90" spans="1:17" ht="19.2" customHeight="1" x14ac:dyDescent="0.3">
      <c r="A90" s="34" t="s">
        <v>44</v>
      </c>
      <c r="B90" s="34" t="s">
        <v>45</v>
      </c>
      <c r="J90" s="39">
        <f t="shared" ref="J90:Q90" si="273">IF(J88=0,0,1/J88)</f>
        <v>0.125</v>
      </c>
      <c r="K90" s="39">
        <f t="shared" si="273"/>
        <v>0.14285714285714285</v>
      </c>
      <c r="L90" s="39">
        <f t="shared" si="273"/>
        <v>0.16666666666666666</v>
      </c>
      <c r="M90" s="39">
        <f t="shared" si="273"/>
        <v>0.2</v>
      </c>
      <c r="N90" s="39">
        <f t="shared" si="273"/>
        <v>0.25</v>
      </c>
      <c r="O90" s="39">
        <f t="shared" si="273"/>
        <v>0.33333333333333331</v>
      </c>
      <c r="P90" s="39">
        <f t="shared" si="273"/>
        <v>0.5</v>
      </c>
      <c r="Q90" s="39">
        <f t="shared" si="273"/>
        <v>1</v>
      </c>
    </row>
    <row r="91" spans="1:17" ht="19.2" customHeight="1" x14ac:dyDescent="0.3">
      <c r="A91" s="34" t="s">
        <v>46</v>
      </c>
      <c r="B91" s="34" t="s">
        <v>45</v>
      </c>
      <c r="J91" s="39">
        <f t="shared" ref="J91" si="274">IF(J88=0,0,IF($C$29*1/$C$28&gt;J90,$C$29*1/$C$28,J90))</f>
        <v>0.125</v>
      </c>
      <c r="K91" s="39">
        <f t="shared" ref="K91" si="275">IF(K88=0,0,IF($C$29*1/$C$28&gt;K90,$C$29*1/$C$28,K90))</f>
        <v>0.14285714285714285</v>
      </c>
      <c r="L91" s="39">
        <f t="shared" ref="L91" si="276">IF(L88=0,0,IF($C$29*1/$C$28&gt;L90,$C$29*1/$C$28,L90))</f>
        <v>0.16666666666666666</v>
      </c>
      <c r="M91" s="39">
        <f t="shared" ref="M91" si="277">IF(M88=0,0,IF($C$29*1/$C$28&gt;M90,$C$29*1/$C$28,M90))</f>
        <v>0.2</v>
      </c>
      <c r="N91" s="39">
        <f t="shared" ref="N91" si="278">IF(N88=0,0,IF($C$29*1/$C$28&gt;N90,$C$29*1/$C$28,N90))</f>
        <v>0.25</v>
      </c>
      <c r="O91" s="39">
        <f t="shared" ref="O91" si="279">IF(O88=0,0,IF($C$29*1/$C$28&gt;O90,$C$29*1/$C$28,O90))</f>
        <v>0.33333333333333331</v>
      </c>
      <c r="P91" s="39">
        <f t="shared" ref="P91" si="280">IF(P88=0,0,IF($C$29*1/$C$28&gt;P90,$C$29*1/$C$28,P90))</f>
        <v>0.5</v>
      </c>
      <c r="Q91" s="39">
        <f t="shared" ref="Q91" si="281">IF(Q88=0,0,IF($C$29*1/$C$28&gt;Q90,$C$29*1/$C$28,Q90))</f>
        <v>1</v>
      </c>
    </row>
    <row r="92" spans="1:17" ht="19.2" customHeight="1" x14ac:dyDescent="0.3">
      <c r="A92" s="34" t="s">
        <v>47</v>
      </c>
      <c r="B92" s="34" t="s">
        <v>21</v>
      </c>
      <c r="J92" s="15">
        <f t="shared" ref="J92:Q92" si="282">J89*J91</f>
        <v>1250000</v>
      </c>
      <c r="K92" s="15">
        <f t="shared" si="282"/>
        <v>1250000</v>
      </c>
      <c r="L92" s="15">
        <f t="shared" si="282"/>
        <v>1250000</v>
      </c>
      <c r="M92" s="15">
        <f t="shared" si="282"/>
        <v>1250000</v>
      </c>
      <c r="N92" s="15">
        <f t="shared" si="282"/>
        <v>1250000</v>
      </c>
      <c r="O92" s="15">
        <f t="shared" si="282"/>
        <v>1250000</v>
      </c>
      <c r="P92" s="15">
        <f t="shared" si="282"/>
        <v>1250000</v>
      </c>
      <c r="Q92" s="15">
        <f t="shared" si="282"/>
        <v>1250000</v>
      </c>
    </row>
    <row r="93" spans="1:17" ht="19.2" customHeight="1" x14ac:dyDescent="0.3">
      <c r="A93" s="34" t="s">
        <v>48</v>
      </c>
      <c r="B93" s="34" t="s">
        <v>21</v>
      </c>
      <c r="J93" s="15">
        <f t="shared" ref="J93:Q93" si="283">J89-J92</f>
        <v>8750000</v>
      </c>
      <c r="K93" s="15">
        <f t="shared" si="283"/>
        <v>7500000</v>
      </c>
      <c r="L93" s="15">
        <f t="shared" si="283"/>
        <v>6250000</v>
      </c>
      <c r="M93" s="15">
        <f t="shared" si="283"/>
        <v>5000000</v>
      </c>
      <c r="N93" s="15">
        <f t="shared" si="283"/>
        <v>3750000</v>
      </c>
      <c r="O93" s="15">
        <f t="shared" si="283"/>
        <v>2500000</v>
      </c>
      <c r="P93" s="15">
        <f t="shared" si="283"/>
        <v>1250000</v>
      </c>
      <c r="Q93" s="15">
        <f t="shared" si="283"/>
        <v>0</v>
      </c>
    </row>
    <row r="94" spans="1:17" ht="19.2" customHeight="1" x14ac:dyDescent="0.3">
      <c r="A94" s="34"/>
      <c r="B94" s="34"/>
    </row>
    <row r="95" spans="1:17" ht="19.2" customHeight="1" x14ac:dyDescent="0.3">
      <c r="A95" s="13" t="s">
        <v>57</v>
      </c>
      <c r="B95" s="34"/>
    </row>
    <row r="96" spans="1:17" ht="19.2" customHeight="1" x14ac:dyDescent="0.3">
      <c r="A96" s="34" t="s">
        <v>42</v>
      </c>
      <c r="B96" s="34" t="s">
        <v>35</v>
      </c>
      <c r="K96" s="35">
        <f>IF($C$6&lt;K$3,$C$6,K$3)</f>
        <v>7</v>
      </c>
      <c r="L96" s="15">
        <f t="shared" ref="L96" si="284">IF(K96=0,0,IF(K96-1&lt;L$3,K96-1,L$3))</f>
        <v>6</v>
      </c>
      <c r="M96" s="15">
        <f>IF(L96=0,0,IF(L96-1&lt;M$3,L96-1,M$3))</f>
        <v>5</v>
      </c>
      <c r="N96" s="15">
        <f t="shared" ref="N96:Q96" si="285">IF(M96=0,0,IF(M96-1&lt;N$3,M96-1,N$3))</f>
        <v>4</v>
      </c>
      <c r="O96" s="15">
        <f t="shared" si="285"/>
        <v>3</v>
      </c>
      <c r="P96" s="15">
        <f t="shared" si="285"/>
        <v>2</v>
      </c>
      <c r="Q96" s="15">
        <f t="shared" si="285"/>
        <v>1</v>
      </c>
    </row>
    <row r="97" spans="1:17" ht="19.2" customHeight="1" x14ac:dyDescent="0.3">
      <c r="A97" s="34" t="s">
        <v>43</v>
      </c>
      <c r="B97" s="34" t="s">
        <v>21</v>
      </c>
      <c r="K97" s="15">
        <f>'Modèle_législation en vigueur'!K10</f>
        <v>10000000</v>
      </c>
      <c r="L97" s="15">
        <f t="shared" ref="L97" si="286">K101</f>
        <v>8571428.5714285709</v>
      </c>
      <c r="M97" s="15">
        <f t="shared" ref="M97" si="287">L101</f>
        <v>7142857.1428571427</v>
      </c>
      <c r="N97" s="15">
        <f t="shared" ref="N97" si="288">M101</f>
        <v>5714285.7142857146</v>
      </c>
      <c r="O97" s="15">
        <f t="shared" ref="O97" si="289">N101</f>
        <v>4285714.2857142854</v>
      </c>
      <c r="P97" s="15">
        <f t="shared" ref="P97" si="290">O101</f>
        <v>2857142.8571428573</v>
      </c>
      <c r="Q97" s="15">
        <f t="shared" ref="Q97" si="291">P101</f>
        <v>1428571.4285714286</v>
      </c>
    </row>
    <row r="98" spans="1:17" ht="19.2" customHeight="1" x14ac:dyDescent="0.3">
      <c r="A98" s="34" t="s">
        <v>44</v>
      </c>
      <c r="B98" s="34" t="s">
        <v>45</v>
      </c>
      <c r="K98" s="39">
        <f t="shared" ref="K98:Q98" si="292">IF(K96=0,0,1/K96)</f>
        <v>0.14285714285714285</v>
      </c>
      <c r="L98" s="39">
        <f t="shared" si="292"/>
        <v>0.16666666666666666</v>
      </c>
      <c r="M98" s="39">
        <f t="shared" si="292"/>
        <v>0.2</v>
      </c>
      <c r="N98" s="39">
        <f t="shared" si="292"/>
        <v>0.25</v>
      </c>
      <c r="O98" s="39">
        <f t="shared" si="292"/>
        <v>0.33333333333333331</v>
      </c>
      <c r="P98" s="39">
        <f t="shared" si="292"/>
        <v>0.5</v>
      </c>
      <c r="Q98" s="39">
        <f t="shared" si="292"/>
        <v>1</v>
      </c>
    </row>
    <row r="99" spans="1:17" ht="19.2" customHeight="1" x14ac:dyDescent="0.3">
      <c r="A99" s="34" t="s">
        <v>46</v>
      </c>
      <c r="B99" s="34" t="s">
        <v>45</v>
      </c>
      <c r="K99" s="39">
        <f t="shared" ref="K99" si="293">IF(K96=0,0,IF($C$29*1/$C$28&gt;K98,$C$29*1/$C$28,K98))</f>
        <v>0.14285714285714285</v>
      </c>
      <c r="L99" s="39">
        <f t="shared" ref="L99" si="294">IF(L96=0,0,IF($C$29*1/$C$28&gt;L98,$C$29*1/$C$28,L98))</f>
        <v>0.16666666666666666</v>
      </c>
      <c r="M99" s="39">
        <f t="shared" ref="M99" si="295">IF(M96=0,0,IF($C$29*1/$C$28&gt;M98,$C$29*1/$C$28,M98))</f>
        <v>0.2</v>
      </c>
      <c r="N99" s="39">
        <f t="shared" ref="N99" si="296">IF(N96=0,0,IF($C$29*1/$C$28&gt;N98,$C$29*1/$C$28,N98))</f>
        <v>0.25</v>
      </c>
      <c r="O99" s="39">
        <f t="shared" ref="O99" si="297">IF(O96=0,0,IF($C$29*1/$C$28&gt;O98,$C$29*1/$C$28,O98))</f>
        <v>0.33333333333333331</v>
      </c>
      <c r="P99" s="39">
        <f t="shared" ref="P99" si="298">IF(P96=0,0,IF($C$29*1/$C$28&gt;P98,$C$29*1/$C$28,P98))</f>
        <v>0.5</v>
      </c>
      <c r="Q99" s="39">
        <f t="shared" ref="Q99" si="299">IF(Q96=0,0,IF($C$29*1/$C$28&gt;Q98,$C$29*1/$C$28,Q98))</f>
        <v>1</v>
      </c>
    </row>
    <row r="100" spans="1:17" ht="19.2" customHeight="1" x14ac:dyDescent="0.3">
      <c r="A100" s="34" t="s">
        <v>47</v>
      </c>
      <c r="B100" s="34" t="s">
        <v>21</v>
      </c>
      <c r="K100" s="15">
        <f t="shared" ref="K100:Q100" si="300">K97*K99</f>
        <v>1428571.4285714284</v>
      </c>
      <c r="L100" s="15">
        <f t="shared" si="300"/>
        <v>1428571.4285714284</v>
      </c>
      <c r="M100" s="15">
        <f t="shared" si="300"/>
        <v>1428571.4285714286</v>
      </c>
      <c r="N100" s="15">
        <f t="shared" si="300"/>
        <v>1428571.4285714286</v>
      </c>
      <c r="O100" s="15">
        <f t="shared" si="300"/>
        <v>1428571.4285714284</v>
      </c>
      <c r="P100" s="15">
        <f t="shared" si="300"/>
        <v>1428571.4285714286</v>
      </c>
      <c r="Q100" s="15">
        <f t="shared" si="300"/>
        <v>1428571.4285714286</v>
      </c>
    </row>
    <row r="101" spans="1:17" ht="19.2" customHeight="1" x14ac:dyDescent="0.3">
      <c r="A101" s="34" t="s">
        <v>48</v>
      </c>
      <c r="B101" s="34" t="s">
        <v>21</v>
      </c>
      <c r="K101" s="15">
        <f t="shared" ref="K101:Q101" si="301">K97-K100</f>
        <v>8571428.5714285709</v>
      </c>
      <c r="L101" s="15">
        <f t="shared" si="301"/>
        <v>7142857.1428571427</v>
      </c>
      <c r="M101" s="15">
        <f t="shared" si="301"/>
        <v>5714285.7142857146</v>
      </c>
      <c r="N101" s="15">
        <f t="shared" si="301"/>
        <v>4285714.2857142854</v>
      </c>
      <c r="O101" s="15">
        <f t="shared" si="301"/>
        <v>2857142.8571428573</v>
      </c>
      <c r="P101" s="15">
        <f t="shared" si="301"/>
        <v>1428571.4285714286</v>
      </c>
      <c r="Q101" s="15">
        <f t="shared" si="301"/>
        <v>0</v>
      </c>
    </row>
    <row r="102" spans="1:17" ht="19.2" customHeight="1" x14ac:dyDescent="0.3">
      <c r="A102" s="34"/>
      <c r="B102" s="34"/>
      <c r="I102" s="30"/>
      <c r="K102" s="30"/>
      <c r="L102" s="30"/>
      <c r="M102" s="30"/>
      <c r="N102" s="30"/>
      <c r="O102" s="30"/>
      <c r="P102" s="30"/>
      <c r="Q102" s="30"/>
    </row>
    <row r="103" spans="1:17" ht="19.2" customHeight="1" x14ac:dyDescent="0.3">
      <c r="A103" s="13" t="s">
        <v>58</v>
      </c>
      <c r="B103" s="34"/>
      <c r="L103" s="30"/>
      <c r="M103" s="30"/>
      <c r="N103" s="30"/>
      <c r="O103" s="30"/>
      <c r="P103" s="30"/>
      <c r="Q103" s="30"/>
    </row>
    <row r="104" spans="1:17" ht="19.2" customHeight="1" x14ac:dyDescent="0.3">
      <c r="A104" s="34" t="s">
        <v>42</v>
      </c>
      <c r="B104" s="34" t="s">
        <v>35</v>
      </c>
      <c r="L104" s="35">
        <f>IF($C$6&lt;L$3,$C$6,L$3)</f>
        <v>6</v>
      </c>
      <c r="M104" s="15">
        <f t="shared" ref="M104" si="302">IF(L104=0,0,IF(L104-1&lt;M$3,L104-1,M$3))</f>
        <v>5</v>
      </c>
      <c r="N104" s="15">
        <f t="shared" ref="N104" si="303">IF(M104=0,0,IF(M104-1&lt;N$3,M104-1,N$3))</f>
        <v>4</v>
      </c>
      <c r="O104" s="15">
        <f t="shared" ref="O104" si="304">IF(N104=0,0,IF(N104-1&lt;O$3,N104-1,O$3))</f>
        <v>3</v>
      </c>
      <c r="P104" s="15">
        <f t="shared" ref="P104" si="305">IF(O104=0,0,IF(O104-1&lt;P$3,O104-1,P$3))</f>
        <v>2</v>
      </c>
      <c r="Q104" s="15">
        <f t="shared" ref="Q104" si="306">IF(P104=0,0,IF(P104-1&lt;Q$3,P104-1,Q$3))</f>
        <v>1</v>
      </c>
    </row>
    <row r="105" spans="1:17" ht="19.2" customHeight="1" x14ac:dyDescent="0.3">
      <c r="A105" s="34" t="s">
        <v>43</v>
      </c>
      <c r="B105" s="34" t="s">
        <v>21</v>
      </c>
      <c r="L105" s="15">
        <f>'Modèle_législation en vigueur'!L10</f>
        <v>10000000</v>
      </c>
      <c r="M105" s="15">
        <f t="shared" ref="M105" si="307">L109</f>
        <v>8333333.333333334</v>
      </c>
      <c r="N105" s="15">
        <f t="shared" ref="N105" si="308">M109</f>
        <v>6666666.666666667</v>
      </c>
      <c r="O105" s="15">
        <f t="shared" ref="O105" si="309">N109</f>
        <v>5000000</v>
      </c>
      <c r="P105" s="15">
        <f t="shared" ref="P105" si="310">O109</f>
        <v>3333333.3333333335</v>
      </c>
      <c r="Q105" s="15">
        <f t="shared" ref="Q105" si="311">P109</f>
        <v>1666666.6666666667</v>
      </c>
    </row>
    <row r="106" spans="1:17" ht="19.2" customHeight="1" x14ac:dyDescent="0.3">
      <c r="A106" s="34" t="s">
        <v>44</v>
      </c>
      <c r="B106" s="34" t="s">
        <v>45</v>
      </c>
      <c r="L106" s="39">
        <f t="shared" ref="L106:Q106" si="312">IF(L104=0,0,1/L104)</f>
        <v>0.16666666666666666</v>
      </c>
      <c r="M106" s="39">
        <f t="shared" si="312"/>
        <v>0.2</v>
      </c>
      <c r="N106" s="39">
        <f t="shared" si="312"/>
        <v>0.25</v>
      </c>
      <c r="O106" s="39">
        <f t="shared" si="312"/>
        <v>0.33333333333333331</v>
      </c>
      <c r="P106" s="39">
        <f t="shared" si="312"/>
        <v>0.5</v>
      </c>
      <c r="Q106" s="39">
        <f t="shared" si="312"/>
        <v>1</v>
      </c>
    </row>
    <row r="107" spans="1:17" ht="19.2" customHeight="1" x14ac:dyDescent="0.3">
      <c r="A107" s="34" t="s">
        <v>46</v>
      </c>
      <c r="B107" s="34" t="s">
        <v>45</v>
      </c>
      <c r="L107" s="39">
        <f t="shared" ref="L107" si="313">IF(L104=0,0,IF($C$29*1/$C$28&gt;L106,$C$29*1/$C$28,L106))</f>
        <v>0.16666666666666666</v>
      </c>
      <c r="M107" s="39">
        <f t="shared" ref="M107" si="314">IF(M104=0,0,IF($C$29*1/$C$28&gt;M106,$C$29*1/$C$28,M106))</f>
        <v>0.2</v>
      </c>
      <c r="N107" s="39">
        <f t="shared" ref="N107" si="315">IF(N104=0,0,IF($C$29*1/$C$28&gt;N106,$C$29*1/$C$28,N106))</f>
        <v>0.25</v>
      </c>
      <c r="O107" s="39">
        <f t="shared" ref="O107" si="316">IF(O104=0,0,IF($C$29*1/$C$28&gt;O106,$C$29*1/$C$28,O106))</f>
        <v>0.33333333333333331</v>
      </c>
      <c r="P107" s="39">
        <f t="shared" ref="P107" si="317">IF(P104=0,0,IF($C$29*1/$C$28&gt;P106,$C$29*1/$C$28,P106))</f>
        <v>0.5</v>
      </c>
      <c r="Q107" s="39">
        <f t="shared" ref="Q107" si="318">IF(Q104=0,0,IF($C$29*1/$C$28&gt;Q106,$C$29*1/$C$28,Q106))</f>
        <v>1</v>
      </c>
    </row>
    <row r="108" spans="1:17" ht="19.2" customHeight="1" x14ac:dyDescent="0.3">
      <c r="A108" s="34" t="s">
        <v>47</v>
      </c>
      <c r="B108" s="34" t="s">
        <v>21</v>
      </c>
      <c r="L108" s="15">
        <f t="shared" ref="L108:Q108" si="319">L105*L107</f>
        <v>1666666.6666666665</v>
      </c>
      <c r="M108" s="15">
        <f t="shared" si="319"/>
        <v>1666666.666666667</v>
      </c>
      <c r="N108" s="15">
        <f t="shared" si="319"/>
        <v>1666666.6666666667</v>
      </c>
      <c r="O108" s="15">
        <f t="shared" si="319"/>
        <v>1666666.6666666665</v>
      </c>
      <c r="P108" s="15">
        <f t="shared" si="319"/>
        <v>1666666.6666666667</v>
      </c>
      <c r="Q108" s="15">
        <f t="shared" si="319"/>
        <v>1666666.6666666667</v>
      </c>
    </row>
    <row r="109" spans="1:17" ht="19.2" customHeight="1" x14ac:dyDescent="0.3">
      <c r="A109" s="34" t="s">
        <v>48</v>
      </c>
      <c r="B109" s="34" t="s">
        <v>21</v>
      </c>
      <c r="L109" s="15">
        <f t="shared" ref="L109:Q109" si="320">L105-L108</f>
        <v>8333333.333333334</v>
      </c>
      <c r="M109" s="15">
        <f t="shared" si="320"/>
        <v>6666666.666666667</v>
      </c>
      <c r="N109" s="15">
        <f t="shared" si="320"/>
        <v>5000000</v>
      </c>
      <c r="O109" s="15">
        <f t="shared" si="320"/>
        <v>3333333.3333333335</v>
      </c>
      <c r="P109" s="15">
        <f t="shared" si="320"/>
        <v>1666666.6666666667</v>
      </c>
      <c r="Q109" s="15">
        <f t="shared" si="320"/>
        <v>0</v>
      </c>
    </row>
    <row r="110" spans="1:17" ht="19.2" customHeight="1" x14ac:dyDescent="0.3">
      <c r="A110" s="34"/>
      <c r="B110" s="34"/>
    </row>
    <row r="111" spans="1:17" ht="19.2" customHeight="1" x14ac:dyDescent="0.3">
      <c r="A111" s="13" t="s">
        <v>59</v>
      </c>
      <c r="B111" s="34"/>
    </row>
    <row r="112" spans="1:17" ht="19.2" customHeight="1" x14ac:dyDescent="0.3">
      <c r="A112" s="34" t="s">
        <v>42</v>
      </c>
      <c r="B112" s="34" t="s">
        <v>35</v>
      </c>
      <c r="M112" s="35">
        <f>IF($C$6&lt;M$3,$C$6,M$3)</f>
        <v>5</v>
      </c>
      <c r="N112" s="15">
        <f t="shared" ref="N112:Q112" si="321">IF(M112=0,0,IF(M112-1&lt;N$3,M112-1,N$3))</f>
        <v>4</v>
      </c>
      <c r="O112" s="15">
        <f t="shared" si="321"/>
        <v>3</v>
      </c>
      <c r="P112" s="15">
        <f t="shared" si="321"/>
        <v>2</v>
      </c>
      <c r="Q112" s="15">
        <f t="shared" si="321"/>
        <v>1</v>
      </c>
    </row>
    <row r="113" spans="1:17" ht="19.2" customHeight="1" x14ac:dyDescent="0.3">
      <c r="A113" s="34" t="s">
        <v>43</v>
      </c>
      <c r="B113" s="34" t="s">
        <v>21</v>
      </c>
      <c r="M113" s="15">
        <f>'Modèle_législation en vigueur'!M10</f>
        <v>10000000</v>
      </c>
      <c r="N113" s="15">
        <f t="shared" ref="N113" si="322">M117</f>
        <v>8000000</v>
      </c>
      <c r="O113" s="15">
        <f t="shared" ref="O113" si="323">N117</f>
        <v>6000000</v>
      </c>
      <c r="P113" s="15">
        <f t="shared" ref="P113" si="324">O117</f>
        <v>4000000</v>
      </c>
      <c r="Q113" s="15">
        <f t="shared" ref="Q113" si="325">P117</f>
        <v>2000000</v>
      </c>
    </row>
    <row r="114" spans="1:17" ht="19.2" customHeight="1" x14ac:dyDescent="0.3">
      <c r="A114" s="34" t="s">
        <v>44</v>
      </c>
      <c r="B114" s="34" t="s">
        <v>45</v>
      </c>
      <c r="M114" s="39">
        <f t="shared" ref="M114:Q114" si="326">IF(M112=0,0,1/M112)</f>
        <v>0.2</v>
      </c>
      <c r="N114" s="39">
        <f t="shared" si="326"/>
        <v>0.25</v>
      </c>
      <c r="O114" s="39">
        <f t="shared" si="326"/>
        <v>0.33333333333333331</v>
      </c>
      <c r="P114" s="39">
        <f t="shared" si="326"/>
        <v>0.5</v>
      </c>
      <c r="Q114" s="39">
        <f t="shared" si="326"/>
        <v>1</v>
      </c>
    </row>
    <row r="115" spans="1:17" ht="19.2" customHeight="1" x14ac:dyDescent="0.3">
      <c r="A115" s="34" t="s">
        <v>46</v>
      </c>
      <c r="B115" s="34" t="s">
        <v>45</v>
      </c>
      <c r="M115" s="39">
        <f t="shared" ref="M115" si="327">IF(M112=0,0,IF($C$29*1/$C$28&gt;M114,$C$29*1/$C$28,M114))</f>
        <v>0.2</v>
      </c>
      <c r="N115" s="39">
        <f t="shared" ref="N115" si="328">IF(N112=0,0,IF($C$29*1/$C$28&gt;N114,$C$29*1/$C$28,N114))</f>
        <v>0.25</v>
      </c>
      <c r="O115" s="39">
        <f t="shared" ref="O115" si="329">IF(O112=0,0,IF($C$29*1/$C$28&gt;O114,$C$29*1/$C$28,O114))</f>
        <v>0.33333333333333331</v>
      </c>
      <c r="P115" s="39">
        <f t="shared" ref="P115" si="330">IF(P112=0,0,IF($C$29*1/$C$28&gt;P114,$C$29*1/$C$28,P114))</f>
        <v>0.5</v>
      </c>
      <c r="Q115" s="39">
        <f t="shared" ref="Q115" si="331">IF(Q112=0,0,IF($C$29*1/$C$28&gt;Q114,$C$29*1/$C$28,Q114))</f>
        <v>1</v>
      </c>
    </row>
    <row r="116" spans="1:17" ht="19.2" customHeight="1" x14ac:dyDescent="0.3">
      <c r="A116" s="34" t="s">
        <v>47</v>
      </c>
      <c r="B116" s="34" t="s">
        <v>21</v>
      </c>
      <c r="M116" s="15">
        <f t="shared" ref="M116:Q116" si="332">M113*M115</f>
        <v>2000000</v>
      </c>
      <c r="N116" s="15">
        <f t="shared" si="332"/>
        <v>2000000</v>
      </c>
      <c r="O116" s="15">
        <f t="shared" si="332"/>
        <v>2000000</v>
      </c>
      <c r="P116" s="15">
        <f t="shared" si="332"/>
        <v>2000000</v>
      </c>
      <c r="Q116" s="15">
        <f t="shared" si="332"/>
        <v>2000000</v>
      </c>
    </row>
    <row r="117" spans="1:17" ht="19.2" customHeight="1" x14ac:dyDescent="0.3">
      <c r="A117" s="34" t="s">
        <v>48</v>
      </c>
      <c r="B117" s="34" t="s">
        <v>21</v>
      </c>
      <c r="M117" s="15">
        <f t="shared" ref="M117:Q117" si="333">M113-M116</f>
        <v>8000000</v>
      </c>
      <c r="N117" s="15">
        <f t="shared" si="333"/>
        <v>6000000</v>
      </c>
      <c r="O117" s="15">
        <f t="shared" si="333"/>
        <v>4000000</v>
      </c>
      <c r="P117" s="15">
        <f t="shared" si="333"/>
        <v>2000000</v>
      </c>
      <c r="Q117" s="15">
        <f t="shared" si="333"/>
        <v>0</v>
      </c>
    </row>
    <row r="118" spans="1:17" ht="19.2" customHeight="1" x14ac:dyDescent="0.3">
      <c r="L118" s="30"/>
      <c r="M118" s="30"/>
      <c r="N118" s="30"/>
      <c r="O118" s="30"/>
      <c r="P118" s="30"/>
      <c r="Q118" s="30"/>
    </row>
    <row r="119" spans="1:17" ht="19.2" customHeight="1" x14ac:dyDescent="0.3">
      <c r="A119" s="13" t="s">
        <v>60</v>
      </c>
      <c r="B119" s="34"/>
      <c r="L119" s="30"/>
      <c r="M119" s="30"/>
      <c r="N119" s="30"/>
      <c r="O119" s="30"/>
      <c r="P119" s="30"/>
      <c r="Q119" s="30"/>
    </row>
    <row r="120" spans="1:17" ht="19.2" customHeight="1" x14ac:dyDescent="0.3">
      <c r="A120" s="34" t="s">
        <v>42</v>
      </c>
      <c r="B120" s="34" t="s">
        <v>35</v>
      </c>
      <c r="N120" s="35">
        <f>IF($C$6&lt;N$3,$C$6,N$3)</f>
        <v>4</v>
      </c>
      <c r="O120" s="15">
        <f t="shared" ref="O120" si="334">IF(N120=0,0,IF(N120-1&lt;O$3,N120-1,O$3))</f>
        <v>3</v>
      </c>
      <c r="P120" s="15">
        <f t="shared" ref="P120" si="335">IF(O120=0,0,IF(O120-1&lt;P$3,O120-1,P$3))</f>
        <v>2</v>
      </c>
      <c r="Q120" s="15">
        <f t="shared" ref="Q120" si="336">IF(P120=0,0,IF(P120-1&lt;Q$3,P120-1,Q$3))</f>
        <v>1</v>
      </c>
    </row>
    <row r="121" spans="1:17" ht="19.2" customHeight="1" x14ac:dyDescent="0.3">
      <c r="A121" s="34" t="s">
        <v>43</v>
      </c>
      <c r="B121" s="34" t="s">
        <v>21</v>
      </c>
      <c r="N121" s="15">
        <f>'Modèle_législation en vigueur'!N12</f>
        <v>10000000</v>
      </c>
      <c r="O121" s="15">
        <f t="shared" ref="O121" si="337">N125</f>
        <v>7500000</v>
      </c>
      <c r="P121" s="15">
        <f t="shared" ref="P121" si="338">O125</f>
        <v>5000000</v>
      </c>
      <c r="Q121" s="15">
        <f t="shared" ref="Q121" si="339">P125</f>
        <v>2500000</v>
      </c>
    </row>
    <row r="122" spans="1:17" ht="19.2" customHeight="1" x14ac:dyDescent="0.3">
      <c r="A122" s="34" t="s">
        <v>44</v>
      </c>
      <c r="B122" s="34" t="s">
        <v>45</v>
      </c>
      <c r="N122" s="39">
        <f t="shared" ref="N122:Q122" si="340">IF(N120=0,0,1/N120)</f>
        <v>0.25</v>
      </c>
      <c r="O122" s="39">
        <f t="shared" si="340"/>
        <v>0.33333333333333331</v>
      </c>
      <c r="P122" s="39">
        <f t="shared" si="340"/>
        <v>0.5</v>
      </c>
      <c r="Q122" s="39">
        <f t="shared" si="340"/>
        <v>1</v>
      </c>
    </row>
    <row r="123" spans="1:17" ht="19.2" customHeight="1" x14ac:dyDescent="0.3">
      <c r="A123" s="34" t="s">
        <v>46</v>
      </c>
      <c r="B123" s="34" t="s">
        <v>45</v>
      </c>
      <c r="N123" s="39">
        <f t="shared" ref="N123" si="341">IF(N120=0,0,IF($C$29*1/$C$28&gt;N122,$C$29*1/$C$28,N122))</f>
        <v>0.25</v>
      </c>
      <c r="O123" s="39">
        <f t="shared" ref="O123" si="342">IF(O120=0,0,IF($C$29*1/$C$28&gt;O122,$C$29*1/$C$28,O122))</f>
        <v>0.33333333333333331</v>
      </c>
      <c r="P123" s="39">
        <f t="shared" ref="P123" si="343">IF(P120=0,0,IF($C$29*1/$C$28&gt;P122,$C$29*1/$C$28,P122))</f>
        <v>0.5</v>
      </c>
      <c r="Q123" s="39">
        <f t="shared" ref="Q123" si="344">IF(Q120=0,0,IF($C$29*1/$C$28&gt;Q122,$C$29*1/$C$28,Q122))</f>
        <v>1</v>
      </c>
    </row>
    <row r="124" spans="1:17" ht="19.2" customHeight="1" x14ac:dyDescent="0.3">
      <c r="A124" s="34" t="s">
        <v>47</v>
      </c>
      <c r="B124" s="34" t="s">
        <v>21</v>
      </c>
      <c r="N124" s="15">
        <f t="shared" ref="N124:Q124" si="345">N121*N123</f>
        <v>2500000</v>
      </c>
      <c r="O124" s="15">
        <f t="shared" si="345"/>
        <v>2500000</v>
      </c>
      <c r="P124" s="15">
        <f t="shared" si="345"/>
        <v>2500000</v>
      </c>
      <c r="Q124" s="15">
        <f t="shared" si="345"/>
        <v>2500000</v>
      </c>
    </row>
    <row r="125" spans="1:17" ht="19.2" customHeight="1" x14ac:dyDescent="0.3">
      <c r="A125" s="34" t="s">
        <v>48</v>
      </c>
      <c r="B125" s="34" t="s">
        <v>21</v>
      </c>
      <c r="N125" s="15">
        <f t="shared" ref="N125:Q125" si="346">N121-N124</f>
        <v>7500000</v>
      </c>
      <c r="O125" s="15">
        <f t="shared" si="346"/>
        <v>5000000</v>
      </c>
      <c r="P125" s="15">
        <f t="shared" si="346"/>
        <v>2500000</v>
      </c>
      <c r="Q125" s="15">
        <f t="shared" si="346"/>
        <v>0</v>
      </c>
    </row>
    <row r="127" spans="1:17" ht="19.2" customHeight="1" x14ac:dyDescent="0.3">
      <c r="A127" s="13" t="s">
        <v>61</v>
      </c>
      <c r="B127" s="34"/>
    </row>
    <row r="128" spans="1:17" ht="19.2" customHeight="1" x14ac:dyDescent="0.3">
      <c r="A128" s="34" t="s">
        <v>42</v>
      </c>
      <c r="B128" s="34" t="s">
        <v>35</v>
      </c>
      <c r="O128" s="35">
        <f>IF($C$6&lt;O$3,$C$6,O$3)</f>
        <v>3</v>
      </c>
      <c r="P128" s="15">
        <f t="shared" ref="P128:Q128" si="347">IF(O128=0,0,IF(O128-1&lt;P$3,O128-1,P$3))</f>
        <v>2</v>
      </c>
      <c r="Q128" s="15">
        <f t="shared" si="347"/>
        <v>1</v>
      </c>
    </row>
    <row r="129" spans="1:17" ht="19.2" customHeight="1" x14ac:dyDescent="0.3">
      <c r="A129" s="34" t="s">
        <v>43</v>
      </c>
      <c r="B129" s="34" t="s">
        <v>21</v>
      </c>
      <c r="O129" s="15">
        <f>'Modèle_législation en vigueur'!O10</f>
        <v>10000000</v>
      </c>
      <c r="P129" s="15">
        <f t="shared" ref="P129" si="348">O133</f>
        <v>6666666.666666667</v>
      </c>
      <c r="Q129" s="15">
        <f t="shared" ref="Q129" si="349">P133</f>
        <v>3333333.3333333335</v>
      </c>
    </row>
    <row r="130" spans="1:17" ht="19.2" customHeight="1" x14ac:dyDescent="0.3">
      <c r="A130" s="34" t="s">
        <v>44</v>
      </c>
      <c r="B130" s="34" t="s">
        <v>45</v>
      </c>
      <c r="O130" s="39">
        <f t="shared" ref="O130:Q130" si="350">IF(O128=0,0,1/O128)</f>
        <v>0.33333333333333331</v>
      </c>
      <c r="P130" s="39">
        <f t="shared" si="350"/>
        <v>0.5</v>
      </c>
      <c r="Q130" s="39">
        <f t="shared" si="350"/>
        <v>1</v>
      </c>
    </row>
    <row r="131" spans="1:17" ht="19.2" customHeight="1" x14ac:dyDescent="0.3">
      <c r="A131" s="34" t="s">
        <v>46</v>
      </c>
      <c r="B131" s="34" t="s">
        <v>45</v>
      </c>
      <c r="O131" s="39">
        <f t="shared" ref="O131" si="351">IF(O128=0,0,IF($C$29*1/$C$28&gt;O130,$C$29*1/$C$28,O130))</f>
        <v>0.33333333333333331</v>
      </c>
      <c r="P131" s="39">
        <f t="shared" ref="P131" si="352">IF(P128=0,0,IF($C$29*1/$C$28&gt;P130,$C$29*1/$C$28,P130))</f>
        <v>0.5</v>
      </c>
      <c r="Q131" s="39">
        <f t="shared" ref="Q131" si="353">IF(Q128=0,0,IF($C$29*1/$C$28&gt;Q130,$C$29*1/$C$28,Q130))</f>
        <v>1</v>
      </c>
    </row>
    <row r="132" spans="1:17" ht="19.2" customHeight="1" x14ac:dyDescent="0.3">
      <c r="A132" s="34" t="s">
        <v>47</v>
      </c>
      <c r="B132" s="34" t="s">
        <v>21</v>
      </c>
      <c r="O132" s="15">
        <f t="shared" ref="O132:Q132" si="354">O129*O131</f>
        <v>3333333.333333333</v>
      </c>
      <c r="P132" s="15">
        <f t="shared" si="354"/>
        <v>3333333.3333333335</v>
      </c>
      <c r="Q132" s="15">
        <f t="shared" si="354"/>
        <v>3333333.3333333335</v>
      </c>
    </row>
    <row r="133" spans="1:17" ht="19.2" customHeight="1" x14ac:dyDescent="0.3">
      <c r="A133" s="34" t="s">
        <v>48</v>
      </c>
      <c r="B133" s="34" t="s">
        <v>21</v>
      </c>
      <c r="O133" s="15">
        <f t="shared" ref="O133:Q133" si="355">O129-O132</f>
        <v>6666666.666666667</v>
      </c>
      <c r="P133" s="15">
        <f t="shared" si="355"/>
        <v>3333333.3333333335</v>
      </c>
      <c r="Q133" s="15">
        <f t="shared" si="355"/>
        <v>0</v>
      </c>
    </row>
    <row r="134" spans="1:17" ht="19.2" customHeight="1" x14ac:dyDescent="0.3">
      <c r="N134" s="30"/>
      <c r="O134" s="30"/>
      <c r="P134" s="30"/>
      <c r="Q134" s="30"/>
    </row>
    <row r="135" spans="1:17" ht="19.2" customHeight="1" x14ac:dyDescent="0.3">
      <c r="A135" s="13" t="s">
        <v>62</v>
      </c>
      <c r="B135" s="34"/>
      <c r="N135" s="30"/>
      <c r="O135" s="30"/>
      <c r="P135" s="30"/>
      <c r="Q135" s="30"/>
    </row>
    <row r="136" spans="1:17" ht="19.2" customHeight="1" x14ac:dyDescent="0.3">
      <c r="A136" s="34" t="s">
        <v>42</v>
      </c>
      <c r="B136" s="34" t="s">
        <v>35</v>
      </c>
      <c r="P136" s="35">
        <f>IF($C$6&lt;P$3,$C$6,P$3)</f>
        <v>2</v>
      </c>
      <c r="Q136" s="15">
        <f t="shared" ref="Q136" si="356">IF(P136=0,0,IF(P136-1&lt;Q$3,P136-1,Q$3))</f>
        <v>1</v>
      </c>
    </row>
    <row r="137" spans="1:17" ht="19.2" customHeight="1" x14ac:dyDescent="0.3">
      <c r="A137" s="34" t="s">
        <v>43</v>
      </c>
      <c r="B137" s="34" t="s">
        <v>21</v>
      </c>
      <c r="P137" s="15">
        <f>'Modèle_législation en vigueur'!P10</f>
        <v>10000000</v>
      </c>
      <c r="Q137" s="15">
        <f t="shared" ref="Q137" si="357">P141</f>
        <v>5000000</v>
      </c>
    </row>
    <row r="138" spans="1:17" ht="19.2" customHeight="1" x14ac:dyDescent="0.3">
      <c r="A138" s="34" t="s">
        <v>44</v>
      </c>
      <c r="B138" s="34" t="s">
        <v>45</v>
      </c>
      <c r="P138" s="39">
        <f t="shared" ref="P138:Q138" si="358">IF(P136=0,0,1/P136)</f>
        <v>0.5</v>
      </c>
      <c r="Q138" s="39">
        <f t="shared" si="358"/>
        <v>1</v>
      </c>
    </row>
    <row r="139" spans="1:17" ht="19.2" customHeight="1" x14ac:dyDescent="0.3">
      <c r="A139" s="34" t="s">
        <v>46</v>
      </c>
      <c r="B139" s="34" t="s">
        <v>45</v>
      </c>
      <c r="P139" s="39">
        <f t="shared" ref="P139" si="359">IF(P136=0,0,IF($C$29*1/$C$28&gt;P138,$C$29*1/$C$28,P138))</f>
        <v>0.5</v>
      </c>
      <c r="Q139" s="39">
        <f t="shared" ref="Q139" si="360">IF(Q136=0,0,IF($C$29*1/$C$28&gt;Q138,$C$29*1/$C$28,Q138))</f>
        <v>1</v>
      </c>
    </row>
    <row r="140" spans="1:17" ht="19.2" customHeight="1" x14ac:dyDescent="0.3">
      <c r="A140" s="34" t="s">
        <v>47</v>
      </c>
      <c r="B140" s="34" t="s">
        <v>21</v>
      </c>
      <c r="P140" s="15">
        <f t="shared" ref="P140:Q140" si="361">P137*P139</f>
        <v>5000000</v>
      </c>
      <c r="Q140" s="15">
        <f t="shared" si="361"/>
        <v>5000000</v>
      </c>
    </row>
    <row r="141" spans="1:17" ht="19.2" customHeight="1" x14ac:dyDescent="0.3">
      <c r="A141" s="34" t="s">
        <v>48</v>
      </c>
      <c r="B141" s="34" t="s">
        <v>21</v>
      </c>
      <c r="P141" s="15">
        <f t="shared" ref="P141:Q141" si="362">P137-P140</f>
        <v>5000000</v>
      </c>
      <c r="Q141" s="15">
        <f t="shared" si="362"/>
        <v>0</v>
      </c>
    </row>
    <row r="143" spans="1:17" ht="19.2" customHeight="1" x14ac:dyDescent="0.3">
      <c r="A143" s="13" t="s">
        <v>63</v>
      </c>
      <c r="B143" s="34"/>
    </row>
    <row r="144" spans="1:17" ht="19.2" customHeight="1" x14ac:dyDescent="0.3">
      <c r="A144" s="34" t="s">
        <v>42</v>
      </c>
      <c r="B144" s="34" t="s">
        <v>35</v>
      </c>
      <c r="Q144" s="35">
        <f>IF($C$6&lt;Q$3,$C$6,Q$3)</f>
        <v>1</v>
      </c>
    </row>
    <row r="145" spans="1:17" ht="19.2" customHeight="1" x14ac:dyDescent="0.3">
      <c r="A145" s="34" t="s">
        <v>43</v>
      </c>
      <c r="B145" s="34" t="s">
        <v>21</v>
      </c>
      <c r="Q145" s="15">
        <f>'Modèle_législation en vigueur'!Q10</f>
        <v>0</v>
      </c>
    </row>
    <row r="146" spans="1:17" ht="19.2" customHeight="1" x14ac:dyDescent="0.3">
      <c r="A146" s="34" t="s">
        <v>44</v>
      </c>
      <c r="B146" s="34" t="s">
        <v>45</v>
      </c>
      <c r="Q146" s="39">
        <f t="shared" ref="Q146" si="363">IF(Q144=0,0,1/Q144)</f>
        <v>1</v>
      </c>
    </row>
    <row r="147" spans="1:17" ht="19.2" customHeight="1" x14ac:dyDescent="0.3">
      <c r="A147" s="34" t="s">
        <v>46</v>
      </c>
      <c r="B147" s="34" t="s">
        <v>45</v>
      </c>
      <c r="Q147" s="39">
        <f>IF(Q144=0,0,IF($C$29*1/$C$28&gt;Q146,$C$29*1/$C$28,Q146))</f>
        <v>1</v>
      </c>
    </row>
    <row r="148" spans="1:17" ht="19.2" customHeight="1" x14ac:dyDescent="0.3">
      <c r="A148" s="34" t="s">
        <v>47</v>
      </c>
      <c r="B148" s="34" t="s">
        <v>21</v>
      </c>
      <c r="Q148" s="15">
        <f t="shared" ref="Q148" si="364">Q145*Q147</f>
        <v>0</v>
      </c>
    </row>
    <row r="149" spans="1:17" ht="19.2" customHeight="1" x14ac:dyDescent="0.3">
      <c r="A149" s="34" t="s">
        <v>48</v>
      </c>
      <c r="B149" s="34" t="s">
        <v>21</v>
      </c>
      <c r="Q149" s="15">
        <f t="shared" ref="Q149" si="365">Q145-Q148</f>
        <v>0</v>
      </c>
    </row>
    <row r="151" spans="1:17" ht="19.2" customHeight="1" x14ac:dyDescent="0.3">
      <c r="A151" s="13" t="s">
        <v>50</v>
      </c>
      <c r="B151" s="34" t="s">
        <v>21</v>
      </c>
      <c r="C151" s="15">
        <f>C36+C44+C52+C60+C68+C76+C84+C92+C100+C108+C116+C124+C132+C140+C148</f>
        <v>0</v>
      </c>
      <c r="D151" s="15">
        <f t="shared" ref="D151:P151" si="366">D36+D44+D52+D60+D68+D76+D84+D92+D100+D108+D116+D124+D132+D140+D148</f>
        <v>8000000</v>
      </c>
      <c r="E151" s="15">
        <f t="shared" si="366"/>
        <v>9000000</v>
      </c>
      <c r="F151" s="15">
        <f t="shared" si="366"/>
        <v>10000000</v>
      </c>
      <c r="G151" s="15">
        <f t="shared" si="366"/>
        <v>11000000</v>
      </c>
      <c r="H151" s="15">
        <f t="shared" si="366"/>
        <v>12000000</v>
      </c>
      <c r="I151" s="15">
        <f t="shared" si="366"/>
        <v>13111111.111111112</v>
      </c>
      <c r="J151" s="15">
        <f t="shared" si="366"/>
        <v>14361111.111111112</v>
      </c>
      <c r="K151" s="15">
        <f t="shared" si="366"/>
        <v>15789682.539682541</v>
      </c>
      <c r="L151" s="15">
        <f t="shared" si="366"/>
        <v>17456349.206349209</v>
      </c>
      <c r="M151" s="15">
        <f t="shared" si="366"/>
        <v>19456349.206349209</v>
      </c>
      <c r="N151" s="15">
        <f t="shared" si="366"/>
        <v>13956349.206349205</v>
      </c>
      <c r="O151" s="15">
        <f t="shared" si="366"/>
        <v>16289682.539682537</v>
      </c>
      <c r="P151" s="15">
        <f t="shared" si="366"/>
        <v>20289682.539682537</v>
      </c>
      <c r="Q151" s="15">
        <f>Q36+Q44+Q52+Q60+Q68+Q76+Q84+Q92+Q100+Q108+Q116+Q124+Q132+Q140+Q148</f>
        <v>19289682.539682537</v>
      </c>
    </row>
    <row r="153" spans="1:17" ht="19.2" customHeight="1" x14ac:dyDescent="0.3">
      <c r="A153" s="10" t="s">
        <v>64</v>
      </c>
      <c r="B153" s="36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 spans="1:17" ht="19.2" customHeight="1" x14ac:dyDescent="0.3">
      <c r="A154" s="13" t="s">
        <v>37</v>
      </c>
      <c r="B154" s="34" t="s">
        <v>35</v>
      </c>
      <c r="C154" s="24">
        <v>1</v>
      </c>
      <c r="D154" s="30"/>
      <c r="E154" s="30"/>
      <c r="F154" s="30"/>
      <c r="G154" s="30"/>
      <c r="H154" s="30"/>
      <c r="I154" s="30"/>
      <c r="J154" s="30"/>
      <c r="K154" s="30"/>
      <c r="L154" s="30"/>
    </row>
    <row r="155" spans="1:17" ht="19.2" customHeight="1" x14ac:dyDescent="0.3">
      <c r="A155" s="13" t="s">
        <v>38</v>
      </c>
      <c r="B155" s="34" t="s">
        <v>39</v>
      </c>
      <c r="C155" s="24">
        <v>1</v>
      </c>
      <c r="D155" s="30"/>
      <c r="E155" s="30"/>
      <c r="F155" s="30"/>
      <c r="G155" s="30"/>
      <c r="H155" s="30"/>
      <c r="I155" s="30"/>
      <c r="J155" s="30"/>
      <c r="K155" s="30"/>
      <c r="L155" s="30"/>
    </row>
    <row r="156" spans="1:17" ht="19.2" customHeight="1" x14ac:dyDescent="0.3">
      <c r="A156" s="34"/>
      <c r="B156" s="34"/>
      <c r="C156" s="30"/>
      <c r="D156" s="30"/>
      <c r="E156" s="30"/>
      <c r="F156" s="30"/>
      <c r="G156" s="30"/>
      <c r="H156" s="30"/>
      <c r="I156" s="30"/>
      <c r="J156" s="30"/>
      <c r="K156" s="30"/>
      <c r="L156" s="30"/>
    </row>
    <row r="157" spans="1:17" ht="19.2" customHeight="1" x14ac:dyDescent="0.3">
      <c r="A157" s="13" t="s">
        <v>59</v>
      </c>
      <c r="B157" s="34"/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 spans="1:17" ht="19.2" customHeight="1" x14ac:dyDescent="0.3">
      <c r="A158" s="34" t="s">
        <v>42</v>
      </c>
      <c r="B158" s="34" t="s">
        <v>35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Q158" s="35">
        <f>IF($C$154&lt;Q$3,$C$154,Q$3)</f>
        <v>1</v>
      </c>
    </row>
    <row r="159" spans="1:17" ht="19.2" customHeight="1" x14ac:dyDescent="0.3">
      <c r="A159" s="34" t="s">
        <v>43</v>
      </c>
      <c r="B159" s="34" t="s">
        <v>21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Q159" s="35">
        <f>'Modèle_législation en vigueur'!Q11</f>
        <v>30000000</v>
      </c>
    </row>
    <row r="160" spans="1:17" ht="19.2" customHeight="1" x14ac:dyDescent="0.3">
      <c r="A160" s="34" t="s">
        <v>44</v>
      </c>
      <c r="B160" s="34" t="s">
        <v>45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Q160" s="39">
        <f>IF(Q158=0,0,1/Q158)</f>
        <v>1</v>
      </c>
    </row>
    <row r="161" spans="1:17" ht="19.2" customHeight="1" x14ac:dyDescent="0.3">
      <c r="A161" s="34" t="s">
        <v>46</v>
      </c>
      <c r="B161" s="34" t="s">
        <v>45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Q161" s="39">
        <f>IF(Q158=0,0,IF($C$155*1/$C$154&gt;Q160,$C$1155*1/$C$154,Q160))</f>
        <v>1</v>
      </c>
    </row>
    <row r="162" spans="1:17" ht="19.2" customHeight="1" x14ac:dyDescent="0.3">
      <c r="A162" s="34" t="s">
        <v>47</v>
      </c>
      <c r="B162" s="34" t="s">
        <v>21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Q162" s="15">
        <f>Q159*Q161</f>
        <v>30000000</v>
      </c>
    </row>
    <row r="163" spans="1:17" ht="19.2" customHeight="1" x14ac:dyDescent="0.3">
      <c r="A163" s="34" t="s">
        <v>48</v>
      </c>
      <c r="B163" s="34" t="s">
        <v>21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Q163" s="15">
        <f>Q159-Q162</f>
        <v>0</v>
      </c>
    </row>
    <row r="164" spans="1:17" ht="19.2" customHeight="1" x14ac:dyDescent="0.3">
      <c r="A164" s="34"/>
      <c r="B164" s="34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9.2" customHeight="1" x14ac:dyDescent="0.3">
      <c r="A165" s="13" t="s">
        <v>65</v>
      </c>
      <c r="B165" s="34" t="s">
        <v>21</v>
      </c>
      <c r="C165" s="15">
        <f>C162</f>
        <v>0</v>
      </c>
      <c r="D165" s="15">
        <f t="shared" ref="D165:L165" si="367">D162</f>
        <v>0</v>
      </c>
      <c r="E165" s="15">
        <f t="shared" si="367"/>
        <v>0</v>
      </c>
      <c r="F165" s="15">
        <f t="shared" si="367"/>
        <v>0</v>
      </c>
      <c r="G165" s="15">
        <f t="shared" si="367"/>
        <v>0</v>
      </c>
      <c r="H165" s="15">
        <f t="shared" si="367"/>
        <v>0</v>
      </c>
      <c r="I165" s="15">
        <f t="shared" si="367"/>
        <v>0</v>
      </c>
      <c r="J165" s="15">
        <f t="shared" si="367"/>
        <v>0</v>
      </c>
      <c r="K165" s="15">
        <f t="shared" si="367"/>
        <v>0</v>
      </c>
      <c r="L165" s="15">
        <f t="shared" si="367"/>
        <v>0</v>
      </c>
      <c r="M165" s="15">
        <f t="shared" ref="M165:P165" si="368">M162</f>
        <v>0</v>
      </c>
      <c r="N165" s="15">
        <f t="shared" si="368"/>
        <v>0</v>
      </c>
      <c r="O165" s="15">
        <f t="shared" si="368"/>
        <v>0</v>
      </c>
      <c r="P165" s="15">
        <f t="shared" si="368"/>
        <v>0</v>
      </c>
      <c r="Q165" s="15">
        <f>Q162</f>
        <v>30000000</v>
      </c>
    </row>
    <row r="167" spans="1:17" ht="19.2" customHeight="1" x14ac:dyDescent="0.3">
      <c r="A167" s="10" t="s">
        <v>66</v>
      </c>
      <c r="B167" s="3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</row>
    <row r="168" spans="1:17" ht="19.2" customHeight="1" x14ac:dyDescent="0.3">
      <c r="A168" s="13" t="s">
        <v>67</v>
      </c>
      <c r="B168" s="34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</row>
    <row r="169" spans="1:17" ht="19.2" customHeight="1" x14ac:dyDescent="0.3">
      <c r="A169" s="34" t="s">
        <v>68</v>
      </c>
      <c r="B169" s="34" t="s">
        <v>35</v>
      </c>
      <c r="C169" s="24">
        <v>10</v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</row>
    <row r="170" spans="1:17" ht="19.2" customHeight="1" x14ac:dyDescent="0.3">
      <c r="A170" s="34" t="s">
        <v>69</v>
      </c>
      <c r="B170" s="34" t="s">
        <v>45</v>
      </c>
      <c r="C170" s="26">
        <v>0.08</v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</row>
    <row r="171" spans="1:17" ht="19.2" customHeight="1" x14ac:dyDescent="0.3">
      <c r="A171" s="13" t="s">
        <v>70</v>
      </c>
      <c r="B171" s="34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</row>
    <row r="172" spans="1:17" ht="19.2" customHeight="1" x14ac:dyDescent="0.3">
      <c r="A172" s="34" t="s">
        <v>71</v>
      </c>
      <c r="B172" s="34" t="s">
        <v>45</v>
      </c>
      <c r="C172" s="26">
        <v>0.05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</row>
    <row r="173" spans="1:17" ht="19.2" customHeight="1" x14ac:dyDescent="0.3">
      <c r="A173" s="34"/>
      <c r="B173" s="34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</row>
    <row r="174" spans="1:17" ht="19.2" customHeight="1" x14ac:dyDescent="0.3">
      <c r="A174" s="13" t="s">
        <v>72</v>
      </c>
      <c r="B174" s="34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</row>
    <row r="175" spans="1:17" ht="19.2" customHeight="1" x14ac:dyDescent="0.3">
      <c r="A175" s="34" t="s">
        <v>42</v>
      </c>
      <c r="B175" s="34" t="s">
        <v>35</v>
      </c>
      <c r="C175" s="35">
        <f>IF($C$169+1&lt;C$3,$C$169+1,C$3)</f>
        <v>11</v>
      </c>
      <c r="D175" s="15">
        <f>IF(C175=0,0,IF(C175-1&lt;D$3,C175-1,D$3))</f>
        <v>10</v>
      </c>
      <c r="E175" s="15">
        <f t="shared" ref="E175:M175" si="369">IF(D175=0,0,IF(D175-1&lt;E$3,D175-1,E$3))</f>
        <v>9</v>
      </c>
      <c r="F175" s="15">
        <f t="shared" si="369"/>
        <v>8</v>
      </c>
      <c r="G175" s="15">
        <f t="shared" si="369"/>
        <v>7</v>
      </c>
      <c r="H175" s="15">
        <f t="shared" si="369"/>
        <v>6</v>
      </c>
      <c r="I175" s="15">
        <f t="shared" si="369"/>
        <v>5</v>
      </c>
      <c r="J175" s="15">
        <f t="shared" si="369"/>
        <v>4</v>
      </c>
      <c r="K175" s="15">
        <f t="shared" si="369"/>
        <v>3</v>
      </c>
      <c r="L175" s="15">
        <f t="shared" si="369"/>
        <v>2</v>
      </c>
      <c r="M175" s="15">
        <f t="shared" si="369"/>
        <v>1</v>
      </c>
      <c r="N175" s="15">
        <f t="shared" ref="N175" si="370">IF(M175=0,0,IF(M175-1&lt;N$3,M175-1,N$3))</f>
        <v>0</v>
      </c>
      <c r="O175" s="15">
        <f t="shared" ref="O175" si="371">IF(N175=0,0,IF(N175-1&lt;O$3,N175-1,O$3))</f>
        <v>0</v>
      </c>
      <c r="P175" s="15">
        <f t="shared" ref="P175" si="372">IF(O175=0,0,IF(O175-1&lt;P$3,O175-1,P$3))</f>
        <v>0</v>
      </c>
      <c r="Q175" s="15">
        <f t="shared" ref="Q175" si="373">IF(P175=0,0,IF(P175-1&lt;Q$3,P175-1,Q$3))</f>
        <v>0</v>
      </c>
    </row>
    <row r="176" spans="1:17" ht="19.2" customHeight="1" x14ac:dyDescent="0.3">
      <c r="A176" s="34" t="s">
        <v>73</v>
      </c>
      <c r="B176" s="34" t="s">
        <v>21</v>
      </c>
      <c r="C176" s="35">
        <f>'Modèle_législation en vigueur'!C12</f>
        <v>50000000</v>
      </c>
      <c r="D176" s="15">
        <f>C176-D177</f>
        <v>45000000</v>
      </c>
      <c r="E176" s="15">
        <f t="shared" ref="E176:M176" si="374">D176-E177</f>
        <v>40000000</v>
      </c>
      <c r="F176" s="15">
        <f t="shared" si="374"/>
        <v>35000000</v>
      </c>
      <c r="G176" s="15">
        <f t="shared" si="374"/>
        <v>30000000</v>
      </c>
      <c r="H176" s="15">
        <f t="shared" si="374"/>
        <v>25000000</v>
      </c>
      <c r="I176" s="15">
        <f t="shared" si="374"/>
        <v>20000000</v>
      </c>
      <c r="J176" s="15">
        <f t="shared" si="374"/>
        <v>15000000</v>
      </c>
      <c r="K176" s="15">
        <f t="shared" si="374"/>
        <v>10000000</v>
      </c>
      <c r="L176" s="15">
        <f t="shared" si="374"/>
        <v>5000000</v>
      </c>
      <c r="M176" s="15">
        <f t="shared" si="374"/>
        <v>0</v>
      </c>
      <c r="N176" s="15">
        <f t="shared" ref="N176" si="375">M176-N177</f>
        <v>0</v>
      </c>
      <c r="O176" s="15">
        <f t="shared" ref="O176" si="376">N176-O177</f>
        <v>0</v>
      </c>
      <c r="P176" s="15">
        <f t="shared" ref="P176" si="377">O176-P177</f>
        <v>0</v>
      </c>
      <c r="Q176" s="15">
        <f t="shared" ref="Q176" si="378">P176-Q177</f>
        <v>0</v>
      </c>
    </row>
    <row r="177" spans="1:17" ht="19.2" customHeight="1" x14ac:dyDescent="0.3">
      <c r="A177" s="34" t="s">
        <v>74</v>
      </c>
      <c r="B177" s="34" t="s">
        <v>21</v>
      </c>
      <c r="C177" s="36"/>
      <c r="D177" s="41">
        <f>IF(D175=0,0,C176/D175)</f>
        <v>5000000</v>
      </c>
      <c r="E177" s="41">
        <f t="shared" ref="E177:M177" si="379">IF(E175=0,0,D176/E175)</f>
        <v>5000000</v>
      </c>
      <c r="F177" s="41">
        <f t="shared" si="379"/>
        <v>5000000</v>
      </c>
      <c r="G177" s="41">
        <f t="shared" si="379"/>
        <v>5000000</v>
      </c>
      <c r="H177" s="41">
        <f t="shared" si="379"/>
        <v>5000000</v>
      </c>
      <c r="I177" s="41">
        <f t="shared" si="379"/>
        <v>5000000</v>
      </c>
      <c r="J177" s="41">
        <f t="shared" si="379"/>
        <v>5000000</v>
      </c>
      <c r="K177" s="41">
        <f t="shared" si="379"/>
        <v>5000000</v>
      </c>
      <c r="L177" s="41">
        <f t="shared" si="379"/>
        <v>5000000</v>
      </c>
      <c r="M177" s="41">
        <f t="shared" si="379"/>
        <v>5000000</v>
      </c>
      <c r="N177" s="41">
        <f t="shared" ref="N177" si="380">IF(N175=0,0,M176/N175)</f>
        <v>0</v>
      </c>
      <c r="O177" s="41">
        <f t="shared" ref="O177" si="381">IF(O175=0,0,N176/O175)</f>
        <v>0</v>
      </c>
      <c r="P177" s="41">
        <f t="shared" ref="P177" si="382">IF(P175=0,0,O176/P175)</f>
        <v>0</v>
      </c>
      <c r="Q177" s="41">
        <f t="shared" ref="Q177" si="383">IF(Q175=0,0,P176/Q175)</f>
        <v>0</v>
      </c>
    </row>
    <row r="178" spans="1:17" ht="19.2" customHeight="1" x14ac:dyDescent="0.3">
      <c r="A178" s="34" t="s">
        <v>75</v>
      </c>
      <c r="B178" s="34" t="s">
        <v>21</v>
      </c>
      <c r="C178" s="41">
        <f>C176*$C$170</f>
        <v>4000000</v>
      </c>
      <c r="D178" s="41">
        <f t="shared" ref="D178:M178" si="384">D176*$C$170</f>
        <v>3600000</v>
      </c>
      <c r="E178" s="41">
        <f t="shared" si="384"/>
        <v>3200000</v>
      </c>
      <c r="F178" s="41">
        <f t="shared" si="384"/>
        <v>2800000</v>
      </c>
      <c r="G178" s="41">
        <f t="shared" si="384"/>
        <v>2400000</v>
      </c>
      <c r="H178" s="41">
        <f t="shared" si="384"/>
        <v>2000000</v>
      </c>
      <c r="I178" s="41">
        <f t="shared" si="384"/>
        <v>1600000</v>
      </c>
      <c r="J178" s="41">
        <f t="shared" si="384"/>
        <v>1200000</v>
      </c>
      <c r="K178" s="41">
        <f t="shared" si="384"/>
        <v>800000</v>
      </c>
      <c r="L178" s="41">
        <f t="shared" si="384"/>
        <v>400000</v>
      </c>
      <c r="M178" s="41">
        <f t="shared" si="384"/>
        <v>0</v>
      </c>
      <c r="N178" s="41">
        <f t="shared" ref="N178:Q178" si="385">N176*$C$170</f>
        <v>0</v>
      </c>
      <c r="O178" s="41">
        <f t="shared" si="385"/>
        <v>0</v>
      </c>
      <c r="P178" s="41">
        <f t="shared" si="385"/>
        <v>0</v>
      </c>
      <c r="Q178" s="41">
        <f t="shared" si="385"/>
        <v>0</v>
      </c>
    </row>
    <row r="179" spans="1:17" ht="19.2" customHeight="1" x14ac:dyDescent="0.3">
      <c r="A179" s="34" t="s">
        <v>76</v>
      </c>
      <c r="B179" s="34" t="s">
        <v>21</v>
      </c>
      <c r="C179" s="41">
        <f>IF(C176*$C$172&lt;C178,C176*$C$172,C178)</f>
        <v>2500000</v>
      </c>
      <c r="D179" s="41">
        <f>IF(D176*$C$172&lt;D178,D176*$C$172,D178)</f>
        <v>2250000</v>
      </c>
      <c r="E179" s="41">
        <f t="shared" ref="E179:Q179" si="386">IF(E176*$C$172&lt;E178,E176*$C$172,E178)</f>
        <v>2000000</v>
      </c>
      <c r="F179" s="41">
        <f t="shared" si="386"/>
        <v>1750000</v>
      </c>
      <c r="G179" s="41">
        <f t="shared" si="386"/>
        <v>1500000</v>
      </c>
      <c r="H179" s="41">
        <f t="shared" si="386"/>
        <v>1250000</v>
      </c>
      <c r="I179" s="41">
        <f t="shared" si="386"/>
        <v>1000000</v>
      </c>
      <c r="J179" s="41">
        <f t="shared" si="386"/>
        <v>750000</v>
      </c>
      <c r="K179" s="41">
        <f t="shared" si="386"/>
        <v>500000</v>
      </c>
      <c r="L179" s="41">
        <f t="shared" si="386"/>
        <v>250000</v>
      </c>
      <c r="M179" s="41">
        <f t="shared" si="386"/>
        <v>0</v>
      </c>
      <c r="N179" s="41">
        <f t="shared" si="386"/>
        <v>0</v>
      </c>
      <c r="O179" s="41">
        <f t="shared" si="386"/>
        <v>0</v>
      </c>
      <c r="P179" s="41">
        <f t="shared" si="386"/>
        <v>0</v>
      </c>
      <c r="Q179" s="41">
        <f t="shared" si="386"/>
        <v>0</v>
      </c>
    </row>
    <row r="180" spans="1:17" ht="19.2" customHeight="1" x14ac:dyDescent="0.3">
      <c r="A180" s="34"/>
      <c r="B180" s="34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</row>
    <row r="181" spans="1:17" ht="19.2" customHeight="1" x14ac:dyDescent="0.3">
      <c r="A181" s="13" t="s">
        <v>77</v>
      </c>
      <c r="B181" s="34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</row>
    <row r="182" spans="1:17" ht="19.2" customHeight="1" x14ac:dyDescent="0.3">
      <c r="A182" s="34" t="s">
        <v>42</v>
      </c>
      <c r="B182" s="34" t="s">
        <v>35</v>
      </c>
      <c r="C182" s="30"/>
      <c r="D182" s="35">
        <f>IF($C$169+1&lt;D$3,$C$169+1,D$3)</f>
        <v>11</v>
      </c>
      <c r="E182" s="15">
        <f>IF(D182=0,0,IF(D182-1&lt;E$3,D182-1,E$3))</f>
        <v>10</v>
      </c>
      <c r="F182" s="15">
        <f t="shared" ref="F182:M182" si="387">IF(E182=0,0,IF(E182-1&lt;F$3,E182-1,F$3))</f>
        <v>9</v>
      </c>
      <c r="G182" s="15">
        <f t="shared" si="387"/>
        <v>8</v>
      </c>
      <c r="H182" s="15">
        <f t="shared" si="387"/>
        <v>7</v>
      </c>
      <c r="I182" s="15">
        <f t="shared" si="387"/>
        <v>6</v>
      </c>
      <c r="J182" s="15">
        <f t="shared" si="387"/>
        <v>5</v>
      </c>
      <c r="K182" s="15">
        <f t="shared" si="387"/>
        <v>4</v>
      </c>
      <c r="L182" s="15">
        <f t="shared" si="387"/>
        <v>3</v>
      </c>
      <c r="M182" s="15">
        <f t="shared" si="387"/>
        <v>2</v>
      </c>
      <c r="N182" s="15">
        <f t="shared" ref="N182" si="388">IF(M182=0,0,IF(M182-1&lt;N$3,M182-1,N$3))</f>
        <v>1</v>
      </c>
      <c r="O182" s="15">
        <f t="shared" ref="O182" si="389">IF(N182=0,0,IF(N182-1&lt;O$3,N182-1,O$3))</f>
        <v>0</v>
      </c>
      <c r="P182" s="15">
        <f t="shared" ref="P182" si="390">IF(O182=0,0,IF(O182-1&lt;P$3,O182-1,P$3))</f>
        <v>0</v>
      </c>
      <c r="Q182" s="15">
        <f t="shared" ref="Q182" si="391">IF(P182=0,0,IF(P182-1&lt;Q$3,P182-1,Q$3))</f>
        <v>0</v>
      </c>
    </row>
    <row r="183" spans="1:17" ht="19.2" customHeight="1" x14ac:dyDescent="0.3">
      <c r="A183" s="34" t="s">
        <v>73</v>
      </c>
      <c r="B183" s="34" t="s">
        <v>21</v>
      </c>
      <c r="C183" s="30"/>
      <c r="D183" s="35">
        <f>'Modèle_législation en vigueur'!D12</f>
        <v>230000000</v>
      </c>
      <c r="E183" s="15">
        <f>D183-E184</f>
        <v>207000000</v>
      </c>
      <c r="F183" s="15">
        <f t="shared" ref="F183:M183" si="392">E183-F184</f>
        <v>184000000</v>
      </c>
      <c r="G183" s="15">
        <f t="shared" si="392"/>
        <v>161000000</v>
      </c>
      <c r="H183" s="15">
        <f t="shared" si="392"/>
        <v>138000000</v>
      </c>
      <c r="I183" s="15">
        <f t="shared" si="392"/>
        <v>115000000</v>
      </c>
      <c r="J183" s="15">
        <f t="shared" si="392"/>
        <v>92000000</v>
      </c>
      <c r="K183" s="15">
        <f t="shared" si="392"/>
        <v>69000000</v>
      </c>
      <c r="L183" s="15">
        <f t="shared" si="392"/>
        <v>46000000</v>
      </c>
      <c r="M183" s="15">
        <f t="shared" si="392"/>
        <v>23000000</v>
      </c>
      <c r="N183" s="15">
        <f t="shared" ref="N183" si="393">M183-N184</f>
        <v>0</v>
      </c>
      <c r="O183" s="15">
        <f t="shared" ref="O183" si="394">N183-O184</f>
        <v>0</v>
      </c>
      <c r="P183" s="15">
        <f t="shared" ref="P183" si="395">O183-P184</f>
        <v>0</v>
      </c>
      <c r="Q183" s="15">
        <f t="shared" ref="Q183" si="396">P183-Q184</f>
        <v>0</v>
      </c>
    </row>
    <row r="184" spans="1:17" ht="19.2" customHeight="1" x14ac:dyDescent="0.3">
      <c r="A184" s="34" t="s">
        <v>74</v>
      </c>
      <c r="B184" s="34" t="s">
        <v>21</v>
      </c>
      <c r="C184" s="30"/>
      <c r="D184" s="36"/>
      <c r="E184" s="41">
        <f>IF(E182=0,0,D183/E182)</f>
        <v>23000000</v>
      </c>
      <c r="F184" s="41">
        <f t="shared" ref="F184:M184" si="397">IF(F182=0,0,E183/F182)</f>
        <v>23000000</v>
      </c>
      <c r="G184" s="41">
        <f t="shared" si="397"/>
        <v>23000000</v>
      </c>
      <c r="H184" s="41">
        <f t="shared" si="397"/>
        <v>23000000</v>
      </c>
      <c r="I184" s="41">
        <f t="shared" si="397"/>
        <v>23000000</v>
      </c>
      <c r="J184" s="41">
        <f t="shared" si="397"/>
        <v>23000000</v>
      </c>
      <c r="K184" s="41">
        <f t="shared" si="397"/>
        <v>23000000</v>
      </c>
      <c r="L184" s="41">
        <f t="shared" si="397"/>
        <v>23000000</v>
      </c>
      <c r="M184" s="41">
        <f t="shared" si="397"/>
        <v>23000000</v>
      </c>
      <c r="N184" s="41">
        <f t="shared" ref="N184" si="398">IF(N182=0,0,M183/N182)</f>
        <v>23000000</v>
      </c>
      <c r="O184" s="41">
        <f t="shared" ref="O184" si="399">IF(O182=0,0,N183/O182)</f>
        <v>0</v>
      </c>
      <c r="P184" s="41">
        <f t="shared" ref="P184" si="400">IF(P182=0,0,O183/P182)</f>
        <v>0</v>
      </c>
      <c r="Q184" s="41">
        <f t="shared" ref="Q184" si="401">IF(Q182=0,0,P183/Q182)</f>
        <v>0</v>
      </c>
    </row>
    <row r="185" spans="1:17" ht="19.2" customHeight="1" x14ac:dyDescent="0.3">
      <c r="A185" s="34" t="s">
        <v>75</v>
      </c>
      <c r="B185" s="34" t="s">
        <v>21</v>
      </c>
      <c r="C185" s="30"/>
      <c r="D185" s="41">
        <f>D183*$C$170</f>
        <v>18400000</v>
      </c>
      <c r="E185" s="41">
        <f t="shared" ref="E185:Q185" si="402">E183*$C$170</f>
        <v>16560000</v>
      </c>
      <c r="F185" s="41">
        <f t="shared" si="402"/>
        <v>14720000</v>
      </c>
      <c r="G185" s="41">
        <f t="shared" si="402"/>
        <v>12880000</v>
      </c>
      <c r="H185" s="41">
        <f t="shared" si="402"/>
        <v>11040000</v>
      </c>
      <c r="I185" s="41">
        <f t="shared" si="402"/>
        <v>9200000</v>
      </c>
      <c r="J185" s="41">
        <f t="shared" si="402"/>
        <v>7360000</v>
      </c>
      <c r="K185" s="41">
        <f t="shared" si="402"/>
        <v>5520000</v>
      </c>
      <c r="L185" s="41">
        <f t="shared" si="402"/>
        <v>3680000</v>
      </c>
      <c r="M185" s="41">
        <f t="shared" si="402"/>
        <v>1840000</v>
      </c>
      <c r="N185" s="41">
        <f t="shared" si="402"/>
        <v>0</v>
      </c>
      <c r="O185" s="41">
        <f t="shared" si="402"/>
        <v>0</v>
      </c>
      <c r="P185" s="41">
        <f t="shared" si="402"/>
        <v>0</v>
      </c>
      <c r="Q185" s="41">
        <f t="shared" si="402"/>
        <v>0</v>
      </c>
    </row>
    <row r="186" spans="1:17" ht="19.2" customHeight="1" x14ac:dyDescent="0.3">
      <c r="A186" s="34" t="s">
        <v>76</v>
      </c>
      <c r="B186" s="34" t="s">
        <v>21</v>
      </c>
      <c r="C186" s="30"/>
      <c r="D186" s="41">
        <f>IF(D183*$C$172&lt;D185,D183*$C$172,D185)</f>
        <v>11500000</v>
      </c>
      <c r="E186" s="41">
        <f>IF(E183*$C$172&lt;E185,E183*$C$172,E185)</f>
        <v>10350000</v>
      </c>
      <c r="F186" s="41">
        <f t="shared" ref="F186:P186" si="403">IF(F183*$C$172&lt;F185,F183*$C$172,F185)</f>
        <v>9200000</v>
      </c>
      <c r="G186" s="41">
        <f t="shared" si="403"/>
        <v>8050000</v>
      </c>
      <c r="H186" s="41">
        <f t="shared" si="403"/>
        <v>6900000</v>
      </c>
      <c r="I186" s="41">
        <f t="shared" si="403"/>
        <v>5750000</v>
      </c>
      <c r="J186" s="41">
        <f t="shared" si="403"/>
        <v>4600000</v>
      </c>
      <c r="K186" s="41">
        <f t="shared" si="403"/>
        <v>3450000</v>
      </c>
      <c r="L186" s="41">
        <f t="shared" si="403"/>
        <v>2300000</v>
      </c>
      <c r="M186" s="41">
        <f t="shared" si="403"/>
        <v>1150000</v>
      </c>
      <c r="N186" s="41">
        <f t="shared" si="403"/>
        <v>0</v>
      </c>
      <c r="O186" s="41">
        <f t="shared" si="403"/>
        <v>0</v>
      </c>
      <c r="P186" s="41">
        <f t="shared" si="403"/>
        <v>0</v>
      </c>
      <c r="Q186" s="41">
        <f>IF(Q183*$C$172&lt;Q185,Q183*$C$172,Q185)</f>
        <v>0</v>
      </c>
    </row>
    <row r="187" spans="1:17" ht="19.2" customHeight="1" x14ac:dyDescent="0.3">
      <c r="A187" s="34"/>
      <c r="B187" s="34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</row>
    <row r="188" spans="1:17" ht="19.2" customHeight="1" x14ac:dyDescent="0.3">
      <c r="A188" s="13" t="s">
        <v>78</v>
      </c>
      <c r="B188" s="34" t="s">
        <v>21</v>
      </c>
      <c r="C188" s="15">
        <f>C$178+C$185</f>
        <v>4000000</v>
      </c>
      <c r="D188" s="15">
        <f t="shared" ref="D188:Q188" si="404">D$178+D$185</f>
        <v>22000000</v>
      </c>
      <c r="E188" s="15">
        <f t="shared" si="404"/>
        <v>19760000</v>
      </c>
      <c r="F188" s="15">
        <f t="shared" si="404"/>
        <v>17520000</v>
      </c>
      <c r="G188" s="15">
        <f t="shared" si="404"/>
        <v>15280000</v>
      </c>
      <c r="H188" s="15">
        <f t="shared" si="404"/>
        <v>13040000</v>
      </c>
      <c r="I188" s="15">
        <f t="shared" si="404"/>
        <v>10800000</v>
      </c>
      <c r="J188" s="15">
        <f t="shared" si="404"/>
        <v>8560000</v>
      </c>
      <c r="K188" s="15">
        <f t="shared" si="404"/>
        <v>6320000</v>
      </c>
      <c r="L188" s="15">
        <f t="shared" si="404"/>
        <v>4080000</v>
      </c>
      <c r="M188" s="15">
        <f t="shared" si="404"/>
        <v>1840000</v>
      </c>
      <c r="N188" s="15">
        <f t="shared" si="404"/>
        <v>0</v>
      </c>
      <c r="O188" s="15">
        <f t="shared" si="404"/>
        <v>0</v>
      </c>
      <c r="P188" s="15">
        <f t="shared" si="404"/>
        <v>0</v>
      </c>
      <c r="Q188" s="15">
        <f t="shared" si="404"/>
        <v>0</v>
      </c>
    </row>
    <row r="189" spans="1:17" ht="19.2" customHeight="1" x14ac:dyDescent="0.3">
      <c r="A189" s="13" t="s">
        <v>79</v>
      </c>
      <c r="B189" s="34" t="s">
        <v>21</v>
      </c>
      <c r="C189" s="15">
        <f>C$179+C$186</f>
        <v>2500000</v>
      </c>
      <c r="D189" s="15">
        <f t="shared" ref="D189:Q189" si="405">D$179+D$186</f>
        <v>13750000</v>
      </c>
      <c r="E189" s="15">
        <f t="shared" si="405"/>
        <v>12350000</v>
      </c>
      <c r="F189" s="15">
        <f t="shared" si="405"/>
        <v>10950000</v>
      </c>
      <c r="G189" s="15">
        <f t="shared" si="405"/>
        <v>9550000</v>
      </c>
      <c r="H189" s="15">
        <f t="shared" si="405"/>
        <v>8150000</v>
      </c>
      <c r="I189" s="15">
        <f t="shared" si="405"/>
        <v>6750000</v>
      </c>
      <c r="J189" s="15">
        <f t="shared" si="405"/>
        <v>5350000</v>
      </c>
      <c r="K189" s="15">
        <f t="shared" si="405"/>
        <v>3950000</v>
      </c>
      <c r="L189" s="15">
        <f t="shared" si="405"/>
        <v>2550000</v>
      </c>
      <c r="M189" s="15">
        <f t="shared" si="405"/>
        <v>1150000</v>
      </c>
      <c r="N189" s="15">
        <f t="shared" si="405"/>
        <v>0</v>
      </c>
      <c r="O189" s="15">
        <f t="shared" si="405"/>
        <v>0</v>
      </c>
      <c r="P189" s="15">
        <f t="shared" si="405"/>
        <v>0</v>
      </c>
      <c r="Q189" s="15">
        <f t="shared" si="405"/>
        <v>0</v>
      </c>
    </row>
    <row r="191" spans="1:17" ht="19.2" customHeight="1" x14ac:dyDescent="0.3">
      <c r="C191" s="15">
        <f>-C25-C151-C165-C189</f>
        <v>-7500000</v>
      </c>
      <c r="D191" s="15">
        <f t="shared" ref="D191:Q191" si="406">-D25-D151-D165-D189</f>
        <v>-41750000</v>
      </c>
      <c r="E191" s="15">
        <f t="shared" si="406"/>
        <v>-41350000</v>
      </c>
      <c r="F191" s="15">
        <f t="shared" si="406"/>
        <v>-40950000</v>
      </c>
      <c r="G191" s="15">
        <f t="shared" si="406"/>
        <v>-40550000</v>
      </c>
      <c r="H191" s="15">
        <f t="shared" si="406"/>
        <v>-40150000</v>
      </c>
      <c r="I191" s="15">
        <f t="shared" si="406"/>
        <v>-39861111.111111112</v>
      </c>
      <c r="J191" s="15">
        <f t="shared" si="406"/>
        <v>-39711111.111111112</v>
      </c>
      <c r="K191" s="15">
        <f t="shared" si="406"/>
        <v>-39739682.539682537</v>
      </c>
      <c r="L191" s="15">
        <f t="shared" si="406"/>
        <v>-40006349.206349209</v>
      </c>
      <c r="M191" s="15">
        <f t="shared" si="406"/>
        <v>-35606349.206349209</v>
      </c>
      <c r="N191" s="15">
        <f t="shared" si="406"/>
        <v>-13956349.206349205</v>
      </c>
      <c r="O191" s="15">
        <f t="shared" si="406"/>
        <v>-16289682.539682537</v>
      </c>
      <c r="P191" s="15">
        <f t="shared" si="406"/>
        <v>-20289682.539682537</v>
      </c>
      <c r="Q191" s="15">
        <f t="shared" si="406"/>
        <v>-49289682.539682537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E7" sqref="E7"/>
    </sheetView>
  </sheetViews>
  <sheetFormatPr baseColWidth="10" defaultRowHeight="14.4" x14ac:dyDescent="0.3"/>
  <cols>
    <col min="2" max="2" width="5.21875" bestFit="1" customWidth="1"/>
    <col min="3" max="3" width="29.77734375" bestFit="1" customWidth="1"/>
    <col min="4" max="5" width="12.33203125" bestFit="1" customWidth="1"/>
  </cols>
  <sheetData>
    <row r="2" spans="2:5" x14ac:dyDescent="0.3">
      <c r="D2">
        <v>1300</v>
      </c>
      <c r="E2">
        <v>1600</v>
      </c>
    </row>
    <row r="3" spans="2:5" x14ac:dyDescent="0.3">
      <c r="B3" s="1" t="s">
        <v>133</v>
      </c>
      <c r="C3" s="1" t="s">
        <v>134</v>
      </c>
      <c r="D3" s="1" t="s">
        <v>135</v>
      </c>
    </row>
    <row r="4" spans="2:5" x14ac:dyDescent="0.3">
      <c r="B4" s="1">
        <v>1</v>
      </c>
      <c r="C4" s="1" t="s">
        <v>136</v>
      </c>
      <c r="D4" s="2">
        <f>'Modèle_législation en vigueur'!S6</f>
        <v>2490143629.7707171</v>
      </c>
      <c r="E4" s="42">
        <f>'Modèle_projet de loi'!S6</f>
        <v>2973247340.9002595</v>
      </c>
    </row>
    <row r="5" spans="2:5" x14ac:dyDescent="0.3">
      <c r="B5" s="1">
        <v>2</v>
      </c>
      <c r="C5" s="1" t="s">
        <v>137</v>
      </c>
      <c r="D5" s="2">
        <f>'Modèle_législation en vigueur'!S12</f>
        <v>328933499.65551353</v>
      </c>
      <c r="E5" s="42">
        <f>'Modèle_projet de loi'!S12</f>
        <v>328933499.65551353</v>
      </c>
    </row>
    <row r="6" spans="2:5" x14ac:dyDescent="0.3">
      <c r="B6" s="1">
        <v>3</v>
      </c>
      <c r="C6" s="1" t="s">
        <v>138</v>
      </c>
      <c r="D6" s="2">
        <f>'Modèle_législation en vigueur'!S16</f>
        <v>1486623670.4501297</v>
      </c>
      <c r="E6" s="42">
        <f>'Modèle_projet de loi'!S16</f>
        <v>1486623670.4501297</v>
      </c>
    </row>
    <row r="7" spans="2:5" x14ac:dyDescent="0.3">
      <c r="B7" s="1">
        <v>4</v>
      </c>
      <c r="C7" s="1" t="s">
        <v>130</v>
      </c>
      <c r="D7" s="2">
        <f>D4-D5-D6</f>
        <v>674586459.66507411</v>
      </c>
      <c r="E7" s="2">
        <f>E4-E5-E6</f>
        <v>1157690170.7946165</v>
      </c>
    </row>
    <row r="8" spans="2:5" x14ac:dyDescent="0.3">
      <c r="B8" s="1"/>
      <c r="C8" s="1" t="s">
        <v>139</v>
      </c>
      <c r="D8" s="3">
        <f>'Modèle_législation en vigueur'!Q20</f>
        <v>0.55693684974734992</v>
      </c>
      <c r="E8" s="43">
        <f>'Modèle_projet de loi'!Q20</f>
        <v>0.72605458453962268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Modèle_législation en vigueur</vt:lpstr>
      <vt:lpstr>Modèle_projet de loi</vt:lpstr>
      <vt:lpstr>Amortissements et Emprunt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2023-04-19T00:33:35Z</dcterms:modified>
</cp:coreProperties>
</file>