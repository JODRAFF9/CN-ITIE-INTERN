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820" codeName="{1BF75E64-36B4-4512-B9E4-3ED0869CA821}"/>
  <workbookPr codeName="ThisWorkbook" defaultThemeVersion="124226"/>
  <mc:AlternateContent xmlns:mc="http://schemas.openxmlformats.org/markup-compatibility/2006">
    <mc:Choice Requires="x15">
      <x15ac:absPath xmlns:x15ac="http://schemas.microsoft.com/office/spreadsheetml/2010/11/ac" url="C:\Users\Bmd\Documents\ISE\Cours\ISE3\Stage ITIE\tr2_11_faireuneanalysecomparativedescotsdeprojets\"/>
    </mc:Choice>
  </mc:AlternateContent>
  <xr:revisionPtr revIDLastSave="0" documentId="13_ncr:1_{E051AEC3-3330-4731-AE31-92A70AD125DF}" xr6:coauthVersionLast="47" xr6:coauthVersionMax="47" xr10:uidLastSave="{00000000-0000-0000-0000-000000000000}"/>
  <bookViews>
    <workbookView xWindow="9510" yWindow="0" windowWidth="9780" windowHeight="10170" firstSheet="2" activeTab="3" xr2:uid="{00000000-000D-0000-FFFF-FFFF00000000}"/>
  </bookViews>
  <sheets>
    <sheet name="Terms" sheetId="3" r:id="rId1"/>
    <sheet name="ReadMe" sheetId="4" r:id="rId2"/>
    <sheet name="Petroleum model" sheetId="1" r:id="rId3"/>
    <sheet name="Mining model" sheetId="2" r:id="rId4"/>
  </sheet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2" i="2" l="1"/>
  <c r="H43" i="2"/>
  <c r="I43" i="2"/>
  <c r="J43" i="2"/>
  <c r="K43" i="2"/>
  <c r="L43" i="2"/>
  <c r="M43" i="2"/>
  <c r="N43" i="2"/>
  <c r="O43" i="2"/>
  <c r="P43" i="2"/>
  <c r="Q43" i="2"/>
  <c r="R43" i="2"/>
  <c r="S43" i="2"/>
  <c r="I42" i="2"/>
  <c r="J42" i="2"/>
  <c r="K42" i="2"/>
  <c r="L42" i="2"/>
  <c r="M42" i="2"/>
  <c r="N42" i="2"/>
  <c r="O42" i="2"/>
  <c r="P42" i="2"/>
  <c r="Q42" i="2"/>
  <c r="R42" i="2"/>
  <c r="S42" i="2"/>
  <c r="T9" i="2"/>
  <c r="S9" i="2"/>
  <c r="R9" i="2"/>
  <c r="Q9" i="2"/>
  <c r="S9" i="1"/>
  <c r="R9" i="1"/>
  <c r="F16" i="1" l="1"/>
  <c r="G460" i="2"/>
  <c r="G572" i="1"/>
  <c r="F40" i="1"/>
  <c r="R60" i="1"/>
  <c r="R61" i="1" s="1"/>
  <c r="F17" i="2" l="1"/>
  <c r="Q19" i="1"/>
  <c r="Q24" i="1"/>
  <c r="H565" i="1"/>
  <c r="F567" i="1"/>
  <c r="F568" i="1" s="1"/>
  <c r="F569" i="1" s="1"/>
  <c r="D559" i="1"/>
  <c r="G558" i="1"/>
  <c r="K557" i="1"/>
  <c r="J557" i="1"/>
  <c r="I557" i="1"/>
  <c r="H557" i="1"/>
  <c r="G557" i="1"/>
  <c r="G551" i="1"/>
  <c r="G512" i="1"/>
  <c r="F545" i="1"/>
  <c r="F546" i="1" s="1"/>
  <c r="F547" i="1" s="1"/>
  <c r="F548" i="1" s="1"/>
  <c r="H543" i="1"/>
  <c r="I543" i="1" s="1"/>
  <c r="J543" i="1" s="1"/>
  <c r="K543" i="1" s="1"/>
  <c r="L543" i="1" s="1"/>
  <c r="D520" i="1"/>
  <c r="K518" i="1"/>
  <c r="J518" i="1"/>
  <c r="I518" i="1"/>
  <c r="H518" i="1"/>
  <c r="G519" i="1"/>
  <c r="G518" i="1"/>
  <c r="D484" i="1"/>
  <c r="H476" i="1"/>
  <c r="I476" i="1"/>
  <c r="J476" i="1"/>
  <c r="K476" i="1"/>
  <c r="G477" i="1"/>
  <c r="G476" i="1"/>
  <c r="D455" i="1"/>
  <c r="D483" i="1" s="1"/>
  <c r="D451" i="1"/>
  <c r="D479" i="1" s="1"/>
  <c r="D452" i="1"/>
  <c r="D480" i="1" s="1"/>
  <c r="D453" i="1"/>
  <c r="D481" i="1" s="1"/>
  <c r="D454" i="1"/>
  <c r="D482" i="1" s="1"/>
  <c r="D450" i="1"/>
  <c r="D478" i="1" s="1"/>
  <c r="D382" i="2"/>
  <c r="D381" i="2"/>
  <c r="D380" i="2"/>
  <c r="D379" i="2"/>
  <c r="D500" i="2"/>
  <c r="D499" i="2"/>
  <c r="D498" i="2"/>
  <c r="D497" i="2"/>
  <c r="D448" i="2"/>
  <c r="D458" i="2"/>
  <c r="D457" i="2"/>
  <c r="D456" i="2"/>
  <c r="D455" i="2"/>
  <c r="F456" i="2"/>
  <c r="F457" i="2" s="1"/>
  <c r="F458" i="2" s="1"/>
  <c r="H454" i="2"/>
  <c r="G447" i="2"/>
  <c r="J446" i="2"/>
  <c r="I446" i="2"/>
  <c r="H446" i="2"/>
  <c r="G446" i="2"/>
  <c r="F435" i="2"/>
  <c r="F436" i="2" s="1"/>
  <c r="F437" i="2" s="1"/>
  <c r="D437" i="2"/>
  <c r="D436" i="2"/>
  <c r="D435" i="2"/>
  <c r="D434" i="2"/>
  <c r="H433" i="2"/>
  <c r="I433" i="2" s="1"/>
  <c r="J433" i="2" s="1"/>
  <c r="K433" i="2" s="1"/>
  <c r="L433" i="2" s="1"/>
  <c r="G440" i="2"/>
  <c r="G402" i="2"/>
  <c r="D410" i="2"/>
  <c r="G409" i="2"/>
  <c r="J408" i="2"/>
  <c r="I408" i="2"/>
  <c r="H408" i="2"/>
  <c r="G408" i="2"/>
  <c r="G367" i="2"/>
  <c r="D375" i="2"/>
  <c r="H366" i="2"/>
  <c r="I366" i="2"/>
  <c r="J366" i="2"/>
  <c r="G366" i="2"/>
  <c r="D340" i="2"/>
  <c r="D369" i="2" s="1"/>
  <c r="D341" i="2"/>
  <c r="D370" i="2" s="1"/>
  <c r="D342" i="2"/>
  <c r="D371" i="2" s="1"/>
  <c r="D343" i="2"/>
  <c r="D372" i="2" s="1"/>
  <c r="D344" i="2"/>
  <c r="D373" i="2" s="1"/>
  <c r="D345" i="2"/>
  <c r="D374" i="2" s="1"/>
  <c r="D339" i="2"/>
  <c r="D368" i="2" s="1"/>
  <c r="D379" i="1"/>
  <c r="D378" i="1"/>
  <c r="H99" i="1"/>
  <c r="I99" i="1"/>
  <c r="J99" i="1"/>
  <c r="K99" i="1"/>
  <c r="L99" i="1"/>
  <c r="M99" i="1"/>
  <c r="N99" i="1"/>
  <c r="O99" i="1"/>
  <c r="P99" i="1"/>
  <c r="Q99" i="1"/>
  <c r="R99" i="1"/>
  <c r="S99" i="1"/>
  <c r="G99" i="1"/>
  <c r="H84" i="2"/>
  <c r="I84" i="2"/>
  <c r="J84" i="2"/>
  <c r="K84" i="2"/>
  <c r="L84" i="2"/>
  <c r="M84" i="2"/>
  <c r="N84" i="2"/>
  <c r="O84" i="2"/>
  <c r="P84" i="2"/>
  <c r="Q84" i="2"/>
  <c r="R84" i="2"/>
  <c r="S84" i="2"/>
  <c r="G84" i="2"/>
  <c r="G246" i="2" s="1"/>
  <c r="H101" i="1"/>
  <c r="I101" i="1" s="1"/>
  <c r="J101" i="1" s="1"/>
  <c r="K101" i="1" s="1"/>
  <c r="L101" i="1" s="1"/>
  <c r="M101" i="1" s="1"/>
  <c r="N101" i="1" s="1"/>
  <c r="O101" i="1" s="1"/>
  <c r="P101" i="1" s="1"/>
  <c r="Q101" i="1" s="1"/>
  <c r="R101" i="1" s="1"/>
  <c r="S101" i="1" s="1"/>
  <c r="H71" i="1"/>
  <c r="I71" i="1" s="1"/>
  <c r="J71" i="1" s="1"/>
  <c r="K71" i="1" s="1"/>
  <c r="L71" i="1" s="1"/>
  <c r="M71" i="1" s="1"/>
  <c r="N71" i="1" s="1"/>
  <c r="O71" i="1" s="1"/>
  <c r="P71" i="1" s="1"/>
  <c r="Q71" i="1" s="1"/>
  <c r="R71" i="1" s="1"/>
  <c r="S71" i="1" s="1"/>
  <c r="H86" i="2"/>
  <c r="I86" i="2" s="1"/>
  <c r="J86" i="2" s="1"/>
  <c r="K86" i="2" s="1"/>
  <c r="L86" i="2" s="1"/>
  <c r="M86" i="2" s="1"/>
  <c r="N86" i="2" s="1"/>
  <c r="O86" i="2" s="1"/>
  <c r="P86" i="2" s="1"/>
  <c r="Q86" i="2" s="1"/>
  <c r="R86" i="2" s="1"/>
  <c r="S86" i="2" s="1"/>
  <c r="H56" i="2"/>
  <c r="I56" i="2" s="1"/>
  <c r="J56" i="2" s="1"/>
  <c r="K56" i="2" s="1"/>
  <c r="L56" i="2" s="1"/>
  <c r="M56" i="2" s="1"/>
  <c r="N56" i="2" s="1"/>
  <c r="O56" i="2" s="1"/>
  <c r="P56" i="2" s="1"/>
  <c r="Q56" i="2" s="1"/>
  <c r="R56" i="2" s="1"/>
  <c r="S56" i="2" s="1"/>
  <c r="I565" i="1" l="1"/>
  <c r="H572" i="1"/>
  <c r="I454" i="2"/>
  <c r="H460" i="2"/>
  <c r="D380" i="1"/>
  <c r="G377" i="1"/>
  <c r="G264" i="2"/>
  <c r="D267" i="2"/>
  <c r="D266" i="2"/>
  <c r="D265" i="2"/>
  <c r="G78" i="1"/>
  <c r="H78" i="1"/>
  <c r="I78" i="1"/>
  <c r="J78" i="1"/>
  <c r="K78" i="1"/>
  <c r="L78" i="1"/>
  <c r="M78" i="1"/>
  <c r="N78" i="1"/>
  <c r="O78" i="1"/>
  <c r="P78" i="1"/>
  <c r="Q78" i="1"/>
  <c r="R78" i="1"/>
  <c r="S78" i="1"/>
  <c r="C64" i="1"/>
  <c r="G484" i="2"/>
  <c r="P19" i="2"/>
  <c r="P24" i="2"/>
  <c r="F485" i="2"/>
  <c r="J454" i="2" l="1"/>
  <c r="I460" i="2"/>
  <c r="J565" i="1"/>
  <c r="I572" i="1"/>
  <c r="C78" i="1"/>
  <c r="C382" i="2"/>
  <c r="C381" i="2"/>
  <c r="F380" i="2"/>
  <c r="F381" i="2" s="1"/>
  <c r="F382" i="2" s="1"/>
  <c r="C380" i="2"/>
  <c r="C379" i="2"/>
  <c r="D449" i="2"/>
  <c r="H230" i="2"/>
  <c r="G202" i="2"/>
  <c r="G197" i="2"/>
  <c r="G179" i="2"/>
  <c r="G115" i="2"/>
  <c r="D100" i="2"/>
  <c r="S246" i="2"/>
  <c r="R246" i="2"/>
  <c r="Q246" i="2"/>
  <c r="P246" i="2"/>
  <c r="O246" i="2"/>
  <c r="N246" i="2"/>
  <c r="M246" i="2"/>
  <c r="L246" i="2"/>
  <c r="K246" i="2"/>
  <c r="J246" i="2"/>
  <c r="I246" i="2"/>
  <c r="H246" i="2"/>
  <c r="G75" i="2"/>
  <c r="H75" i="2" s="1"/>
  <c r="D71" i="2"/>
  <c r="S66" i="2"/>
  <c r="R66" i="2"/>
  <c r="Q66" i="2"/>
  <c r="P66" i="2"/>
  <c r="O66" i="2"/>
  <c r="N66" i="2"/>
  <c r="M66" i="2"/>
  <c r="L66" i="2"/>
  <c r="K66" i="2"/>
  <c r="J66" i="2"/>
  <c r="I66" i="2"/>
  <c r="H66" i="2"/>
  <c r="G66" i="2"/>
  <c r="S65" i="2"/>
  <c r="S64" i="2"/>
  <c r="R64" i="2"/>
  <c r="Q64" i="2"/>
  <c r="P64" i="2"/>
  <c r="O64" i="2"/>
  <c r="N64" i="2"/>
  <c r="H64" i="2"/>
  <c r="H93" i="2" s="1"/>
  <c r="H135" i="2" s="1"/>
  <c r="G64" i="2"/>
  <c r="S63" i="2"/>
  <c r="R63" i="2"/>
  <c r="Q63" i="2"/>
  <c r="P63" i="2"/>
  <c r="O63" i="2"/>
  <c r="N63" i="2"/>
  <c r="M63" i="2"/>
  <c r="L63" i="2"/>
  <c r="L92" i="2" s="1"/>
  <c r="K63" i="2"/>
  <c r="J63" i="2"/>
  <c r="I63" i="2"/>
  <c r="H63" i="2"/>
  <c r="G63" i="2"/>
  <c r="S62" i="2"/>
  <c r="R62" i="2"/>
  <c r="Q62" i="2"/>
  <c r="P62" i="2"/>
  <c r="O62" i="2"/>
  <c r="N62" i="2"/>
  <c r="M62" i="2"/>
  <c r="L62" i="2"/>
  <c r="K62" i="2"/>
  <c r="J62" i="2"/>
  <c r="I62" i="2"/>
  <c r="H62" i="2"/>
  <c r="G62" i="2"/>
  <c r="S61" i="2"/>
  <c r="R61" i="2"/>
  <c r="Q61" i="2"/>
  <c r="P61" i="2"/>
  <c r="O61" i="2"/>
  <c r="N61" i="2"/>
  <c r="M61" i="2"/>
  <c r="L61" i="2"/>
  <c r="K61" i="2"/>
  <c r="J61" i="2"/>
  <c r="I61" i="2"/>
  <c r="H61" i="2"/>
  <c r="G61" i="2"/>
  <c r="S59" i="2"/>
  <c r="S57" i="2"/>
  <c r="R57" i="2"/>
  <c r="Q57" i="2"/>
  <c r="P57" i="2"/>
  <c r="O57" i="2"/>
  <c r="N57" i="2"/>
  <c r="M57" i="2"/>
  <c r="L57" i="2"/>
  <c r="K57" i="2"/>
  <c r="J57" i="2"/>
  <c r="I57" i="2"/>
  <c r="H57" i="2"/>
  <c r="G57" i="2"/>
  <c r="S54" i="2"/>
  <c r="R54" i="2"/>
  <c r="Q54" i="2"/>
  <c r="P54" i="2"/>
  <c r="O54" i="2"/>
  <c r="N54" i="2"/>
  <c r="M54" i="2"/>
  <c r="L54" i="2"/>
  <c r="K54" i="2"/>
  <c r="J54" i="2"/>
  <c r="I54" i="2"/>
  <c r="H54" i="2"/>
  <c r="G54" i="2"/>
  <c r="C51" i="2"/>
  <c r="C50" i="2"/>
  <c r="C49" i="2"/>
  <c r="R65" i="2"/>
  <c r="Q65" i="2"/>
  <c r="P65" i="2"/>
  <c r="O65" i="2"/>
  <c r="N65" i="2"/>
  <c r="M65" i="2"/>
  <c r="L65" i="2"/>
  <c r="K65" i="2"/>
  <c r="J65" i="2"/>
  <c r="I65" i="2"/>
  <c r="H65" i="2"/>
  <c r="G65" i="2"/>
  <c r="C46" i="2"/>
  <c r="L64" i="2" s="1"/>
  <c r="C45" i="2"/>
  <c r="C44" i="2"/>
  <c r="G43" i="2"/>
  <c r="G42" i="2"/>
  <c r="C41" i="2"/>
  <c r="Q111" i="2" s="1"/>
  <c r="F24" i="2"/>
  <c r="F22" i="2"/>
  <c r="D206" i="2" s="1"/>
  <c r="F21" i="2"/>
  <c r="F20" i="2"/>
  <c r="P21" i="2"/>
  <c r="F19" i="2"/>
  <c r="D195" i="2" s="1"/>
  <c r="F18" i="2"/>
  <c r="F16" i="2"/>
  <c r="D151" i="2" s="1"/>
  <c r="F15" i="2"/>
  <c r="F14" i="2"/>
  <c r="F13" i="2"/>
  <c r="F12" i="2"/>
  <c r="F11" i="2"/>
  <c r="F10" i="2"/>
  <c r="D124" i="2" s="1"/>
  <c r="F9" i="2"/>
  <c r="F8" i="2"/>
  <c r="I7" i="2"/>
  <c r="F6" i="2"/>
  <c r="H1" i="2"/>
  <c r="I1" i="2" s="1"/>
  <c r="J1" i="2" s="1"/>
  <c r="K1" i="2" s="1"/>
  <c r="L1" i="2" s="1"/>
  <c r="M1" i="2" s="1"/>
  <c r="N1" i="2" s="1"/>
  <c r="O1" i="2" s="1"/>
  <c r="P1" i="2" s="1"/>
  <c r="Q1" i="2" s="1"/>
  <c r="R1" i="2" s="1"/>
  <c r="S1" i="2" s="1"/>
  <c r="K565" i="1" l="1"/>
  <c r="J572" i="1"/>
  <c r="K454" i="2"/>
  <c r="J460" i="2"/>
  <c r="G145" i="2"/>
  <c r="G172" i="2" s="1"/>
  <c r="D489" i="2"/>
  <c r="D401" i="2"/>
  <c r="D439" i="2"/>
  <c r="D483" i="2"/>
  <c r="H409" i="2"/>
  <c r="H447" i="2"/>
  <c r="H440" i="2"/>
  <c r="H402" i="2"/>
  <c r="D411" i="2"/>
  <c r="D338" i="2"/>
  <c r="J7" i="2"/>
  <c r="H367" i="2"/>
  <c r="G93" i="2"/>
  <c r="G135" i="2" s="1"/>
  <c r="M92" i="2"/>
  <c r="M134" i="2" s="1"/>
  <c r="M91" i="2"/>
  <c r="M133" i="2" s="1"/>
  <c r="M147" i="2" s="1"/>
  <c r="N95" i="2"/>
  <c r="N106" i="2" s="1"/>
  <c r="I230" i="2"/>
  <c r="H264" i="2"/>
  <c r="M59" i="2"/>
  <c r="M88" i="2" s="1"/>
  <c r="N92" i="2"/>
  <c r="N134" i="2" s="1"/>
  <c r="N93" i="2"/>
  <c r="N135" i="2" s="1"/>
  <c r="N91" i="2"/>
  <c r="J95" i="2"/>
  <c r="J106" i="2" s="1"/>
  <c r="R95" i="2"/>
  <c r="R106" i="2" s="1"/>
  <c r="L59" i="2"/>
  <c r="L88" i="2" s="1"/>
  <c r="R91" i="2"/>
  <c r="G95" i="2"/>
  <c r="G106" i="2" s="1"/>
  <c r="G105" i="2" s="1"/>
  <c r="O95" i="2"/>
  <c r="O106" i="2" s="1"/>
  <c r="Q94" i="2"/>
  <c r="Q136" i="2" s="1"/>
  <c r="Q175" i="2" s="1"/>
  <c r="Q91" i="2"/>
  <c r="I59" i="2"/>
  <c r="I88" i="2" s="1"/>
  <c r="Q59" i="2"/>
  <c r="Q88" i="2" s="1"/>
  <c r="L93" i="2"/>
  <c r="L135" i="2" s="1"/>
  <c r="N94" i="2"/>
  <c r="N136" i="2" s="1"/>
  <c r="N175" i="2" s="1"/>
  <c r="G91" i="2"/>
  <c r="O91" i="2"/>
  <c r="L95" i="2"/>
  <c r="L106" i="2" s="1"/>
  <c r="I91" i="2"/>
  <c r="H59" i="2"/>
  <c r="H88" i="2" s="1"/>
  <c r="Q92" i="2"/>
  <c r="Q93" i="2"/>
  <c r="Q135" i="2" s="1"/>
  <c r="O59" i="2"/>
  <c r="O88" i="2" s="1"/>
  <c r="H92" i="2"/>
  <c r="H134" i="2" s="1"/>
  <c r="H150" i="2" s="1"/>
  <c r="P92" i="2"/>
  <c r="P93" i="2"/>
  <c r="P135" i="2" s="1"/>
  <c r="I94" i="2"/>
  <c r="I136" i="2" s="1"/>
  <c r="I175" i="2" s="1"/>
  <c r="C43" i="2"/>
  <c r="P59" i="2"/>
  <c r="P88" i="2" s="1"/>
  <c r="I92" i="2"/>
  <c r="I134" i="2" s="1"/>
  <c r="G59" i="2"/>
  <c r="G88" i="2" s="1"/>
  <c r="L94" i="2"/>
  <c r="L136" i="2" s="1"/>
  <c r="L175" i="2" s="1"/>
  <c r="N59" i="2"/>
  <c r="N88" i="2" s="1"/>
  <c r="I90" i="2"/>
  <c r="I132" i="2" s="1"/>
  <c r="I144" i="2" s="1"/>
  <c r="Q90" i="2"/>
  <c r="Q132" i="2" s="1"/>
  <c r="Q144" i="2" s="1"/>
  <c r="L91" i="2"/>
  <c r="G92" i="2"/>
  <c r="O92" i="2"/>
  <c r="O134" i="2" s="1"/>
  <c r="O93" i="2"/>
  <c r="O135" i="2" s="1"/>
  <c r="I95" i="2"/>
  <c r="I106" i="2" s="1"/>
  <c r="Q95" i="2"/>
  <c r="Q106" i="2" s="1"/>
  <c r="K94" i="2"/>
  <c r="K136" i="2" s="1"/>
  <c r="K175" i="2" s="1"/>
  <c r="C61" i="2"/>
  <c r="J91" i="2"/>
  <c r="H94" i="2"/>
  <c r="H136" i="2" s="1"/>
  <c r="H175" i="2" s="1"/>
  <c r="P94" i="2"/>
  <c r="P136" i="2" s="1"/>
  <c r="P175" i="2" s="1"/>
  <c r="S88" i="2"/>
  <c r="S94" i="2"/>
  <c r="S136" i="2" s="1"/>
  <c r="S175" i="2" s="1"/>
  <c r="K59" i="2"/>
  <c r="K88" i="2" s="1"/>
  <c r="O94" i="2"/>
  <c r="O136" i="2" s="1"/>
  <c r="O175" i="2" s="1"/>
  <c r="M90" i="2"/>
  <c r="M132" i="2" s="1"/>
  <c r="M144" i="2" s="1"/>
  <c r="H91" i="2"/>
  <c r="P91" i="2"/>
  <c r="K92" i="2"/>
  <c r="K134" i="2" s="1"/>
  <c r="S92" i="2"/>
  <c r="S93" i="2"/>
  <c r="S135" i="2" s="1"/>
  <c r="M95" i="2"/>
  <c r="M106" i="2" s="1"/>
  <c r="J59" i="2"/>
  <c r="J88" i="2" s="1"/>
  <c r="R59" i="2"/>
  <c r="R88" i="2" s="1"/>
  <c r="J92" i="2"/>
  <c r="J134" i="2" s="1"/>
  <c r="R92" i="2"/>
  <c r="R93" i="2"/>
  <c r="R135" i="2" s="1"/>
  <c r="M94" i="2"/>
  <c r="M136" i="2" s="1"/>
  <c r="M175" i="2" s="1"/>
  <c r="K95" i="2"/>
  <c r="K106" i="2" s="1"/>
  <c r="S95" i="2"/>
  <c r="S106" i="2" s="1"/>
  <c r="C42" i="2"/>
  <c r="J94" i="2"/>
  <c r="J136" i="2" s="1"/>
  <c r="J175" i="2" s="1"/>
  <c r="R94" i="2"/>
  <c r="R136" i="2" s="1"/>
  <c r="R175" i="2" s="1"/>
  <c r="K91" i="2"/>
  <c r="S91" i="2"/>
  <c r="H95" i="2"/>
  <c r="H106" i="2" s="1"/>
  <c r="P95" i="2"/>
  <c r="P106" i="2" s="1"/>
  <c r="S67" i="2"/>
  <c r="C63" i="2"/>
  <c r="G58" i="2"/>
  <c r="K58" i="2"/>
  <c r="O58" i="2"/>
  <c r="O87" i="2" s="1"/>
  <c r="O122" i="2" s="1"/>
  <c r="S58" i="2"/>
  <c r="S60" i="2" s="1"/>
  <c r="J58" i="2"/>
  <c r="N58" i="2"/>
  <c r="N87" i="2" s="1"/>
  <c r="N122" i="2" s="1"/>
  <c r="R58" i="2"/>
  <c r="I58" i="2"/>
  <c r="M58" i="2"/>
  <c r="Q58" i="2"/>
  <c r="Q87" i="2" s="1"/>
  <c r="Q122" i="2" s="1"/>
  <c r="H58" i="2"/>
  <c r="H87" i="2" s="1"/>
  <c r="H122" i="2" s="1"/>
  <c r="L58" i="2"/>
  <c r="L87" i="2" s="1"/>
  <c r="L122" i="2" s="1"/>
  <c r="P58" i="2"/>
  <c r="H67" i="2"/>
  <c r="L67" i="2"/>
  <c r="P67" i="2"/>
  <c r="L134" i="2"/>
  <c r="G67" i="2"/>
  <c r="O67" i="2"/>
  <c r="C65" i="2"/>
  <c r="G94" i="2"/>
  <c r="H187" i="2"/>
  <c r="H177" i="2" s="1"/>
  <c r="H191" i="2" s="1"/>
  <c r="H124" i="2"/>
  <c r="H125" i="2" s="1"/>
  <c r="I75" i="2"/>
  <c r="N67" i="2"/>
  <c r="R67" i="2"/>
  <c r="I505" i="2"/>
  <c r="G151" i="2"/>
  <c r="H151" i="2"/>
  <c r="K64" i="2"/>
  <c r="K93" i="2" s="1"/>
  <c r="K135" i="2" s="1"/>
  <c r="C57" i="2"/>
  <c r="Q67" i="2"/>
  <c r="H90" i="2"/>
  <c r="L90" i="2"/>
  <c r="P90" i="2"/>
  <c r="I110" i="2"/>
  <c r="I112" i="2" s="1"/>
  <c r="M110" i="2"/>
  <c r="M112" i="2" s="1"/>
  <c r="Q110" i="2"/>
  <c r="Q112" i="2" s="1"/>
  <c r="H111" i="2"/>
  <c r="L111" i="2"/>
  <c r="P111" i="2"/>
  <c r="G124" i="2"/>
  <c r="G203" i="2"/>
  <c r="D148" i="2"/>
  <c r="G148" i="2"/>
  <c r="H148" i="2"/>
  <c r="H173" i="2" s="1"/>
  <c r="J64" i="2"/>
  <c r="J93" i="2" s="1"/>
  <c r="J135" i="2" s="1"/>
  <c r="C48" i="2"/>
  <c r="C62" i="2"/>
  <c r="C66" i="2"/>
  <c r="G74" i="2"/>
  <c r="G90" i="2"/>
  <c r="K90" i="2"/>
  <c r="O90" i="2"/>
  <c r="S90" i="2"/>
  <c r="H110" i="2"/>
  <c r="H112" i="2" s="1"/>
  <c r="L110" i="2"/>
  <c r="L112" i="2" s="1"/>
  <c r="P110" i="2"/>
  <c r="P112" i="2" s="1"/>
  <c r="G111" i="2"/>
  <c r="K111" i="2"/>
  <c r="O111" i="2"/>
  <c r="S111" i="2"/>
  <c r="H145" i="2"/>
  <c r="H172" i="2" s="1"/>
  <c r="D145" i="2"/>
  <c r="M64" i="2"/>
  <c r="M93" i="2" s="1"/>
  <c r="M135" i="2" s="1"/>
  <c r="J90" i="2"/>
  <c r="N90" i="2"/>
  <c r="R90" i="2"/>
  <c r="G110" i="2"/>
  <c r="G112" i="2" s="1"/>
  <c r="K110" i="2"/>
  <c r="K112" i="2" s="1"/>
  <c r="O110" i="2"/>
  <c r="O112" i="2" s="1"/>
  <c r="S110" i="2"/>
  <c r="S112" i="2" s="1"/>
  <c r="J111" i="2"/>
  <c r="N111" i="2"/>
  <c r="R111" i="2"/>
  <c r="B152" i="2"/>
  <c r="G187" i="2"/>
  <c r="J110" i="2"/>
  <c r="J112" i="2" s="1"/>
  <c r="N110" i="2"/>
  <c r="N112" i="2" s="1"/>
  <c r="R110" i="2"/>
  <c r="R112" i="2" s="1"/>
  <c r="I111" i="2"/>
  <c r="M111" i="2"/>
  <c r="D432" i="2"/>
  <c r="L454" i="2" l="1"/>
  <c r="L460" i="2" s="1"/>
  <c r="K460" i="2"/>
  <c r="L565" i="1"/>
  <c r="L572" i="1" s="1"/>
  <c r="K572" i="1"/>
  <c r="D453" i="2"/>
  <c r="D450" i="2"/>
  <c r="I409" i="2"/>
  <c r="I447" i="2"/>
  <c r="I440" i="2"/>
  <c r="I402" i="2"/>
  <c r="D412" i="2"/>
  <c r="K7" i="2"/>
  <c r="J447" i="2" s="1"/>
  <c r="I367" i="2"/>
  <c r="R60" i="2"/>
  <c r="R89" i="2" s="1"/>
  <c r="M60" i="2"/>
  <c r="M89" i="2" s="1"/>
  <c r="J105" i="2"/>
  <c r="J107" i="2"/>
  <c r="N107" i="2"/>
  <c r="N105" i="2"/>
  <c r="R105" i="2"/>
  <c r="R107" i="2"/>
  <c r="H105" i="2"/>
  <c r="H107" i="2"/>
  <c r="K105" i="2"/>
  <c r="K107" i="2"/>
  <c r="I105" i="2"/>
  <c r="I107" i="2"/>
  <c r="L105" i="2"/>
  <c r="L107" i="2"/>
  <c r="P105" i="2"/>
  <c r="P107" i="2"/>
  <c r="S105" i="2"/>
  <c r="S107" i="2"/>
  <c r="M107" i="2"/>
  <c r="M105" i="2"/>
  <c r="Q105" i="2"/>
  <c r="Q107" i="2"/>
  <c r="O105" i="2"/>
  <c r="O107" i="2"/>
  <c r="P194" i="2"/>
  <c r="N150" i="2"/>
  <c r="G194" i="2"/>
  <c r="S194" i="2"/>
  <c r="N194" i="2"/>
  <c r="R194" i="2"/>
  <c r="Q194" i="2"/>
  <c r="P133" i="2"/>
  <c r="P147" i="2" s="1"/>
  <c r="S133" i="2"/>
  <c r="S147" i="2" s="1"/>
  <c r="R133" i="2"/>
  <c r="R147" i="2" s="1"/>
  <c r="G133" i="2"/>
  <c r="G147" i="2" s="1"/>
  <c r="O194" i="2"/>
  <c r="C88" i="2"/>
  <c r="J133" i="2"/>
  <c r="J147" i="2" s="1"/>
  <c r="O133" i="2"/>
  <c r="O147" i="2" s="1"/>
  <c r="H133" i="2"/>
  <c r="H147" i="2" s="1"/>
  <c r="K133" i="2"/>
  <c r="K147" i="2" s="1"/>
  <c r="J230" i="2"/>
  <c r="I264" i="2"/>
  <c r="L133" i="2"/>
  <c r="L147" i="2" s="1"/>
  <c r="I133" i="2"/>
  <c r="I147" i="2" s="1"/>
  <c r="Q133" i="2"/>
  <c r="Q147" i="2" s="1"/>
  <c r="N133" i="2"/>
  <c r="N147" i="2" s="1"/>
  <c r="L194" i="2"/>
  <c r="Q134" i="2"/>
  <c r="Q150" i="2" s="1"/>
  <c r="I60" i="2"/>
  <c r="I89" i="2" s="1"/>
  <c r="G60" i="2"/>
  <c r="G89" i="2" s="1"/>
  <c r="H194" i="2"/>
  <c r="G134" i="2"/>
  <c r="O150" i="2"/>
  <c r="S134" i="2"/>
  <c r="S150" i="2" s="1"/>
  <c r="L150" i="2"/>
  <c r="P134" i="2"/>
  <c r="P150" i="2" s="1"/>
  <c r="Q96" i="2"/>
  <c r="C95" i="2"/>
  <c r="K60" i="2"/>
  <c r="K89" i="2" s="1"/>
  <c r="P60" i="2"/>
  <c r="P68" i="2" s="1"/>
  <c r="R134" i="2"/>
  <c r="R150" i="2" s="1"/>
  <c r="C91" i="2"/>
  <c r="C59" i="2"/>
  <c r="J60" i="2"/>
  <c r="J89" i="2" s="1"/>
  <c r="C92" i="2"/>
  <c r="I87" i="2"/>
  <c r="I122" i="2" s="1"/>
  <c r="H60" i="2"/>
  <c r="H89" i="2" s="1"/>
  <c r="O60" i="2"/>
  <c r="O68" i="2" s="1"/>
  <c r="L60" i="2"/>
  <c r="L68" i="2" s="1"/>
  <c r="S87" i="2"/>
  <c r="S122" i="2" s="1"/>
  <c r="R87" i="2"/>
  <c r="R122" i="2" s="1"/>
  <c r="M87" i="2"/>
  <c r="M122" i="2" s="1"/>
  <c r="P87" i="2"/>
  <c r="P122" i="2" s="1"/>
  <c r="C58" i="2"/>
  <c r="J87" i="2"/>
  <c r="J122" i="2" s="1"/>
  <c r="Q60" i="2"/>
  <c r="Q68" i="2" s="1"/>
  <c r="N60" i="2"/>
  <c r="N89" i="2" s="1"/>
  <c r="K87" i="2"/>
  <c r="K122" i="2" s="1"/>
  <c r="G87" i="2"/>
  <c r="G122" i="2" s="1"/>
  <c r="B153" i="2"/>
  <c r="O113" i="2"/>
  <c r="N96" i="2"/>
  <c r="N132" i="2"/>
  <c r="N144" i="2" s="1"/>
  <c r="P113" i="2"/>
  <c r="O96" i="2"/>
  <c r="O132" i="2"/>
  <c r="O144" i="2" s="1"/>
  <c r="G173" i="2"/>
  <c r="I113" i="2"/>
  <c r="C94" i="2"/>
  <c r="G136" i="2"/>
  <c r="S89" i="2"/>
  <c r="S68" i="2"/>
  <c r="J150" i="2"/>
  <c r="J67" i="2"/>
  <c r="R113" i="2"/>
  <c r="S113" i="2"/>
  <c r="S116" i="2"/>
  <c r="R96" i="2"/>
  <c r="R132" i="2"/>
  <c r="R144" i="2" s="1"/>
  <c r="C47" i="2"/>
  <c r="I64" i="2"/>
  <c r="S96" i="2"/>
  <c r="S132" i="2"/>
  <c r="S144" i="2" s="1"/>
  <c r="G128" i="2"/>
  <c r="H74" i="2"/>
  <c r="M113" i="2"/>
  <c r="H132" i="2"/>
  <c r="H144" i="2" s="1"/>
  <c r="H96" i="2"/>
  <c r="C106" i="2"/>
  <c r="G117" i="2"/>
  <c r="G107" i="2"/>
  <c r="K67" i="2"/>
  <c r="M194" i="2"/>
  <c r="J113" i="2"/>
  <c r="G113" i="2"/>
  <c r="G116" i="2"/>
  <c r="H116" i="2"/>
  <c r="H113" i="2"/>
  <c r="C90" i="2"/>
  <c r="G96" i="2"/>
  <c r="G132" i="2"/>
  <c r="G125" i="2"/>
  <c r="Q113" i="2"/>
  <c r="L132" i="2"/>
  <c r="L144" i="2" s="1"/>
  <c r="L96" i="2"/>
  <c r="H271" i="2"/>
  <c r="H282" i="2" s="1"/>
  <c r="H340" i="2" s="1"/>
  <c r="H170" i="2"/>
  <c r="M67" i="2"/>
  <c r="K194" i="2"/>
  <c r="M150" i="2"/>
  <c r="G177" i="2"/>
  <c r="D451" i="2"/>
  <c r="N113" i="2"/>
  <c r="K113" i="2"/>
  <c r="J96" i="2"/>
  <c r="J132" i="2"/>
  <c r="J144" i="2" s="1"/>
  <c r="L113" i="2"/>
  <c r="K96" i="2"/>
  <c r="K132" i="2"/>
  <c r="K144" i="2" s="1"/>
  <c r="P132" i="2"/>
  <c r="P144" i="2" s="1"/>
  <c r="P96" i="2"/>
  <c r="J75" i="2"/>
  <c r="J194" i="2"/>
  <c r="M96" i="2"/>
  <c r="K150" i="2"/>
  <c r="P89" i="2" l="1"/>
  <c r="P97" i="2" s="1"/>
  <c r="J440" i="2"/>
  <c r="J402" i="2"/>
  <c r="D413" i="2"/>
  <c r="J367" i="2"/>
  <c r="J409" i="2"/>
  <c r="R68" i="2"/>
  <c r="R304" i="2" s="1"/>
  <c r="I184" i="2"/>
  <c r="M68" i="2"/>
  <c r="M304" i="2" s="1"/>
  <c r="K68" i="2"/>
  <c r="K79" i="2" s="1"/>
  <c r="G184" i="2"/>
  <c r="G150" i="2"/>
  <c r="H184" i="2"/>
  <c r="C133" i="2"/>
  <c r="K230" i="2"/>
  <c r="J264" i="2"/>
  <c r="G68" i="2"/>
  <c r="G79" i="2" s="1"/>
  <c r="C105" i="2"/>
  <c r="C107" i="2"/>
  <c r="J68" i="2"/>
  <c r="J79" i="2" s="1"/>
  <c r="C134" i="2"/>
  <c r="H68" i="2"/>
  <c r="H79" i="2" s="1"/>
  <c r="L89" i="2"/>
  <c r="L97" i="2" s="1"/>
  <c r="O89" i="2"/>
  <c r="O169" i="2" s="1"/>
  <c r="Q89" i="2"/>
  <c r="Q123" i="2" s="1"/>
  <c r="C122" i="2"/>
  <c r="C87" i="2"/>
  <c r="C60" i="2"/>
  <c r="A60" i="2" s="1"/>
  <c r="N68" i="2"/>
  <c r="N79" i="2" s="1"/>
  <c r="B154" i="2"/>
  <c r="R169" i="2"/>
  <c r="R97" i="2"/>
  <c r="R123" i="2"/>
  <c r="G169" i="2"/>
  <c r="G123" i="2"/>
  <c r="G131" i="2"/>
  <c r="G97" i="2"/>
  <c r="I169" i="2"/>
  <c r="I123" i="2"/>
  <c r="I124" i="2" s="1"/>
  <c r="G175" i="2"/>
  <c r="C175" i="2" s="1"/>
  <c r="C136" i="2"/>
  <c r="C132" i="2"/>
  <c r="G144" i="2"/>
  <c r="C147" i="2"/>
  <c r="I148" i="2"/>
  <c r="S169" i="2"/>
  <c r="S123" i="2"/>
  <c r="S97" i="2"/>
  <c r="M169" i="2"/>
  <c r="M123" i="2"/>
  <c r="M97" i="2"/>
  <c r="J169" i="2"/>
  <c r="J97" i="2"/>
  <c r="J123" i="2"/>
  <c r="J124" i="2" s="1"/>
  <c r="J125" i="2" s="1"/>
  <c r="G271" i="2"/>
  <c r="G170" i="2"/>
  <c r="G118" i="2"/>
  <c r="N169" i="2"/>
  <c r="N97" i="2"/>
  <c r="N123" i="2"/>
  <c r="G270" i="2"/>
  <c r="G171" i="2"/>
  <c r="G138" i="2"/>
  <c r="I93" i="2"/>
  <c r="C64" i="2"/>
  <c r="I67" i="2"/>
  <c r="S304" i="2"/>
  <c r="S79" i="2"/>
  <c r="P304" i="2"/>
  <c r="P79" i="2"/>
  <c r="J184" i="2"/>
  <c r="K75" i="2"/>
  <c r="J148" i="2"/>
  <c r="J173" i="2" s="1"/>
  <c r="J145" i="2"/>
  <c r="J172" i="2" s="1"/>
  <c r="J151" i="2"/>
  <c r="G191" i="2"/>
  <c r="O304" i="2"/>
  <c r="O79" i="2"/>
  <c r="Q304" i="2"/>
  <c r="Q79" i="2"/>
  <c r="L304" i="2"/>
  <c r="L79" i="2"/>
  <c r="C113" i="2"/>
  <c r="G114" i="2"/>
  <c r="H114" i="2" s="1"/>
  <c r="I114" i="2" s="1"/>
  <c r="J114" i="2" s="1"/>
  <c r="K114" i="2" s="1"/>
  <c r="L114" i="2" s="1"/>
  <c r="M114" i="2" s="1"/>
  <c r="N114" i="2" s="1"/>
  <c r="O114" i="2" s="1"/>
  <c r="P114" i="2" s="1"/>
  <c r="Q114" i="2" s="1"/>
  <c r="R114" i="2" s="1"/>
  <c r="S114" i="2" s="1"/>
  <c r="H128" i="2"/>
  <c r="I74" i="2"/>
  <c r="K169" i="2"/>
  <c r="K123" i="2"/>
  <c r="K97" i="2"/>
  <c r="H169" i="2"/>
  <c r="H123" i="2"/>
  <c r="H131" i="2"/>
  <c r="H97" i="2"/>
  <c r="P123" i="2" l="1"/>
  <c r="P169" i="2"/>
  <c r="R79" i="2"/>
  <c r="M79" i="2"/>
  <c r="K304" i="2"/>
  <c r="J304" i="2"/>
  <c r="G70" i="2"/>
  <c r="K108" i="2"/>
  <c r="J108" i="2"/>
  <c r="R108" i="2"/>
  <c r="H108" i="2"/>
  <c r="P108" i="2"/>
  <c r="O108" i="2"/>
  <c r="N108" i="2"/>
  <c r="M108" i="2"/>
  <c r="L108" i="2"/>
  <c r="G108" i="2"/>
  <c r="S108" i="2"/>
  <c r="I108" i="2"/>
  <c r="Q108" i="2"/>
  <c r="G304" i="2"/>
  <c r="L230" i="2"/>
  <c r="K264" i="2"/>
  <c r="L169" i="2"/>
  <c r="H304" i="2"/>
  <c r="H70" i="2"/>
  <c r="L123" i="2"/>
  <c r="O123" i="2"/>
  <c r="O97" i="2"/>
  <c r="O308" i="2" s="1"/>
  <c r="Q97" i="2"/>
  <c r="Q296" i="2" s="1"/>
  <c r="N304" i="2"/>
  <c r="Q169" i="2"/>
  <c r="C89" i="2"/>
  <c r="B155" i="2"/>
  <c r="J170" i="2"/>
  <c r="J271" i="2"/>
  <c r="J282" i="2" s="1"/>
  <c r="J340" i="2" s="1"/>
  <c r="J296" i="2"/>
  <c r="J308" i="2"/>
  <c r="G80" i="2"/>
  <c r="H80" i="2" s="1"/>
  <c r="R296" i="2"/>
  <c r="R308" i="2"/>
  <c r="I135" i="2"/>
  <c r="I194" i="2"/>
  <c r="C194" i="2" s="1"/>
  <c r="C93" i="2"/>
  <c r="I96" i="2"/>
  <c r="G281" i="2"/>
  <c r="G339" i="2" s="1"/>
  <c r="L308" i="2"/>
  <c r="L296" i="2"/>
  <c r="P308" i="2"/>
  <c r="P296" i="2"/>
  <c r="M308" i="2"/>
  <c r="M296" i="2"/>
  <c r="S308" i="2"/>
  <c r="S296" i="2"/>
  <c r="I173" i="2"/>
  <c r="C144" i="2"/>
  <c r="I145" i="2"/>
  <c r="G243" i="2"/>
  <c r="H171" i="2"/>
  <c r="H270" i="2"/>
  <c r="H138" i="2"/>
  <c r="G282" i="2"/>
  <c r="G340" i="2" s="1"/>
  <c r="I125" i="2"/>
  <c r="C114" i="2"/>
  <c r="H308" i="2"/>
  <c r="H296" i="2"/>
  <c r="K308" i="2"/>
  <c r="K296" i="2"/>
  <c r="I128" i="2"/>
  <c r="J74" i="2"/>
  <c r="K184" i="2"/>
  <c r="L75" i="2"/>
  <c r="K124" i="2"/>
  <c r="K125" i="2" s="1"/>
  <c r="K145" i="2"/>
  <c r="K172" i="2" s="1"/>
  <c r="K148" i="2"/>
  <c r="K173" i="2" s="1"/>
  <c r="K151" i="2"/>
  <c r="C67" i="2"/>
  <c r="I68" i="2"/>
  <c r="N296" i="2"/>
  <c r="N308" i="2"/>
  <c r="G308" i="2"/>
  <c r="G296" i="2"/>
  <c r="H99" i="2"/>
  <c r="G99" i="2"/>
  <c r="J131" i="2"/>
  <c r="G137" i="2"/>
  <c r="G119" i="2"/>
  <c r="A89" i="2" l="1"/>
  <c r="M230" i="2"/>
  <c r="L264" i="2"/>
  <c r="C169" i="2"/>
  <c r="O296" i="2"/>
  <c r="C123" i="2"/>
  <c r="Q308" i="2"/>
  <c r="Q312" i="2" s="1"/>
  <c r="Q319" i="2" s="1"/>
  <c r="B156" i="2"/>
  <c r="N315" i="2"/>
  <c r="N312" i="2"/>
  <c r="N319" i="2" s="1"/>
  <c r="L184" i="2"/>
  <c r="L124" i="2"/>
  <c r="L125" i="2" s="1"/>
  <c r="M75" i="2"/>
  <c r="L148" i="2"/>
  <c r="L173" i="2" s="1"/>
  <c r="L151" i="2"/>
  <c r="L145" i="2"/>
  <c r="L172" i="2" s="1"/>
  <c r="H312" i="2"/>
  <c r="H319" i="2" s="1"/>
  <c r="H315" i="2"/>
  <c r="I271" i="2"/>
  <c r="I170" i="2"/>
  <c r="I131" i="2"/>
  <c r="I150" i="2"/>
  <c r="C135" i="2"/>
  <c r="J315" i="2"/>
  <c r="J312" i="2"/>
  <c r="J319" i="2" s="1"/>
  <c r="K271" i="2"/>
  <c r="K282" i="2" s="1"/>
  <c r="K340" i="2" s="1"/>
  <c r="K170" i="2"/>
  <c r="K131" i="2"/>
  <c r="I270" i="2"/>
  <c r="I171" i="2"/>
  <c r="I138" i="2"/>
  <c r="G294" i="2"/>
  <c r="G257" i="2"/>
  <c r="S312" i="2"/>
  <c r="S319" i="2" s="1"/>
  <c r="S315" i="2"/>
  <c r="P312" i="2"/>
  <c r="P319" i="2" s="1"/>
  <c r="P315" i="2"/>
  <c r="G81" i="2"/>
  <c r="G176" i="2"/>
  <c r="H115" i="2"/>
  <c r="H117" i="2"/>
  <c r="I304" i="2"/>
  <c r="C304" i="2" s="1"/>
  <c r="I79" i="2"/>
  <c r="I70" i="2"/>
  <c r="C70" i="2"/>
  <c r="F461" i="2" s="1"/>
  <c r="C68" i="2"/>
  <c r="A68" i="2" s="1"/>
  <c r="M70" i="2"/>
  <c r="J70" i="2"/>
  <c r="K70" i="2"/>
  <c r="Q70" i="2"/>
  <c r="N70" i="2"/>
  <c r="O70" i="2"/>
  <c r="L70" i="2"/>
  <c r="C71" i="2"/>
  <c r="R70" i="2"/>
  <c r="S70" i="2"/>
  <c r="P70" i="2"/>
  <c r="J128" i="2"/>
  <c r="K74" i="2"/>
  <c r="H281" i="2"/>
  <c r="H339" i="2" s="1"/>
  <c r="I172" i="2"/>
  <c r="R315" i="2"/>
  <c r="R312" i="2"/>
  <c r="R319" i="2" s="1"/>
  <c r="G312" i="2"/>
  <c r="G315" i="2"/>
  <c r="K312" i="2"/>
  <c r="K319" i="2" s="1"/>
  <c r="K315" i="2"/>
  <c r="M315" i="2"/>
  <c r="M312" i="2"/>
  <c r="M319" i="2" s="1"/>
  <c r="O312" i="2"/>
  <c r="O319" i="2" s="1"/>
  <c r="O315" i="2"/>
  <c r="L312" i="2"/>
  <c r="L319" i="2" s="1"/>
  <c r="L315" i="2"/>
  <c r="C96" i="2"/>
  <c r="I97" i="2"/>
  <c r="G139" i="2"/>
  <c r="B157" i="2" l="1"/>
  <c r="F492" i="2"/>
  <c r="N230" i="2"/>
  <c r="M264" i="2"/>
  <c r="Q315" i="2"/>
  <c r="G319" i="2"/>
  <c r="G214" i="2"/>
  <c r="G204" i="2"/>
  <c r="G233" i="2"/>
  <c r="J270" i="2"/>
  <c r="J171" i="2"/>
  <c r="J138" i="2"/>
  <c r="I151" i="2"/>
  <c r="C150" i="2"/>
  <c r="K128" i="2"/>
  <c r="L74" i="2"/>
  <c r="I80" i="2"/>
  <c r="C79" i="2"/>
  <c r="I281" i="2"/>
  <c r="I339" i="2" s="1"/>
  <c r="I282" i="2"/>
  <c r="I340" i="2" s="1"/>
  <c r="L271" i="2"/>
  <c r="L282" i="2" s="1"/>
  <c r="L340" i="2" s="1"/>
  <c r="L170" i="2"/>
  <c r="L131" i="2"/>
  <c r="I308" i="2"/>
  <c r="I296" i="2"/>
  <c r="C296" i="2" s="1"/>
  <c r="C100" i="2"/>
  <c r="L99" i="2"/>
  <c r="M99" i="2"/>
  <c r="J99" i="2"/>
  <c r="K99" i="2"/>
  <c r="P99" i="2"/>
  <c r="Q99" i="2"/>
  <c r="N99" i="2"/>
  <c r="O99" i="2"/>
  <c r="C99" i="2"/>
  <c r="C97" i="2"/>
  <c r="A97" i="2" s="1"/>
  <c r="R99" i="2"/>
  <c r="S99" i="2"/>
  <c r="I99" i="2"/>
  <c r="P20" i="2"/>
  <c r="H118" i="2"/>
  <c r="H137" i="2" s="1"/>
  <c r="G302" i="2"/>
  <c r="M184" i="2"/>
  <c r="M124" i="2"/>
  <c r="N75" i="2"/>
  <c r="M145" i="2"/>
  <c r="M151" i="2"/>
  <c r="M148" i="2"/>
  <c r="B158" i="2" l="1"/>
  <c r="O230" i="2"/>
  <c r="N264" i="2"/>
  <c r="H243" i="2"/>
  <c r="H257" i="2" s="1"/>
  <c r="M173" i="2"/>
  <c r="M125" i="2"/>
  <c r="I315" i="2"/>
  <c r="I312" i="2"/>
  <c r="C308" i="2"/>
  <c r="K270" i="2"/>
  <c r="K171" i="2"/>
  <c r="K138" i="2"/>
  <c r="N184" i="2"/>
  <c r="N187" i="2"/>
  <c r="N177" i="2" s="1"/>
  <c r="N191" i="2" s="1"/>
  <c r="O75" i="2"/>
  <c r="N124" i="2"/>
  <c r="N125" i="2" s="1"/>
  <c r="N148" i="2"/>
  <c r="N173" i="2" s="1"/>
  <c r="N145" i="2"/>
  <c r="N172" i="2" s="1"/>
  <c r="N151" i="2"/>
  <c r="L128" i="2"/>
  <c r="M74" i="2"/>
  <c r="G247" i="2"/>
  <c r="M172" i="2"/>
  <c r="H119" i="2"/>
  <c r="H176" i="2"/>
  <c r="H139" i="2"/>
  <c r="J80" i="2"/>
  <c r="I81" i="2" s="1"/>
  <c r="H81" i="2"/>
  <c r="J281" i="2"/>
  <c r="J339" i="2" s="1"/>
  <c r="B159" i="2" l="1"/>
  <c r="P230" i="2"/>
  <c r="O264" i="2"/>
  <c r="H294" i="2"/>
  <c r="I115" i="2"/>
  <c r="I116" i="2" s="1"/>
  <c r="I117" i="2"/>
  <c r="O187" i="2"/>
  <c r="O177" i="2" s="1"/>
  <c r="O191" i="2" s="1"/>
  <c r="O184" i="2"/>
  <c r="P75" i="2"/>
  <c r="O124" i="2"/>
  <c r="O148" i="2"/>
  <c r="O173" i="2" s="1"/>
  <c r="O145" i="2"/>
  <c r="O151" i="2"/>
  <c r="K281" i="2"/>
  <c r="K339" i="2" s="1"/>
  <c r="L171" i="2"/>
  <c r="L270" i="2"/>
  <c r="L138" i="2"/>
  <c r="N170" i="2"/>
  <c r="N271" i="2"/>
  <c r="N282" i="2" s="1"/>
  <c r="N340" i="2" s="1"/>
  <c r="N131" i="2"/>
  <c r="G325" i="2"/>
  <c r="C315" i="2"/>
  <c r="J325" i="2"/>
  <c r="I325" i="2"/>
  <c r="H325" i="2"/>
  <c r="K80" i="2"/>
  <c r="J81" i="2" s="1"/>
  <c r="M128" i="2"/>
  <c r="N74" i="2"/>
  <c r="I319" i="2"/>
  <c r="C312" i="2"/>
  <c r="H233" i="2"/>
  <c r="H214" i="2"/>
  <c r="H204" i="2"/>
  <c r="H302" i="2"/>
  <c r="M271" i="2"/>
  <c r="M170" i="2"/>
  <c r="M131" i="2"/>
  <c r="I404" i="2" l="1"/>
  <c r="S11" i="2"/>
  <c r="J404" i="2"/>
  <c r="T11" i="2"/>
  <c r="G404" i="2"/>
  <c r="Q11" i="2"/>
  <c r="H404" i="2"/>
  <c r="R11" i="2"/>
  <c r="B160" i="2"/>
  <c r="Q230" i="2"/>
  <c r="P264" i="2"/>
  <c r="I330" i="2"/>
  <c r="H330" i="2"/>
  <c r="G330" i="2"/>
  <c r="J330" i="2"/>
  <c r="C319" i="2"/>
  <c r="L281" i="2"/>
  <c r="L339" i="2" s="1"/>
  <c r="H247" i="2"/>
  <c r="O172" i="2"/>
  <c r="I118" i="2"/>
  <c r="M270" i="2"/>
  <c r="M171" i="2"/>
  <c r="M138" i="2"/>
  <c r="P187" i="2"/>
  <c r="P177" i="2" s="1"/>
  <c r="P191" i="2" s="1"/>
  <c r="P184" i="2"/>
  <c r="P124" i="2"/>
  <c r="P125" i="2" s="1"/>
  <c r="Q75" i="2"/>
  <c r="P145" i="2"/>
  <c r="P172" i="2" s="1"/>
  <c r="P148" i="2"/>
  <c r="P173" i="2" s="1"/>
  <c r="P151" i="2"/>
  <c r="M282" i="2"/>
  <c r="M340" i="2" s="1"/>
  <c r="N128" i="2"/>
  <c r="O74" i="2"/>
  <c r="L80" i="2"/>
  <c r="K81" i="2" s="1"/>
  <c r="O125" i="2"/>
  <c r="G442" i="2" l="1"/>
  <c r="Q12" i="2"/>
  <c r="J442" i="2"/>
  <c r="T12" i="2"/>
  <c r="H442" i="2"/>
  <c r="R12" i="2"/>
  <c r="I442" i="2"/>
  <c r="S12" i="2"/>
  <c r="B161" i="2"/>
  <c r="R230" i="2"/>
  <c r="Q264" i="2"/>
  <c r="O128" i="2"/>
  <c r="P74" i="2"/>
  <c r="O271" i="2"/>
  <c r="O170" i="2"/>
  <c r="O131" i="2"/>
  <c r="M281" i="2"/>
  <c r="M339" i="2" s="1"/>
  <c r="P271" i="2"/>
  <c r="P282" i="2" s="1"/>
  <c r="P340" i="2" s="1"/>
  <c r="P170" i="2"/>
  <c r="P131" i="2"/>
  <c r="I137" i="2"/>
  <c r="M80" i="2"/>
  <c r="N270" i="2"/>
  <c r="N171" i="2"/>
  <c r="N138" i="2"/>
  <c r="Q184" i="2"/>
  <c r="Q187" i="2"/>
  <c r="Q177" i="2" s="1"/>
  <c r="Q191" i="2" s="1"/>
  <c r="Q124" i="2"/>
  <c r="Q125" i="2" s="1"/>
  <c r="R75" i="2"/>
  <c r="Q145" i="2"/>
  <c r="Q172" i="2" s="1"/>
  <c r="Q151" i="2"/>
  <c r="Q148" i="2"/>
  <c r="Q173" i="2" s="1"/>
  <c r="I243" i="2"/>
  <c r="I119" i="2"/>
  <c r="S230" i="2" l="1"/>
  <c r="S264" i="2" s="1"/>
  <c r="R264" i="2"/>
  <c r="N80" i="2"/>
  <c r="M81" i="2" s="1"/>
  <c r="O282" i="2"/>
  <c r="O340" i="2" s="1"/>
  <c r="I294" i="2"/>
  <c r="I257" i="2"/>
  <c r="N281" i="2"/>
  <c r="N339" i="2" s="1"/>
  <c r="O270" i="2"/>
  <c r="O171" i="2"/>
  <c r="O138" i="2"/>
  <c r="J115" i="2"/>
  <c r="J116" i="2" s="1"/>
  <c r="J117" i="2"/>
  <c r="Q271" i="2"/>
  <c r="Q282" i="2" s="1"/>
  <c r="Q340" i="2" s="1"/>
  <c r="Q170" i="2"/>
  <c r="Q131" i="2"/>
  <c r="I176" i="2"/>
  <c r="I139" i="2"/>
  <c r="P128" i="2"/>
  <c r="Q74" i="2"/>
  <c r="R184" i="2"/>
  <c r="R187" i="2"/>
  <c r="R177" i="2" s="1"/>
  <c r="R191" i="2" s="1"/>
  <c r="S75" i="2"/>
  <c r="H142" i="2" s="1"/>
  <c r="R124" i="2"/>
  <c r="R125" i="2" s="1"/>
  <c r="R148" i="2"/>
  <c r="R173" i="2" s="1"/>
  <c r="R145" i="2"/>
  <c r="R172" i="2" s="1"/>
  <c r="R151" i="2"/>
  <c r="L81" i="2"/>
  <c r="R142" i="2" l="1"/>
  <c r="R161" i="2" s="1"/>
  <c r="K142" i="2"/>
  <c r="K154" i="2" s="1"/>
  <c r="H152" i="2"/>
  <c r="H153" i="2"/>
  <c r="L142" i="2"/>
  <c r="S142" i="2"/>
  <c r="S153" i="2" s="1"/>
  <c r="G142" i="2"/>
  <c r="N142" i="2"/>
  <c r="Q142" i="2"/>
  <c r="M142" i="2"/>
  <c r="I142" i="2"/>
  <c r="J142" i="2"/>
  <c r="P142" i="2"/>
  <c r="O142" i="2"/>
  <c r="Q128" i="2"/>
  <c r="R74" i="2"/>
  <c r="J118" i="2"/>
  <c r="J243" i="2" s="1"/>
  <c r="S187" i="2"/>
  <c r="S177" i="2" s="1"/>
  <c r="S191" i="2" s="1"/>
  <c r="S184" i="2"/>
  <c r="C184" i="2" s="1"/>
  <c r="S124" i="2"/>
  <c r="S145" i="2"/>
  <c r="S148" i="2"/>
  <c r="S151" i="2"/>
  <c r="C75" i="2"/>
  <c r="I233" i="2"/>
  <c r="I214" i="2"/>
  <c r="I204" i="2"/>
  <c r="O80" i="2"/>
  <c r="N81" i="2" s="1"/>
  <c r="R271" i="2"/>
  <c r="R282" i="2" s="1"/>
  <c r="R340" i="2" s="1"/>
  <c r="R170" i="2"/>
  <c r="R131" i="2"/>
  <c r="O281" i="2"/>
  <c r="O339" i="2" s="1"/>
  <c r="P270" i="2"/>
  <c r="P171" i="2"/>
  <c r="P138" i="2"/>
  <c r="I302" i="2"/>
  <c r="K156" i="2" l="1"/>
  <c r="K152" i="2"/>
  <c r="K153" i="2"/>
  <c r="K155" i="2"/>
  <c r="R158" i="2"/>
  <c r="R154" i="2"/>
  <c r="R156" i="2"/>
  <c r="R153" i="2"/>
  <c r="R155" i="2"/>
  <c r="R159" i="2"/>
  <c r="R157" i="2"/>
  <c r="R152" i="2"/>
  <c r="G152" i="2"/>
  <c r="G162" i="2" s="1"/>
  <c r="G165" i="2" s="1"/>
  <c r="G164" i="2"/>
  <c r="S152" i="2"/>
  <c r="H162" i="2"/>
  <c r="H174" i="2" s="1"/>
  <c r="H178" i="2" s="1"/>
  <c r="R160" i="2"/>
  <c r="M154" i="2"/>
  <c r="M155" i="2"/>
  <c r="M153" i="2"/>
  <c r="M156" i="2"/>
  <c r="M157" i="2"/>
  <c r="M152" i="2"/>
  <c r="M158" i="2"/>
  <c r="O156" i="2"/>
  <c r="O155" i="2"/>
  <c r="O157" i="2"/>
  <c r="O154" i="2"/>
  <c r="O158" i="2"/>
  <c r="O153" i="2"/>
  <c r="O152" i="2"/>
  <c r="O159" i="2"/>
  <c r="O160" i="2"/>
  <c r="I153" i="2"/>
  <c r="I154" i="2"/>
  <c r="I152" i="2"/>
  <c r="P156" i="2"/>
  <c r="P157" i="2"/>
  <c r="P155" i="2"/>
  <c r="P158" i="2"/>
  <c r="P154" i="2"/>
  <c r="P159" i="2"/>
  <c r="P153" i="2"/>
  <c r="P160" i="2"/>
  <c r="P152" i="2"/>
  <c r="P161" i="2"/>
  <c r="L154" i="2"/>
  <c r="L153" i="2"/>
  <c r="L156" i="2"/>
  <c r="L152" i="2"/>
  <c r="L157" i="2"/>
  <c r="L155" i="2"/>
  <c r="S158" i="2"/>
  <c r="S157" i="2"/>
  <c r="S159" i="2"/>
  <c r="S156" i="2"/>
  <c r="S155" i="2"/>
  <c r="S160" i="2"/>
  <c r="S154" i="2"/>
  <c r="S161" i="2"/>
  <c r="N155" i="2"/>
  <c r="N156" i="2"/>
  <c r="N154" i="2"/>
  <c r="N157" i="2"/>
  <c r="N153" i="2"/>
  <c r="N152" i="2"/>
  <c r="N158" i="2"/>
  <c r="N159" i="2"/>
  <c r="J154" i="2"/>
  <c r="J152" i="2"/>
  <c r="J155" i="2"/>
  <c r="J153" i="2"/>
  <c r="Q157" i="2"/>
  <c r="Q156" i="2"/>
  <c r="Q158" i="2"/>
  <c r="Q155" i="2"/>
  <c r="Q159" i="2"/>
  <c r="Q154" i="2"/>
  <c r="Q160" i="2"/>
  <c r="Q153" i="2"/>
  <c r="Q161" i="2"/>
  <c r="Q152" i="2"/>
  <c r="J119" i="2"/>
  <c r="K117" i="2" s="1"/>
  <c r="J294" i="2"/>
  <c r="J257" i="2"/>
  <c r="C151" i="2"/>
  <c r="P80" i="2"/>
  <c r="O81" i="2" s="1"/>
  <c r="I247" i="2"/>
  <c r="Q76" i="2"/>
  <c r="M76" i="2"/>
  <c r="I76" i="2"/>
  <c r="R76" i="2"/>
  <c r="N76" i="2"/>
  <c r="J76" i="2"/>
  <c r="S76" i="2"/>
  <c r="O76" i="2"/>
  <c r="K76" i="2"/>
  <c r="G76" i="2"/>
  <c r="P76" i="2"/>
  <c r="L76" i="2"/>
  <c r="H76" i="2"/>
  <c r="S125" i="2"/>
  <c r="C124" i="2"/>
  <c r="J137" i="2"/>
  <c r="S185" i="2"/>
  <c r="O185" i="2"/>
  <c r="K185" i="2"/>
  <c r="G185" i="2"/>
  <c r="P185" i="2"/>
  <c r="L185" i="2"/>
  <c r="H185" i="2"/>
  <c r="Q185" i="2"/>
  <c r="M185" i="2"/>
  <c r="I185" i="2"/>
  <c r="R185" i="2"/>
  <c r="N185" i="2"/>
  <c r="J185" i="2"/>
  <c r="I187" i="2"/>
  <c r="J187" i="2"/>
  <c r="J177" i="2" s="1"/>
  <c r="K187" i="2"/>
  <c r="K177" i="2" s="1"/>
  <c r="L187" i="2"/>
  <c r="L177" i="2" s="1"/>
  <c r="M187" i="2"/>
  <c r="M177" i="2" s="1"/>
  <c r="S172" i="2"/>
  <c r="C172" i="2" s="1"/>
  <c r="C145" i="2"/>
  <c r="Q270" i="2"/>
  <c r="Q171" i="2"/>
  <c r="Q138" i="2"/>
  <c r="P281" i="2"/>
  <c r="P339" i="2" s="1"/>
  <c r="S173" i="2"/>
  <c r="C173" i="2" s="1"/>
  <c r="C148" i="2"/>
  <c r="R128" i="2"/>
  <c r="S74" i="2"/>
  <c r="K162" i="2" l="1"/>
  <c r="K174" i="2" s="1"/>
  <c r="K192" i="2" s="1"/>
  <c r="R162" i="2"/>
  <c r="R174" i="2" s="1"/>
  <c r="R192" i="2" s="1"/>
  <c r="G174" i="2"/>
  <c r="G178" i="2" s="1"/>
  <c r="G166" i="2"/>
  <c r="H164" i="2" s="1"/>
  <c r="H165" i="2"/>
  <c r="H192" i="2"/>
  <c r="C153" i="2"/>
  <c r="C156" i="2"/>
  <c r="C157" i="2"/>
  <c r="Q162" i="2"/>
  <c r="Q174" i="2" s="1"/>
  <c r="Q192" i="2" s="1"/>
  <c r="N162" i="2"/>
  <c r="N174" i="2" s="1"/>
  <c r="N192" i="2" s="1"/>
  <c r="C159" i="2"/>
  <c r="H190" i="2"/>
  <c r="C160" i="2"/>
  <c r="P162" i="2"/>
  <c r="P174" i="2" s="1"/>
  <c r="P192" i="2" s="1"/>
  <c r="C161" i="2"/>
  <c r="C155" i="2"/>
  <c r="M162" i="2"/>
  <c r="M174" i="2" s="1"/>
  <c r="M192" i="2" s="1"/>
  <c r="C158" i="2"/>
  <c r="C154" i="2"/>
  <c r="J162" i="2"/>
  <c r="J174" i="2" s="1"/>
  <c r="J192" i="2" s="1"/>
  <c r="I162" i="2"/>
  <c r="L162" i="2"/>
  <c r="L174" i="2" s="1"/>
  <c r="L192" i="2" s="1"/>
  <c r="O162" i="2"/>
  <c r="O174" i="2" s="1"/>
  <c r="O192" i="2" s="1"/>
  <c r="J186" i="2"/>
  <c r="J235" i="2" s="1"/>
  <c r="J249" i="2" s="1"/>
  <c r="H186" i="2"/>
  <c r="H235" i="2" s="1"/>
  <c r="P186" i="2"/>
  <c r="P311" i="2" s="1"/>
  <c r="P318" i="2" s="1"/>
  <c r="L186" i="2"/>
  <c r="L216" i="2" s="1"/>
  <c r="Q186" i="2"/>
  <c r="Q216" i="2" s="1"/>
  <c r="R186" i="2"/>
  <c r="R235" i="2" s="1"/>
  <c r="R249" i="2" s="1"/>
  <c r="K186" i="2"/>
  <c r="K311" i="2" s="1"/>
  <c r="K318" i="2" s="1"/>
  <c r="M186" i="2"/>
  <c r="M216" i="2" s="1"/>
  <c r="S186" i="2"/>
  <c r="S235" i="2" s="1"/>
  <c r="S249" i="2" s="1"/>
  <c r="I186" i="2"/>
  <c r="I311" i="2" s="1"/>
  <c r="I318" i="2" s="1"/>
  <c r="O186" i="2"/>
  <c r="O311" i="2" s="1"/>
  <c r="O318" i="2" s="1"/>
  <c r="N186" i="2"/>
  <c r="N311" i="2" s="1"/>
  <c r="N318" i="2" s="1"/>
  <c r="K115" i="2"/>
  <c r="S162" i="2"/>
  <c r="C152" i="2"/>
  <c r="K191" i="2"/>
  <c r="G186" i="2"/>
  <c r="C185" i="2"/>
  <c r="J176" i="2"/>
  <c r="J139" i="2"/>
  <c r="S271" i="2"/>
  <c r="S170" i="2"/>
  <c r="S131" i="2"/>
  <c r="C125" i="2"/>
  <c r="Q80" i="2"/>
  <c r="P81" i="2" s="1"/>
  <c r="J302" i="2"/>
  <c r="C76" i="2"/>
  <c r="R270" i="2"/>
  <c r="R171" i="2"/>
  <c r="R138" i="2"/>
  <c r="Q281" i="2"/>
  <c r="Q339" i="2" s="1"/>
  <c r="L191" i="2"/>
  <c r="J191" i="2"/>
  <c r="S128" i="2"/>
  <c r="C74" i="2"/>
  <c r="M191" i="2"/>
  <c r="I177" i="2"/>
  <c r="C187" i="2"/>
  <c r="K118" i="2" l="1"/>
  <c r="K116" i="2"/>
  <c r="G192" i="2"/>
  <c r="N235" i="2"/>
  <c r="N249" i="2" s="1"/>
  <c r="G193" i="2"/>
  <c r="G215" i="2"/>
  <c r="G234" i="2"/>
  <c r="G205" i="2"/>
  <c r="H166" i="2"/>
  <c r="H234" i="2" s="1"/>
  <c r="I165" i="2"/>
  <c r="J165" i="2" s="1"/>
  <c r="K165" i="2" s="1"/>
  <c r="L165" i="2" s="1"/>
  <c r="M165" i="2" s="1"/>
  <c r="N165" i="2" s="1"/>
  <c r="O165" i="2" s="1"/>
  <c r="P165" i="2" s="1"/>
  <c r="Q165" i="2" s="1"/>
  <c r="R165" i="2" s="1"/>
  <c r="S165" i="2" s="1"/>
  <c r="J216" i="2"/>
  <c r="S216" i="2"/>
  <c r="L235" i="2"/>
  <c r="L249" i="2" s="1"/>
  <c r="I174" i="2"/>
  <c r="I192" i="2" s="1"/>
  <c r="G190" i="2"/>
  <c r="G180" i="2"/>
  <c r="J178" i="2"/>
  <c r="J190" i="2" s="1"/>
  <c r="P235" i="2"/>
  <c r="P249" i="2" s="1"/>
  <c r="O216" i="2"/>
  <c r="H216" i="2"/>
  <c r="O235" i="2"/>
  <c r="O249" i="2" s="1"/>
  <c r="R216" i="2"/>
  <c r="K216" i="2"/>
  <c r="I216" i="2"/>
  <c r="I235" i="2"/>
  <c r="I249" i="2" s="1"/>
  <c r="H311" i="2"/>
  <c r="H318" i="2" s="1"/>
  <c r="Q311" i="2"/>
  <c r="Q318" i="2" s="1"/>
  <c r="N216" i="2"/>
  <c r="L311" i="2"/>
  <c r="L318" i="2" s="1"/>
  <c r="M311" i="2"/>
  <c r="M318" i="2" s="1"/>
  <c r="M235" i="2"/>
  <c r="M249" i="2" s="1"/>
  <c r="S311" i="2"/>
  <c r="S318" i="2" s="1"/>
  <c r="Q235" i="2"/>
  <c r="Q249" i="2" s="1"/>
  <c r="P216" i="2"/>
  <c r="J311" i="2"/>
  <c r="J318" i="2" s="1"/>
  <c r="R311" i="2"/>
  <c r="R318" i="2" s="1"/>
  <c r="K235" i="2"/>
  <c r="K249" i="2" s="1"/>
  <c r="S282" i="2"/>
  <c r="C271" i="2"/>
  <c r="G235" i="2"/>
  <c r="G216" i="2"/>
  <c r="C186" i="2"/>
  <c r="G311" i="2"/>
  <c r="S174" i="2"/>
  <c r="C162" i="2"/>
  <c r="I191" i="2"/>
  <c r="C191" i="2" s="1"/>
  <c r="C177" i="2"/>
  <c r="S270" i="2"/>
  <c r="S171" i="2"/>
  <c r="C171" i="2" s="1"/>
  <c r="S138" i="2"/>
  <c r="C138" i="2" s="1"/>
  <c r="C128" i="2"/>
  <c r="C170" i="2"/>
  <c r="H249" i="2"/>
  <c r="C131" i="2"/>
  <c r="R281" i="2"/>
  <c r="R339" i="2" s="1"/>
  <c r="R80" i="2"/>
  <c r="Q81" i="2" s="1"/>
  <c r="J233" i="2"/>
  <c r="J214" i="2"/>
  <c r="J204" i="2"/>
  <c r="K137" i="2" l="1"/>
  <c r="K176" i="2" s="1"/>
  <c r="K178" i="2" s="1"/>
  <c r="K190" i="2" s="1"/>
  <c r="K243" i="2"/>
  <c r="K119" i="2"/>
  <c r="L117" i="2" s="1"/>
  <c r="H205" i="2"/>
  <c r="H215" i="2"/>
  <c r="H293" i="2"/>
  <c r="H193" i="2"/>
  <c r="I164" i="2"/>
  <c r="I166" i="2" s="1"/>
  <c r="I178" i="2"/>
  <c r="I190" i="2" s="1"/>
  <c r="H179" i="2"/>
  <c r="H180" i="2" s="1"/>
  <c r="G181" i="2"/>
  <c r="G293" i="2"/>
  <c r="G248" i="2"/>
  <c r="G301" i="2" s="1"/>
  <c r="C282" i="2"/>
  <c r="S340" i="2"/>
  <c r="C216" i="2"/>
  <c r="S80" i="2"/>
  <c r="R81" i="2" s="1"/>
  <c r="S192" i="2"/>
  <c r="C192" i="2" s="1"/>
  <c r="C174" i="2"/>
  <c r="G318" i="2"/>
  <c r="C311" i="2"/>
  <c r="J247" i="2"/>
  <c r="S281" i="2"/>
  <c r="S339" i="2" s="1"/>
  <c r="C339" i="2" s="1"/>
  <c r="F368" i="2" s="1"/>
  <c r="C270" i="2"/>
  <c r="C235" i="2"/>
  <c r="G249" i="2"/>
  <c r="K139" i="2" l="1"/>
  <c r="K214" i="2" s="1"/>
  <c r="L115" i="2"/>
  <c r="K294" i="2"/>
  <c r="K257" i="2"/>
  <c r="K302" i="2" s="1"/>
  <c r="L116" i="2"/>
  <c r="I215" i="2"/>
  <c r="I234" i="2"/>
  <c r="I193" i="2"/>
  <c r="I205" i="2"/>
  <c r="H248" i="2"/>
  <c r="H301" i="2" s="1"/>
  <c r="J164" i="2"/>
  <c r="I179" i="2"/>
  <c r="I180" i="2" s="1"/>
  <c r="I181" i="2" s="1"/>
  <c r="H181" i="2"/>
  <c r="G236" i="2"/>
  <c r="G250" i="2" s="1"/>
  <c r="G195" i="2"/>
  <c r="G196" i="2" s="1"/>
  <c r="G198" i="2" s="1"/>
  <c r="G217" i="2"/>
  <c r="G272" i="2"/>
  <c r="G283" i="2" s="1"/>
  <c r="G341" i="2" s="1"/>
  <c r="G206" i="2"/>
  <c r="C340" i="2"/>
  <c r="F369" i="2" s="1"/>
  <c r="C318" i="2"/>
  <c r="G328" i="2"/>
  <c r="I328" i="2"/>
  <c r="J328" i="2"/>
  <c r="H328" i="2"/>
  <c r="S81" i="2"/>
  <c r="C81" i="2" s="1"/>
  <c r="C80" i="2"/>
  <c r="C249" i="2"/>
  <c r="C281" i="2"/>
  <c r="K233" i="2" l="1"/>
  <c r="K204" i="2"/>
  <c r="L118" i="2"/>
  <c r="L119" i="2" s="1"/>
  <c r="J166" i="2"/>
  <c r="J179" i="2"/>
  <c r="J180" i="2" s="1"/>
  <c r="K179" i="2" s="1"/>
  <c r="K180" i="2" s="1"/>
  <c r="G199" i="2"/>
  <c r="H197" i="2"/>
  <c r="I293" i="2"/>
  <c r="I248" i="2"/>
  <c r="I301" i="2" s="1"/>
  <c r="G210" i="2"/>
  <c r="G207" i="2"/>
  <c r="H217" i="2"/>
  <c r="H272" i="2"/>
  <c r="H283" i="2" s="1"/>
  <c r="H341" i="2" s="1"/>
  <c r="H195" i="2"/>
  <c r="H196" i="2" s="1"/>
  <c r="H236" i="2"/>
  <c r="H250" i="2" s="1"/>
  <c r="H206" i="2"/>
  <c r="H210" i="2" s="1"/>
  <c r="K247" i="2"/>
  <c r="I272" i="2"/>
  <c r="I236" i="2"/>
  <c r="I217" i="2"/>
  <c r="I195" i="2"/>
  <c r="I206" i="2"/>
  <c r="L243" i="2" l="1"/>
  <c r="L294" i="2" s="1"/>
  <c r="M117" i="2"/>
  <c r="M115" i="2"/>
  <c r="L137" i="2"/>
  <c r="M116" i="2"/>
  <c r="L257" i="2"/>
  <c r="L302" i="2" s="1"/>
  <c r="J215" i="2"/>
  <c r="J234" i="2"/>
  <c r="J248" i="2" s="1"/>
  <c r="J301" i="2" s="1"/>
  <c r="J193" i="2"/>
  <c r="J205" i="2"/>
  <c r="K164" i="2"/>
  <c r="K166" i="2" s="1"/>
  <c r="K234" i="2" s="1"/>
  <c r="J181" i="2"/>
  <c r="J206" i="2" s="1"/>
  <c r="J210" i="2" s="1"/>
  <c r="H198" i="2"/>
  <c r="H199" i="2" s="1"/>
  <c r="G211" i="2"/>
  <c r="H211" i="2"/>
  <c r="G237" i="2"/>
  <c r="G251" i="2" s="1"/>
  <c r="G273" i="2"/>
  <c r="G284" i="2" s="1"/>
  <c r="G342" i="2" s="1"/>
  <c r="G218" i="2"/>
  <c r="H202" i="2"/>
  <c r="G208" i="2"/>
  <c r="I210" i="2"/>
  <c r="I283" i="2"/>
  <c r="I341" i="2" s="1"/>
  <c r="I250" i="2"/>
  <c r="K181" i="2"/>
  <c r="L179" i="2"/>
  <c r="I196" i="2"/>
  <c r="M118" i="2" l="1"/>
  <c r="M137" i="2" s="1"/>
  <c r="M176" i="2" s="1"/>
  <c r="M178" i="2" s="1"/>
  <c r="M190" i="2" s="1"/>
  <c r="L176" i="2"/>
  <c r="L178" i="2" s="1"/>
  <c r="L190" i="2" s="1"/>
  <c r="L139" i="2"/>
  <c r="M119" i="2"/>
  <c r="N115" i="2" s="1"/>
  <c r="N116" i="2" s="1"/>
  <c r="M243" i="2"/>
  <c r="K205" i="2"/>
  <c r="K215" i="2"/>
  <c r="K293" i="2"/>
  <c r="K193" i="2"/>
  <c r="L164" i="2"/>
  <c r="L166" i="2" s="1"/>
  <c r="L234" i="2" s="1"/>
  <c r="J293" i="2"/>
  <c r="J217" i="2"/>
  <c r="J236" i="2"/>
  <c r="J250" i="2" s="1"/>
  <c r="J272" i="2"/>
  <c r="J283" i="2" s="1"/>
  <c r="J341" i="2" s="1"/>
  <c r="J195" i="2"/>
  <c r="J196" i="2" s="1"/>
  <c r="I197" i="2"/>
  <c r="I198" i="2" s="1"/>
  <c r="H218" i="2"/>
  <c r="H273" i="2"/>
  <c r="H284" i="2" s="1"/>
  <c r="H342" i="2" s="1"/>
  <c r="H237" i="2"/>
  <c r="H251" i="2" s="1"/>
  <c r="H203" i="2"/>
  <c r="H207" i="2" s="1"/>
  <c r="G219" i="2"/>
  <c r="G220" i="2" s="1"/>
  <c r="G238" i="2"/>
  <c r="G252" i="2" s="1"/>
  <c r="G274" i="2"/>
  <c r="G285" i="2" s="1"/>
  <c r="G343" i="2" s="1"/>
  <c r="J211" i="2"/>
  <c r="I211" i="2"/>
  <c r="K272" i="2"/>
  <c r="K206" i="2"/>
  <c r="K210" i="2" s="1"/>
  <c r="K217" i="2"/>
  <c r="K236" i="2"/>
  <c r="K195" i="2"/>
  <c r="M139" i="2" l="1"/>
  <c r="M204" i="2" s="1"/>
  <c r="L180" i="2"/>
  <c r="L204" i="2"/>
  <c r="L233" i="2"/>
  <c r="L247" i="2" s="1"/>
  <c r="L214" i="2"/>
  <c r="N117" i="2"/>
  <c r="N118" i="2" s="1"/>
  <c r="N119" i="2" s="1"/>
  <c r="O115" i="2" s="1"/>
  <c r="M294" i="2"/>
  <c r="M257" i="2"/>
  <c r="M302" i="2" s="1"/>
  <c r="L205" i="2"/>
  <c r="L215" i="2"/>
  <c r="M164" i="2"/>
  <c r="M166" i="2" s="1"/>
  <c r="L193" i="2"/>
  <c r="K248" i="2"/>
  <c r="K301" i="2" s="1"/>
  <c r="K196" i="2"/>
  <c r="L293" i="2"/>
  <c r="I202" i="2"/>
  <c r="H208" i="2"/>
  <c r="G221" i="2"/>
  <c r="G223" i="2" s="1"/>
  <c r="G224" i="2" s="1"/>
  <c r="K211" i="2"/>
  <c r="K250" i="2"/>
  <c r="K283" i="2"/>
  <c r="K341" i="2" s="1"/>
  <c r="J197" i="2"/>
  <c r="J198" i="2" s="1"/>
  <c r="I199" i="2"/>
  <c r="M233" i="2" l="1"/>
  <c r="M247" i="2" s="1"/>
  <c r="M214" i="2"/>
  <c r="O117" i="2"/>
  <c r="O118" i="2" s="1"/>
  <c r="M179" i="2"/>
  <c r="M180" i="2" s="1"/>
  <c r="L181" i="2"/>
  <c r="N243" i="2"/>
  <c r="N294" i="2" s="1"/>
  <c r="N137" i="2"/>
  <c r="N139" i="2" s="1"/>
  <c r="N214" i="2" s="1"/>
  <c r="M215" i="2"/>
  <c r="M234" i="2"/>
  <c r="M293" i="2" s="1"/>
  <c r="M193" i="2"/>
  <c r="M205" i="2"/>
  <c r="N164" i="2"/>
  <c r="N166" i="2" s="1"/>
  <c r="L248" i="2"/>
  <c r="L301" i="2" s="1"/>
  <c r="H238" i="2"/>
  <c r="H274" i="2"/>
  <c r="H219" i="2"/>
  <c r="H220" i="2" s="1"/>
  <c r="G225" i="2"/>
  <c r="G226" i="2" s="1"/>
  <c r="G239" i="2"/>
  <c r="G253" i="2" s="1"/>
  <c r="G275" i="2"/>
  <c r="G286" i="2" s="1"/>
  <c r="G344" i="2" s="1"/>
  <c r="I203" i="2"/>
  <c r="I207" i="2" s="1"/>
  <c r="K197" i="2"/>
  <c r="K198" i="2" s="1"/>
  <c r="J199" i="2"/>
  <c r="O116" i="2"/>
  <c r="I273" i="2"/>
  <c r="I237" i="2"/>
  <c r="I218" i="2"/>
  <c r="N257" i="2" l="1"/>
  <c r="N302" i="2" s="1"/>
  <c r="N176" i="2"/>
  <c r="N178" i="2" s="1"/>
  <c r="M181" i="2"/>
  <c r="N179" i="2"/>
  <c r="N204" i="2"/>
  <c r="N233" i="2"/>
  <c r="N247" i="2" s="1"/>
  <c r="L217" i="2"/>
  <c r="L236" i="2"/>
  <c r="L250" i="2" s="1"/>
  <c r="L195" i="2"/>
  <c r="L196" i="2" s="1"/>
  <c r="L206" i="2"/>
  <c r="L210" i="2" s="1"/>
  <c r="L211" i="2" s="1"/>
  <c r="L272" i="2"/>
  <c r="L283" i="2" s="1"/>
  <c r="L341" i="2" s="1"/>
  <c r="N215" i="2"/>
  <c r="N234" i="2"/>
  <c r="N248" i="2" s="1"/>
  <c r="N301" i="2" s="1"/>
  <c r="N193" i="2"/>
  <c r="N205" i="2"/>
  <c r="M248" i="2"/>
  <c r="M301" i="2" s="1"/>
  <c r="O164" i="2"/>
  <c r="O166" i="2" s="1"/>
  <c r="I208" i="2"/>
  <c r="J202" i="2"/>
  <c r="J203" i="2" s="1"/>
  <c r="J207" i="2" s="1"/>
  <c r="H285" i="2"/>
  <c r="H252" i="2"/>
  <c r="G240" i="2"/>
  <c r="G276" i="2"/>
  <c r="G228" i="2"/>
  <c r="H221" i="2"/>
  <c r="H223" i="2" s="1"/>
  <c r="H224" i="2" s="1"/>
  <c r="N190" i="2"/>
  <c r="O119" i="2"/>
  <c r="P115" i="2" s="1"/>
  <c r="I284" i="2"/>
  <c r="I342" i="2" s="1"/>
  <c r="J237" i="2"/>
  <c r="J273" i="2"/>
  <c r="J218" i="2"/>
  <c r="I251" i="2"/>
  <c r="L197" i="2"/>
  <c r="K199" i="2"/>
  <c r="O243" i="2"/>
  <c r="O137" i="2"/>
  <c r="N180" i="2" l="1"/>
  <c r="O179" i="2" s="1"/>
  <c r="L198" i="2"/>
  <c r="L199" i="2" s="1"/>
  <c r="M195" i="2"/>
  <c r="M196" i="2" s="1"/>
  <c r="M206" i="2"/>
  <c r="M210" i="2" s="1"/>
  <c r="M211" i="2" s="1"/>
  <c r="M217" i="2"/>
  <c r="M272" i="2"/>
  <c r="M283" i="2" s="1"/>
  <c r="M341" i="2" s="1"/>
  <c r="M236" i="2"/>
  <c r="M250" i="2" s="1"/>
  <c r="O215" i="2"/>
  <c r="O234" i="2"/>
  <c r="O293" i="2" s="1"/>
  <c r="O193" i="2"/>
  <c r="O205" i="2"/>
  <c r="N293" i="2"/>
  <c r="P164" i="2"/>
  <c r="P166" i="2" s="1"/>
  <c r="P234" i="2" s="1"/>
  <c r="G277" i="2"/>
  <c r="G287" i="2"/>
  <c r="I219" i="2"/>
  <c r="I220" i="2" s="1"/>
  <c r="I221" i="2" s="1"/>
  <c r="I238" i="2"/>
  <c r="I252" i="2" s="1"/>
  <c r="I274" i="2"/>
  <c r="I285" i="2" s="1"/>
  <c r="I343" i="2" s="1"/>
  <c r="K202" i="2"/>
  <c r="K203" i="2" s="1"/>
  <c r="K207" i="2" s="1"/>
  <c r="L202" i="2" s="1"/>
  <c r="J208" i="2"/>
  <c r="H343" i="2"/>
  <c r="C165" i="2"/>
  <c r="H225" i="2"/>
  <c r="H226" i="2" s="1"/>
  <c r="H239" i="2"/>
  <c r="H275" i="2"/>
  <c r="G241" i="2"/>
  <c r="G254" i="2"/>
  <c r="G255" i="2" s="1"/>
  <c r="G260" i="2" s="1"/>
  <c r="G265" i="2" s="1"/>
  <c r="G266" i="2" s="1"/>
  <c r="P117" i="2"/>
  <c r="P118" i="2" s="1"/>
  <c r="P116" i="2"/>
  <c r="O176" i="2"/>
  <c r="O178" i="2" s="1"/>
  <c r="O139" i="2"/>
  <c r="O294" i="2"/>
  <c r="O257" i="2"/>
  <c r="O302" i="2" s="1"/>
  <c r="K273" i="2"/>
  <c r="K237" i="2"/>
  <c r="K218" i="2"/>
  <c r="J251" i="2"/>
  <c r="J284" i="2"/>
  <c r="J342" i="2" s="1"/>
  <c r="M197" i="2" l="1"/>
  <c r="M198" i="2" s="1"/>
  <c r="N181" i="2"/>
  <c r="N272" i="2" s="1"/>
  <c r="N283" i="2" s="1"/>
  <c r="N341" i="2" s="1"/>
  <c r="O248" i="2"/>
  <c r="O301" i="2" s="1"/>
  <c r="P205" i="2"/>
  <c r="P215" i="2"/>
  <c r="Q164" i="2"/>
  <c r="P193" i="2"/>
  <c r="P248" i="2"/>
  <c r="P301" i="2" s="1"/>
  <c r="K208" i="2"/>
  <c r="K274" i="2" s="1"/>
  <c r="H240" i="2"/>
  <c r="H254" i="2" s="1"/>
  <c r="H276" i="2"/>
  <c r="H287" i="2" s="1"/>
  <c r="H345" i="2" s="1"/>
  <c r="H228" i="2"/>
  <c r="H310" i="2" s="1"/>
  <c r="H317" i="2" s="1"/>
  <c r="G345" i="2"/>
  <c r="G346" i="2" s="1"/>
  <c r="G378" i="2" s="1"/>
  <c r="G288" i="2"/>
  <c r="G289" i="2" s="1"/>
  <c r="G261" i="2"/>
  <c r="J238" i="2"/>
  <c r="J252" i="2" s="1"/>
  <c r="J219" i="2"/>
  <c r="J220" i="2" s="1"/>
  <c r="J221" i="2" s="1"/>
  <c r="J223" i="2" s="1"/>
  <c r="J224" i="2" s="1"/>
  <c r="J225" i="2" s="1"/>
  <c r="J226" i="2" s="1"/>
  <c r="J274" i="2"/>
  <c r="J285" i="2" s="1"/>
  <c r="J343" i="2" s="1"/>
  <c r="G292" i="2"/>
  <c r="G310" i="2"/>
  <c r="G317" i="2" s="1"/>
  <c r="G321" i="2" s="1"/>
  <c r="G309" i="2"/>
  <c r="G316" i="2" s="1"/>
  <c r="G278" i="2"/>
  <c r="H253" i="2"/>
  <c r="H286" i="2"/>
  <c r="P119" i="2"/>
  <c r="Q117" i="2" s="1"/>
  <c r="O190" i="2"/>
  <c r="O180" i="2"/>
  <c r="L203" i="2"/>
  <c r="L207" i="2" s="1"/>
  <c r="K251" i="2"/>
  <c r="O233" i="2"/>
  <c r="O214" i="2"/>
  <c r="O204" i="2"/>
  <c r="L237" i="2"/>
  <c r="L273" i="2"/>
  <c r="L218" i="2"/>
  <c r="I223" i="2"/>
  <c r="K284" i="2"/>
  <c r="K342" i="2" s="1"/>
  <c r="P243" i="2"/>
  <c r="P137" i="2"/>
  <c r="N206" i="2" l="1"/>
  <c r="N210" i="2" s="1"/>
  <c r="N211" i="2" s="1"/>
  <c r="M199" i="2"/>
  <c r="M218" i="2" s="1"/>
  <c r="N197" i="2"/>
  <c r="N195" i="2"/>
  <c r="N196" i="2" s="1"/>
  <c r="N217" i="2"/>
  <c r="N236" i="2"/>
  <c r="N250" i="2" s="1"/>
  <c r="H321" i="2"/>
  <c r="P293" i="2"/>
  <c r="Q166" i="2"/>
  <c r="Q234" i="2" s="1"/>
  <c r="H241" i="2"/>
  <c r="H255" i="2"/>
  <c r="H260" i="2" s="1"/>
  <c r="H265" i="2" s="1"/>
  <c r="H266" i="2" s="1"/>
  <c r="G267" i="2" s="1"/>
  <c r="K238" i="2"/>
  <c r="K252" i="2" s="1"/>
  <c r="K219" i="2"/>
  <c r="K220" i="2" s="1"/>
  <c r="K221" i="2" s="1"/>
  <c r="H344" i="2"/>
  <c r="H346" i="2" s="1"/>
  <c r="H378" i="2" s="1"/>
  <c r="H288" i="2"/>
  <c r="H289" i="2" s="1"/>
  <c r="H277" i="2"/>
  <c r="G295" i="2"/>
  <c r="G297" i="2" s="1"/>
  <c r="G300" i="2"/>
  <c r="G303" i="2" s="1"/>
  <c r="G305" i="2" s="1"/>
  <c r="Q115" i="2"/>
  <c r="Q118" i="2" s="1"/>
  <c r="J240" i="2"/>
  <c r="J276" i="2"/>
  <c r="J287" i="2" s="1"/>
  <c r="J345" i="2" s="1"/>
  <c r="J228" i="2"/>
  <c r="J310" i="2" s="1"/>
  <c r="J317" i="2" s="1"/>
  <c r="J321" i="2" s="1"/>
  <c r="M202" i="2"/>
  <c r="L208" i="2"/>
  <c r="L251" i="2"/>
  <c r="P294" i="2"/>
  <c r="P257" i="2"/>
  <c r="P302" i="2" s="1"/>
  <c r="I224" i="2"/>
  <c r="I225" i="2" s="1"/>
  <c r="O247" i="2"/>
  <c r="P176" i="2"/>
  <c r="P178" i="2" s="1"/>
  <c r="P139" i="2"/>
  <c r="K285" i="2"/>
  <c r="K343" i="2" s="1"/>
  <c r="L284" i="2"/>
  <c r="L342" i="2" s="1"/>
  <c r="J239" i="2"/>
  <c r="J275" i="2"/>
  <c r="O181" i="2"/>
  <c r="P179" i="2"/>
  <c r="N198" i="2" l="1"/>
  <c r="N199" i="2" s="1"/>
  <c r="N237" i="2" s="1"/>
  <c r="M237" i="2"/>
  <c r="M251" i="2" s="1"/>
  <c r="M273" i="2"/>
  <c r="M284" i="2" s="1"/>
  <c r="M342" i="2" s="1"/>
  <c r="Q205" i="2"/>
  <c r="Q215" i="2"/>
  <c r="Q193" i="2"/>
  <c r="R164" i="2"/>
  <c r="H292" i="2"/>
  <c r="H300" i="2" s="1"/>
  <c r="H303" i="2" s="1"/>
  <c r="H305" i="2" s="1"/>
  <c r="H261" i="2"/>
  <c r="G262" i="2" s="1"/>
  <c r="H278" i="2"/>
  <c r="H309" i="2"/>
  <c r="H316" i="2" s="1"/>
  <c r="J254" i="2"/>
  <c r="J241" i="2"/>
  <c r="Q116" i="2"/>
  <c r="Q243" i="2" s="1"/>
  <c r="L238" i="2"/>
  <c r="L274" i="2"/>
  <c r="L219" i="2"/>
  <c r="L220" i="2" s="1"/>
  <c r="O272" i="2"/>
  <c r="O236" i="2"/>
  <c r="O206" i="2"/>
  <c r="O210" i="2" s="1"/>
  <c r="O211" i="2" s="1"/>
  <c r="O217" i="2"/>
  <c r="O195" i="2"/>
  <c r="O196" i="2" s="1"/>
  <c r="I226" i="2"/>
  <c r="J286" i="2"/>
  <c r="J277" i="2"/>
  <c r="P233" i="2"/>
  <c r="P214" i="2"/>
  <c r="P204" i="2"/>
  <c r="J253" i="2"/>
  <c r="P190" i="2"/>
  <c r="P180" i="2"/>
  <c r="I275" i="2"/>
  <c r="I239" i="2"/>
  <c r="K223" i="2"/>
  <c r="M203" i="2"/>
  <c r="M207" i="2" s="1"/>
  <c r="N273" i="2" l="1"/>
  <c r="N218" i="2"/>
  <c r="O197" i="2"/>
  <c r="O198" i="2" s="1"/>
  <c r="O199" i="2" s="1"/>
  <c r="R166" i="2"/>
  <c r="R234" i="2" s="1"/>
  <c r="C164" i="2"/>
  <c r="Q293" i="2"/>
  <c r="Q248" i="2"/>
  <c r="Q301" i="2" s="1"/>
  <c r="H295" i="2"/>
  <c r="H297" i="2" s="1"/>
  <c r="J255" i="2"/>
  <c r="J260" i="2" s="1"/>
  <c r="J265" i="2" s="1"/>
  <c r="J288" i="2"/>
  <c r="J289" i="2" s="1"/>
  <c r="J344" i="2"/>
  <c r="J346" i="2" s="1"/>
  <c r="J378" i="2" s="1"/>
  <c r="J292" i="2"/>
  <c r="Q137" i="2"/>
  <c r="Q139" i="2" s="1"/>
  <c r="Q119" i="2"/>
  <c r="N202" i="2"/>
  <c r="M208" i="2"/>
  <c r="I286" i="2"/>
  <c r="I344" i="2" s="1"/>
  <c r="L221" i="2"/>
  <c r="N284" i="2"/>
  <c r="N342" i="2" s="1"/>
  <c r="P247" i="2"/>
  <c r="O250" i="2"/>
  <c r="L252" i="2"/>
  <c r="Q294" i="2"/>
  <c r="Q257" i="2"/>
  <c r="Q302" i="2" s="1"/>
  <c r="P181" i="2"/>
  <c r="Q179" i="2"/>
  <c r="I276" i="2"/>
  <c r="I277" i="2" s="1"/>
  <c r="I240" i="2"/>
  <c r="I241" i="2" s="1"/>
  <c r="I228" i="2"/>
  <c r="L285" i="2"/>
  <c r="L343" i="2" s="1"/>
  <c r="K224" i="2"/>
  <c r="I253" i="2"/>
  <c r="N251" i="2"/>
  <c r="J309" i="2"/>
  <c r="J316" i="2" s="1"/>
  <c r="J278" i="2"/>
  <c r="O283" i="2"/>
  <c r="O341" i="2" s="1"/>
  <c r="R205" i="2" l="1"/>
  <c r="R215" i="2"/>
  <c r="R193" i="2"/>
  <c r="S164" i="2"/>
  <c r="S166" i="2" s="1"/>
  <c r="J295" i="2"/>
  <c r="J297" i="2" s="1"/>
  <c r="J300" i="2"/>
  <c r="Q176" i="2"/>
  <c r="Q178" i="2" s="1"/>
  <c r="P197" i="2"/>
  <c r="R115" i="2"/>
  <c r="R116" i="2" s="1"/>
  <c r="R117" i="2"/>
  <c r="I292" i="2"/>
  <c r="I295" i="2" s="1"/>
  <c r="Q233" i="2"/>
  <c r="Q214" i="2"/>
  <c r="Q204" i="2"/>
  <c r="K275" i="2"/>
  <c r="K239" i="2"/>
  <c r="I310" i="2"/>
  <c r="L223" i="2"/>
  <c r="O273" i="2"/>
  <c r="O237" i="2"/>
  <c r="O218" i="2"/>
  <c r="I254" i="2"/>
  <c r="I255" i="2" s="1"/>
  <c r="I309" i="2"/>
  <c r="I278" i="2"/>
  <c r="I287" i="2"/>
  <c r="N203" i="2"/>
  <c r="N207" i="2" s="1"/>
  <c r="P236" i="2"/>
  <c r="P195" i="2"/>
  <c r="P196" i="2" s="1"/>
  <c r="P206" i="2"/>
  <c r="P210" i="2" s="1"/>
  <c r="P211" i="2" s="1"/>
  <c r="P272" i="2"/>
  <c r="P217" i="2"/>
  <c r="M274" i="2"/>
  <c r="M238" i="2"/>
  <c r="M219" i="2"/>
  <c r="M220" i="2" s="1"/>
  <c r="K225" i="2"/>
  <c r="S215" i="2" l="1"/>
  <c r="C215" i="2" s="1"/>
  <c r="S234" i="2"/>
  <c r="C234" i="2" s="1"/>
  <c r="C166" i="2"/>
  <c r="A162" i="2" s="1"/>
  <c r="S205" i="2"/>
  <c r="R293" i="2"/>
  <c r="R248" i="2"/>
  <c r="R301" i="2" s="1"/>
  <c r="S193" i="2"/>
  <c r="C193" i="2" s="1"/>
  <c r="J303" i="2"/>
  <c r="J305" i="2" s="1"/>
  <c r="Q180" i="2"/>
  <c r="I288" i="2"/>
  <c r="I289" i="2" s="1"/>
  <c r="I345" i="2"/>
  <c r="Q190" i="2"/>
  <c r="P198" i="2"/>
  <c r="P199" i="2" s="1"/>
  <c r="R118" i="2"/>
  <c r="R243" i="2" s="1"/>
  <c r="C116" i="2"/>
  <c r="M285" i="2"/>
  <c r="M343" i="2" s="1"/>
  <c r="K286" i="2"/>
  <c r="K344" i="2" s="1"/>
  <c r="P250" i="2"/>
  <c r="I316" i="2"/>
  <c r="O251" i="2"/>
  <c r="I317" i="2"/>
  <c r="I300" i="2"/>
  <c r="I303" i="2" s="1"/>
  <c r="N208" i="2"/>
  <c r="O202" i="2"/>
  <c r="I260" i="2"/>
  <c r="I265" i="2" s="1"/>
  <c r="L224" i="2"/>
  <c r="L225" i="2" s="1"/>
  <c r="L226" i="2" s="1"/>
  <c r="K253" i="2"/>
  <c r="M252" i="2"/>
  <c r="K226" i="2"/>
  <c r="M221" i="2"/>
  <c r="P283" i="2"/>
  <c r="P341" i="2" s="1"/>
  <c r="O284" i="2"/>
  <c r="O342" i="2" s="1"/>
  <c r="Q247" i="2"/>
  <c r="A166" i="2" l="1"/>
  <c r="S248" i="2"/>
  <c r="S301" i="2" s="1"/>
  <c r="C301" i="2" s="1"/>
  <c r="S293" i="2"/>
  <c r="C293" i="2" s="1"/>
  <c r="Q181" i="2"/>
  <c r="Q206" i="2" s="1"/>
  <c r="Q210" i="2" s="1"/>
  <c r="Q211" i="2" s="1"/>
  <c r="R179" i="2"/>
  <c r="I346" i="2"/>
  <c r="I378" i="2" s="1"/>
  <c r="I266" i="2"/>
  <c r="I261" i="2"/>
  <c r="Q197" i="2"/>
  <c r="R137" i="2"/>
  <c r="R139" i="2" s="1"/>
  <c r="R233" i="2" s="1"/>
  <c r="R119" i="2"/>
  <c r="S115" i="2" s="1"/>
  <c r="C115" i="2" s="1"/>
  <c r="R257" i="2"/>
  <c r="R302" i="2" s="1"/>
  <c r="R294" i="2"/>
  <c r="I297" i="2"/>
  <c r="K276" i="2"/>
  <c r="K240" i="2"/>
  <c r="K241" i="2" s="1"/>
  <c r="K228" i="2"/>
  <c r="L240" i="2"/>
  <c r="L276" i="2"/>
  <c r="L287" i="2" s="1"/>
  <c r="L345" i="2" s="1"/>
  <c r="L228" i="2"/>
  <c r="L310" i="2" s="1"/>
  <c r="L317" i="2" s="1"/>
  <c r="L321" i="2" s="1"/>
  <c r="N238" i="2"/>
  <c r="N274" i="2"/>
  <c r="N219" i="2"/>
  <c r="N220" i="2" s="1"/>
  <c r="I321" i="2"/>
  <c r="M223" i="2"/>
  <c r="P237" i="2"/>
  <c r="P273" i="2"/>
  <c r="P218" i="2"/>
  <c r="L239" i="2"/>
  <c r="L275" i="2"/>
  <c r="O203" i="2"/>
  <c r="O207" i="2" s="1"/>
  <c r="H332" i="2" l="1"/>
  <c r="J332" i="2"/>
  <c r="G332" i="2"/>
  <c r="I332" i="2"/>
  <c r="L254" i="2"/>
  <c r="L241" i="2"/>
  <c r="Q272" i="2"/>
  <c r="Q283" i="2" s="1"/>
  <c r="Q341" i="2" s="1"/>
  <c r="Q236" i="2"/>
  <c r="Q217" i="2"/>
  <c r="Q195" i="2"/>
  <c r="Q196" i="2" s="1"/>
  <c r="Q198" i="2" s="1"/>
  <c r="Q199" i="2" s="1"/>
  <c r="H267" i="2"/>
  <c r="J266" i="2"/>
  <c r="H262" i="2"/>
  <c r="J261" i="2"/>
  <c r="I262" i="2" s="1"/>
  <c r="R214" i="2"/>
  <c r="S117" i="2"/>
  <c r="S118" i="2" s="1"/>
  <c r="C118" i="2" s="1"/>
  <c r="R204" i="2"/>
  <c r="R176" i="2"/>
  <c r="R178" i="2" s="1"/>
  <c r="O208" i="2"/>
  <c r="P202" i="2"/>
  <c r="N221" i="2"/>
  <c r="N223" i="2" s="1"/>
  <c r="K254" i="2"/>
  <c r="K255" i="2" s="1"/>
  <c r="L286" i="2"/>
  <c r="L344" i="2" s="1"/>
  <c r="L346" i="2" s="1"/>
  <c r="L378" i="2" s="1"/>
  <c r="L277" i="2"/>
  <c r="M224" i="2"/>
  <c r="M225" i="2" s="1"/>
  <c r="L253" i="2"/>
  <c r="R247" i="2"/>
  <c r="K310" i="2"/>
  <c r="I305" i="2"/>
  <c r="P251" i="2"/>
  <c r="N252" i="2"/>
  <c r="P284" i="2"/>
  <c r="P342" i="2" s="1"/>
  <c r="N285" i="2"/>
  <c r="N343" i="2" s="1"/>
  <c r="K287" i="2"/>
  <c r="K345" i="2" s="1"/>
  <c r="K277" i="2"/>
  <c r="L255" i="2" l="1"/>
  <c r="L260" i="2" s="1"/>
  <c r="L265" i="2" s="1"/>
  <c r="Q250" i="2"/>
  <c r="R180" i="2"/>
  <c r="K346" i="2"/>
  <c r="K378" i="2" s="1"/>
  <c r="I267" i="2"/>
  <c r="R197" i="2"/>
  <c r="S137" i="2"/>
  <c r="S139" i="2" s="1"/>
  <c r="S119" i="2"/>
  <c r="S243" i="2"/>
  <c r="C117" i="2"/>
  <c r="R190" i="2"/>
  <c r="L292" i="2"/>
  <c r="M226" i="2"/>
  <c r="K309" i="2"/>
  <c r="K278" i="2"/>
  <c r="K260" i="2"/>
  <c r="K265" i="2" s="1"/>
  <c r="O274" i="2"/>
  <c r="O219" i="2"/>
  <c r="O220" i="2" s="1"/>
  <c r="O238" i="2"/>
  <c r="K292" i="2"/>
  <c r="K295" i="2" s="1"/>
  <c r="Q273" i="2"/>
  <c r="Q237" i="2"/>
  <c r="Q218" i="2"/>
  <c r="K317" i="2"/>
  <c r="L309" i="2"/>
  <c r="L316" i="2" s="1"/>
  <c r="L278" i="2"/>
  <c r="P203" i="2"/>
  <c r="P207" i="2" s="1"/>
  <c r="K288" i="2"/>
  <c r="M275" i="2"/>
  <c r="M239" i="2"/>
  <c r="N224" i="2"/>
  <c r="N225" i="2" s="1"/>
  <c r="N226" i="2" s="1"/>
  <c r="L288" i="2"/>
  <c r="L295" i="2" l="1"/>
  <c r="L297" i="2" s="1"/>
  <c r="R181" i="2"/>
  <c r="R195" i="2" s="1"/>
  <c r="R196" i="2" s="1"/>
  <c r="R198" i="2" s="1"/>
  <c r="S197" i="2" s="1"/>
  <c r="C197" i="2" s="1"/>
  <c r="C139" i="2"/>
  <c r="S214" i="2"/>
  <c r="S179" i="2"/>
  <c r="C179" i="2" s="1"/>
  <c r="K266" i="2"/>
  <c r="K261" i="2"/>
  <c r="L300" i="2"/>
  <c r="S233" i="2"/>
  <c r="S204" i="2"/>
  <c r="C204" i="2" s="1"/>
  <c r="C137" i="2"/>
  <c r="S176" i="2"/>
  <c r="C176" i="2" s="1"/>
  <c r="C243" i="2"/>
  <c r="S257" i="2"/>
  <c r="S294" i="2"/>
  <c r="C294" i="2" s="1"/>
  <c r="Q202" i="2"/>
  <c r="P208" i="2"/>
  <c r="N240" i="2"/>
  <c r="N276" i="2"/>
  <c r="N287" i="2" s="1"/>
  <c r="N345" i="2" s="1"/>
  <c r="N228" i="2"/>
  <c r="N310" i="2" s="1"/>
  <c r="N317" i="2" s="1"/>
  <c r="N321" i="2" s="1"/>
  <c r="M286" i="2"/>
  <c r="M344" i="2" s="1"/>
  <c r="M276" i="2"/>
  <c r="M277" i="2" s="1"/>
  <c r="M240" i="2"/>
  <c r="M241" i="2" s="1"/>
  <c r="M228" i="2"/>
  <c r="M253" i="2"/>
  <c r="K321" i="2"/>
  <c r="O252" i="2"/>
  <c r="K289" i="2"/>
  <c r="Q284" i="2"/>
  <c r="Q342" i="2" s="1"/>
  <c r="K316" i="2"/>
  <c r="O221" i="2"/>
  <c r="O223" i="2" s="1"/>
  <c r="L289" i="2"/>
  <c r="N239" i="2"/>
  <c r="N275" i="2"/>
  <c r="Q251" i="2"/>
  <c r="K300" i="2"/>
  <c r="K303" i="2" s="1"/>
  <c r="O285" i="2"/>
  <c r="O343" i="2" s="1"/>
  <c r="L303" i="2" l="1"/>
  <c r="L305" i="2" s="1"/>
  <c r="N254" i="2"/>
  <c r="N241" i="2"/>
  <c r="C233" i="2"/>
  <c r="R272" i="2"/>
  <c r="R283" i="2" s="1"/>
  <c r="R341" i="2" s="1"/>
  <c r="R206" i="2"/>
  <c r="R210" i="2" s="1"/>
  <c r="R211" i="2" s="1"/>
  <c r="R217" i="2"/>
  <c r="R236" i="2"/>
  <c r="C214" i="2"/>
  <c r="J267" i="2"/>
  <c r="L266" i="2"/>
  <c r="K267" i="2" s="1"/>
  <c r="J262" i="2"/>
  <c r="L261" i="2"/>
  <c r="K262" i="2" s="1"/>
  <c r="S247" i="2"/>
  <c r="R199" i="2"/>
  <c r="R273" i="2" s="1"/>
  <c r="S178" i="2"/>
  <c r="C257" i="2"/>
  <c r="S302" i="2"/>
  <c r="M287" i="2"/>
  <c r="Q203" i="2"/>
  <c r="Q207" i="2" s="1"/>
  <c r="N253" i="2"/>
  <c r="M309" i="2"/>
  <c r="M278" i="2"/>
  <c r="M292" i="2"/>
  <c r="M295" i="2" s="1"/>
  <c r="M254" i="2"/>
  <c r="M255" i="2" s="1"/>
  <c r="P238" i="2"/>
  <c r="P274" i="2"/>
  <c r="P219" i="2"/>
  <c r="P220" i="2" s="1"/>
  <c r="K297" i="2"/>
  <c r="M310" i="2"/>
  <c r="N286" i="2"/>
  <c r="N277" i="2"/>
  <c r="O224" i="2"/>
  <c r="G333" i="2" l="1"/>
  <c r="J333" i="2"/>
  <c r="H333" i="2"/>
  <c r="I333" i="2"/>
  <c r="C302" i="2"/>
  <c r="N255" i="2"/>
  <c r="N260" i="2" s="1"/>
  <c r="N265" i="2" s="1"/>
  <c r="R250" i="2"/>
  <c r="C247" i="2"/>
  <c r="S190" i="2"/>
  <c r="C190" i="2" s="1"/>
  <c r="C205" i="2"/>
  <c r="N288" i="2"/>
  <c r="N289" i="2" s="1"/>
  <c r="N344" i="2"/>
  <c r="N346" i="2" s="1"/>
  <c r="N378" i="2" s="1"/>
  <c r="M288" i="2"/>
  <c r="M289" i="2" s="1"/>
  <c r="M345" i="2"/>
  <c r="R218" i="2"/>
  <c r="R237" i="2"/>
  <c r="R251" i="2" s="1"/>
  <c r="C178" i="2"/>
  <c r="S180" i="2"/>
  <c r="C248" i="2" s="1"/>
  <c r="N309" i="2"/>
  <c r="N316" i="2" s="1"/>
  <c r="N278" i="2"/>
  <c r="P285" i="2"/>
  <c r="P343" i="2" s="1"/>
  <c r="R202" i="2"/>
  <c r="Q208" i="2"/>
  <c r="O275" i="2"/>
  <c r="O239" i="2"/>
  <c r="M300" i="2"/>
  <c r="M303" i="2" s="1"/>
  <c r="K305" i="2"/>
  <c r="P221" i="2"/>
  <c r="P223" i="2" s="1"/>
  <c r="M260" i="2"/>
  <c r="M265" i="2" s="1"/>
  <c r="M316" i="2"/>
  <c r="O225" i="2"/>
  <c r="O226" i="2" s="1"/>
  <c r="N292" i="2"/>
  <c r="N295" i="2" s="1"/>
  <c r="M317" i="2"/>
  <c r="P252" i="2"/>
  <c r="R284" i="2"/>
  <c r="R342" i="2" s="1"/>
  <c r="M346" i="2" l="1"/>
  <c r="M378" i="2" s="1"/>
  <c r="M266" i="2"/>
  <c r="M261" i="2"/>
  <c r="S181" i="2"/>
  <c r="C180" i="2"/>
  <c r="N300" i="2"/>
  <c r="N297" i="2"/>
  <c r="O286" i="2"/>
  <c r="O344" i="2" s="1"/>
  <c r="M297" i="2"/>
  <c r="O253" i="2"/>
  <c r="R203" i="2"/>
  <c r="R207" i="2" s="1"/>
  <c r="P224" i="2"/>
  <c r="Q274" i="2"/>
  <c r="Q238" i="2"/>
  <c r="Q219" i="2"/>
  <c r="Q220" i="2" s="1"/>
  <c r="M321" i="2"/>
  <c r="O276" i="2"/>
  <c r="O277" i="2" s="1"/>
  <c r="O240" i="2"/>
  <c r="O241" i="2" s="1"/>
  <c r="O228" i="2"/>
  <c r="O310" i="2" s="1"/>
  <c r="N303" i="2" l="1"/>
  <c r="N305" i="2" s="1"/>
  <c r="L262" i="2"/>
  <c r="N266" i="2"/>
  <c r="M267" i="2" s="1"/>
  <c r="L267" i="2"/>
  <c r="N261" i="2"/>
  <c r="M262" i="2" s="1"/>
  <c r="S272" i="2"/>
  <c r="S195" i="2"/>
  <c r="S217" i="2"/>
  <c r="S206" i="2"/>
  <c r="S236" i="2"/>
  <c r="C181" i="2"/>
  <c r="O292" i="2"/>
  <c r="O295" i="2" s="1"/>
  <c r="R208" i="2"/>
  <c r="S202" i="2"/>
  <c r="P239" i="2"/>
  <c r="P275" i="2"/>
  <c r="O309" i="2"/>
  <c r="O278" i="2"/>
  <c r="O287" i="2"/>
  <c r="Q252" i="2"/>
  <c r="O254" i="2"/>
  <c r="Q221" i="2"/>
  <c r="Q223" i="2" s="1"/>
  <c r="P225" i="2"/>
  <c r="P226" i="2" s="1"/>
  <c r="M305" i="2"/>
  <c r="O317" i="2"/>
  <c r="Q285" i="2"/>
  <c r="Q343" i="2" s="1"/>
  <c r="O255" i="2" l="1"/>
  <c r="O260" i="2" s="1"/>
  <c r="O265" i="2" s="1"/>
  <c r="O266" i="2" s="1"/>
  <c r="C217" i="2"/>
  <c r="O288" i="2"/>
  <c r="O289" i="2" s="1"/>
  <c r="O345" i="2"/>
  <c r="C236" i="2"/>
  <c r="S250" i="2"/>
  <c r="S283" i="2"/>
  <c r="C272" i="2"/>
  <c r="S196" i="2"/>
  <c r="C195" i="2"/>
  <c r="S210" i="2"/>
  <c r="C206" i="2"/>
  <c r="S203" i="2"/>
  <c r="C203" i="2" s="1"/>
  <c r="C202" i="2"/>
  <c r="O300" i="2"/>
  <c r="O303" i="2" s="1"/>
  <c r="O316" i="2"/>
  <c r="P253" i="2"/>
  <c r="O321" i="2"/>
  <c r="Q224" i="2"/>
  <c r="Q225" i="2" s="1"/>
  <c r="Q226" i="2" s="1"/>
  <c r="P286" i="2"/>
  <c r="P344" i="2" s="1"/>
  <c r="P240" i="2"/>
  <c r="P276" i="2"/>
  <c r="P287" i="2" s="1"/>
  <c r="P345" i="2" s="1"/>
  <c r="P228" i="2"/>
  <c r="P310" i="2" s="1"/>
  <c r="P317" i="2" s="1"/>
  <c r="P321" i="2" s="1"/>
  <c r="R238" i="2"/>
  <c r="R274" i="2"/>
  <c r="R219" i="2"/>
  <c r="R220" i="2" s="1"/>
  <c r="P254" i="2" l="1"/>
  <c r="P255" i="2" s="1"/>
  <c r="P260" i="2" s="1"/>
  <c r="P241" i="2"/>
  <c r="C250" i="2"/>
  <c r="O261" i="2"/>
  <c r="N262" i="2" s="1"/>
  <c r="P346" i="2"/>
  <c r="P378" i="2" s="1"/>
  <c r="O346" i="2"/>
  <c r="O378" i="2" s="1"/>
  <c r="C283" i="2"/>
  <c r="S341" i="2"/>
  <c r="N267" i="2"/>
  <c r="S198" i="2"/>
  <c r="C196" i="2"/>
  <c r="A196" i="2" s="1"/>
  <c r="S211" i="2"/>
  <c r="C210" i="2"/>
  <c r="P288" i="2"/>
  <c r="P289" i="2" s="1"/>
  <c r="P277" i="2"/>
  <c r="R252" i="2"/>
  <c r="Q276" i="2"/>
  <c r="Q287" i="2" s="1"/>
  <c r="Q345" i="2" s="1"/>
  <c r="Q240" i="2"/>
  <c r="Q228" i="2"/>
  <c r="Q310" i="2" s="1"/>
  <c r="Q317" i="2" s="1"/>
  <c r="Q321" i="2" s="1"/>
  <c r="R221" i="2"/>
  <c r="R223" i="2" s="1"/>
  <c r="Q275" i="2"/>
  <c r="Q239" i="2"/>
  <c r="S207" i="2"/>
  <c r="R285" i="2"/>
  <c r="R343" i="2" s="1"/>
  <c r="O297" i="2"/>
  <c r="Q254" i="2" l="1"/>
  <c r="Q241" i="2"/>
  <c r="C341" i="2"/>
  <c r="F370" i="2" s="1"/>
  <c r="P261" i="2"/>
  <c r="P265" i="2"/>
  <c r="P266" i="2" s="1"/>
  <c r="C198" i="2"/>
  <c r="S199" i="2"/>
  <c r="P292" i="2"/>
  <c r="O305" i="2"/>
  <c r="R224" i="2"/>
  <c r="Q253" i="2"/>
  <c r="S208" i="2"/>
  <c r="C207" i="2"/>
  <c r="Q286" i="2"/>
  <c r="Q277" i="2"/>
  <c r="P278" i="2"/>
  <c r="P309" i="2"/>
  <c r="P316" i="2" s="1"/>
  <c r="P300" i="2" l="1"/>
  <c r="P295" i="2"/>
  <c r="P297" i="2" s="1"/>
  <c r="Q255" i="2"/>
  <c r="Q260" i="2" s="1"/>
  <c r="Q265" i="2" s="1"/>
  <c r="Q266" i="2" s="1"/>
  <c r="P267" i="2" s="1"/>
  <c r="Q288" i="2"/>
  <c r="Q289" i="2" s="1"/>
  <c r="Q344" i="2"/>
  <c r="Q346" i="2" s="1"/>
  <c r="Q378" i="2" s="1"/>
  <c r="O267" i="2"/>
  <c r="O262" i="2"/>
  <c r="S218" i="2"/>
  <c r="S273" i="2"/>
  <c r="C199" i="2"/>
  <c r="S237" i="2"/>
  <c r="Q292" i="2"/>
  <c r="Q309" i="2"/>
  <c r="Q316" i="2" s="1"/>
  <c r="Q278" i="2"/>
  <c r="R239" i="2"/>
  <c r="R275" i="2"/>
  <c r="R225" i="2"/>
  <c r="R226" i="2" s="1"/>
  <c r="S274" i="2"/>
  <c r="S238" i="2"/>
  <c r="S219" i="2"/>
  <c r="C208" i="2"/>
  <c r="P303" i="2" l="1"/>
  <c r="P305" i="2" s="1"/>
  <c r="Q295" i="2"/>
  <c r="Q297" i="2" s="1"/>
  <c r="Q261" i="2"/>
  <c r="P262" i="2" s="1"/>
  <c r="C218" i="2"/>
  <c r="S220" i="2"/>
  <c r="S284" i="2"/>
  <c r="C273" i="2"/>
  <c r="C237" i="2"/>
  <c r="S251" i="2"/>
  <c r="Q300" i="2"/>
  <c r="S285" i="2"/>
  <c r="S343" i="2" s="1"/>
  <c r="C343" i="2" s="1"/>
  <c r="F372" i="2" s="1"/>
  <c r="C274" i="2"/>
  <c r="R240" i="2"/>
  <c r="R276" i="2"/>
  <c r="R287" i="2" s="1"/>
  <c r="R345" i="2" s="1"/>
  <c r="R228" i="2"/>
  <c r="R310" i="2" s="1"/>
  <c r="R317" i="2" s="1"/>
  <c r="R321" i="2" s="1"/>
  <c r="S252" i="2"/>
  <c r="C238" i="2"/>
  <c r="R253" i="2"/>
  <c r="C219" i="2"/>
  <c r="R286" i="2"/>
  <c r="R344" i="2" s="1"/>
  <c r="Q303" i="2" l="1"/>
  <c r="Q305" i="2" s="1"/>
  <c r="R254" i="2"/>
  <c r="R255" i="2" s="1"/>
  <c r="R260" i="2" s="1"/>
  <c r="R241" i="2"/>
  <c r="C251" i="2"/>
  <c r="R346" i="2"/>
  <c r="R378" i="2" s="1"/>
  <c r="C284" i="2"/>
  <c r="S342" i="2"/>
  <c r="R277" i="2"/>
  <c r="R309" i="2" s="1"/>
  <c r="R316" i="2" s="1"/>
  <c r="C220" i="2"/>
  <c r="S221" i="2"/>
  <c r="C285" i="2"/>
  <c r="R288" i="2"/>
  <c r="C252" i="2"/>
  <c r="C342" i="2" l="1"/>
  <c r="F371" i="2" s="1"/>
  <c r="R261" i="2"/>
  <c r="R265" i="2"/>
  <c r="R266" i="2" s="1"/>
  <c r="R292" i="2"/>
  <c r="R278" i="2"/>
  <c r="R289" i="2"/>
  <c r="S223" i="2"/>
  <c r="C221" i="2"/>
  <c r="R295" i="2" l="1"/>
  <c r="R297" i="2" s="1"/>
  <c r="Q262" i="2"/>
  <c r="Q267" i="2"/>
  <c r="R300" i="2"/>
  <c r="S224" i="2"/>
  <c r="S225" i="2" s="1"/>
  <c r="C223" i="2"/>
  <c r="R303" i="2" l="1"/>
  <c r="R305" i="2" s="1"/>
  <c r="S275" i="2"/>
  <c r="S239" i="2"/>
  <c r="C224" i="2"/>
  <c r="S226" i="2"/>
  <c r="C225" i="2"/>
  <c r="S286" i="2" l="1"/>
  <c r="S344" i="2" s="1"/>
  <c r="C275" i="2"/>
  <c r="S253" i="2"/>
  <c r="C239" i="2"/>
  <c r="S276" i="2"/>
  <c r="S277" i="2" s="1"/>
  <c r="S240" i="2"/>
  <c r="S241" i="2" s="1"/>
  <c r="C226" i="2"/>
  <c r="S228" i="2"/>
  <c r="C344" i="2" l="1"/>
  <c r="F373" i="2" s="1"/>
  <c r="S309" i="2"/>
  <c r="S278" i="2"/>
  <c r="C277" i="2"/>
  <c r="C278" i="2" s="1"/>
  <c r="C286" i="2"/>
  <c r="S310" i="2"/>
  <c r="C228" i="2"/>
  <c r="S292" i="2"/>
  <c r="S295" i="2" s="1"/>
  <c r="C242" i="2"/>
  <c r="C241" i="2"/>
  <c r="S287" i="2"/>
  <c r="C276" i="2"/>
  <c r="S254" i="2"/>
  <c r="C254" i="2" s="1"/>
  <c r="C240" i="2"/>
  <c r="C253" i="2"/>
  <c r="S255" i="2" l="1"/>
  <c r="S260" i="2" s="1"/>
  <c r="S265" i="2" s="1"/>
  <c r="C287" i="2"/>
  <c r="S345" i="2"/>
  <c r="S288" i="2"/>
  <c r="C288" i="2" s="1"/>
  <c r="C289" i="2" s="1"/>
  <c r="S316" i="2"/>
  <c r="C309" i="2"/>
  <c r="S317" i="2"/>
  <c r="C310" i="2"/>
  <c r="S300" i="2"/>
  <c r="S303" i="2" s="1"/>
  <c r="C292" i="2"/>
  <c r="A310" i="2" l="1"/>
  <c r="C345" i="2"/>
  <c r="F374" i="2" s="1"/>
  <c r="S346" i="2"/>
  <c r="S378" i="2" s="1"/>
  <c r="S266" i="2"/>
  <c r="C265" i="2"/>
  <c r="C260" i="2"/>
  <c r="S261" i="2"/>
  <c r="S289" i="2"/>
  <c r="C255" i="2"/>
  <c r="C256" i="2"/>
  <c r="C300" i="2"/>
  <c r="S321" i="2"/>
  <c r="J327" i="2"/>
  <c r="T13" i="2" s="1"/>
  <c r="H327" i="2"/>
  <c r="R13" i="2" s="1"/>
  <c r="I327" i="2"/>
  <c r="S13" i="2" s="1"/>
  <c r="G327" i="2"/>
  <c r="Q13" i="2" s="1"/>
  <c r="C317" i="2"/>
  <c r="S297" i="2"/>
  <c r="C297" i="2" s="1"/>
  <c r="A297" i="2" s="1"/>
  <c r="C295" i="2"/>
  <c r="I326" i="2"/>
  <c r="S14" i="2" s="1"/>
  <c r="J326" i="2"/>
  <c r="T14" i="2" s="1"/>
  <c r="H326" i="2"/>
  <c r="R14" i="2" s="1"/>
  <c r="C316" i="2"/>
  <c r="G326" i="2"/>
  <c r="Q14" i="2" s="1"/>
  <c r="A317" i="2" l="1"/>
  <c r="I334" i="2"/>
  <c r="J334" i="2"/>
  <c r="H334" i="2"/>
  <c r="G334" i="2"/>
  <c r="I441" i="2"/>
  <c r="I443" i="2" s="1"/>
  <c r="I403" i="2"/>
  <c r="I405" i="2" s="1"/>
  <c r="H441" i="2"/>
  <c r="H443" i="2" s="1"/>
  <c r="H403" i="2"/>
  <c r="H405" i="2" s="1"/>
  <c r="J403" i="2"/>
  <c r="J405" i="2" s="1"/>
  <c r="J441" i="2"/>
  <c r="J443" i="2" s="1"/>
  <c r="G403" i="2"/>
  <c r="G405" i="2" s="1"/>
  <c r="G441" i="2"/>
  <c r="G443" i="2" s="1"/>
  <c r="C346" i="2"/>
  <c r="F375" i="2" s="1"/>
  <c r="C378" i="2"/>
  <c r="S267" i="2"/>
  <c r="C266" i="2"/>
  <c r="R267" i="2"/>
  <c r="S262" i="2"/>
  <c r="R262" i="2"/>
  <c r="C261" i="2"/>
  <c r="S16" i="2"/>
  <c r="S15" i="2"/>
  <c r="Q15" i="2"/>
  <c r="Q16" i="2"/>
  <c r="R15" i="2"/>
  <c r="R16" i="2"/>
  <c r="I331" i="2"/>
  <c r="I329" i="2"/>
  <c r="C321" i="2"/>
  <c r="C322" i="2"/>
  <c r="F484" i="2" s="1"/>
  <c r="J331" i="2"/>
  <c r="F451" i="2" s="1"/>
  <c r="J329" i="2"/>
  <c r="F413" i="2" s="1"/>
  <c r="S305" i="2"/>
  <c r="C305" i="2" s="1"/>
  <c r="A305" i="2" s="1"/>
  <c r="C303" i="2"/>
  <c r="G329" i="2"/>
  <c r="G331" i="2"/>
  <c r="H331" i="2"/>
  <c r="F449" i="2" s="1"/>
  <c r="H329" i="2"/>
  <c r="F411" i="2" s="1"/>
  <c r="T15" i="2"/>
  <c r="T16" i="2"/>
  <c r="F450" i="2" l="1"/>
  <c r="F454" i="2"/>
  <c r="F448" i="2"/>
  <c r="F412" i="2"/>
  <c r="F433" i="2"/>
  <c r="F410" i="2"/>
  <c r="C267" i="2"/>
  <c r="C262" i="2"/>
  <c r="C1" i="2"/>
  <c r="C11" i="4" s="1"/>
  <c r="F490" i="2"/>
  <c r="F491" i="2" s="1"/>
  <c r="F493" i="2" s="1"/>
  <c r="P22" i="2"/>
  <c r="P23" i="2" l="1"/>
  <c r="G596" i="1" l="1"/>
  <c r="C492" i="1"/>
  <c r="C491" i="1"/>
  <c r="C490" i="1"/>
  <c r="F489" i="1"/>
  <c r="F490" i="1" s="1"/>
  <c r="F491" i="1" s="1"/>
  <c r="F492" i="1" s="1"/>
  <c r="C489" i="1"/>
  <c r="D488" i="1" a="1"/>
  <c r="D489" i="1" s="1"/>
  <c r="C488" i="1"/>
  <c r="H335" i="1"/>
  <c r="G293" i="1"/>
  <c r="G248" i="1"/>
  <c r="H238" i="1"/>
  <c r="I238" i="1" s="1"/>
  <c r="J238" i="1" s="1"/>
  <c r="K238" i="1" s="1"/>
  <c r="L238" i="1" s="1"/>
  <c r="M238" i="1" s="1"/>
  <c r="N238" i="1" s="1"/>
  <c r="O238" i="1" s="1"/>
  <c r="P238" i="1" s="1"/>
  <c r="Q238" i="1" s="1"/>
  <c r="R238" i="1" s="1"/>
  <c r="S238" i="1" s="1"/>
  <c r="S229" i="1"/>
  <c r="R229" i="1"/>
  <c r="K229" i="1"/>
  <c r="J229" i="1"/>
  <c r="I229" i="1"/>
  <c r="H229" i="1"/>
  <c r="G229" i="1"/>
  <c r="H226" i="1"/>
  <c r="I226" i="1" s="1"/>
  <c r="J226" i="1" s="1"/>
  <c r="K226" i="1" s="1"/>
  <c r="L226" i="1" s="1"/>
  <c r="M226" i="1" s="1"/>
  <c r="N226" i="1" s="1"/>
  <c r="O226" i="1" s="1"/>
  <c r="P226" i="1" s="1"/>
  <c r="Q226" i="1" s="1"/>
  <c r="R226" i="1" s="1"/>
  <c r="S226" i="1" s="1"/>
  <c r="G208" i="1"/>
  <c r="H183" i="1"/>
  <c r="I183" i="1" s="1"/>
  <c r="J183" i="1" s="1"/>
  <c r="K183" i="1" s="1"/>
  <c r="L183" i="1" s="1"/>
  <c r="M183" i="1" s="1"/>
  <c r="N183" i="1" s="1"/>
  <c r="O183" i="1" s="1"/>
  <c r="P183" i="1" s="1"/>
  <c r="Q183" i="1" s="1"/>
  <c r="R183" i="1" s="1"/>
  <c r="S183" i="1" s="1"/>
  <c r="S142" i="1"/>
  <c r="R142" i="1"/>
  <c r="K142" i="1"/>
  <c r="J142" i="1"/>
  <c r="I142" i="1"/>
  <c r="H142" i="1"/>
  <c r="G142" i="1"/>
  <c r="G143" i="1" s="1"/>
  <c r="E142" i="1"/>
  <c r="G129" i="1"/>
  <c r="D114" i="1"/>
  <c r="G89" i="1"/>
  <c r="D85" i="1"/>
  <c r="S80" i="1"/>
  <c r="R80" i="1"/>
  <c r="Q80" i="1"/>
  <c r="P80" i="1"/>
  <c r="O80" i="1"/>
  <c r="N80" i="1"/>
  <c r="M80" i="1"/>
  <c r="L80" i="1"/>
  <c r="K80" i="1"/>
  <c r="J80" i="1"/>
  <c r="I80" i="1"/>
  <c r="H80" i="1"/>
  <c r="G80" i="1"/>
  <c r="S79" i="1"/>
  <c r="R79" i="1"/>
  <c r="Q79" i="1"/>
  <c r="P79" i="1"/>
  <c r="O79" i="1"/>
  <c r="N79" i="1"/>
  <c r="M79" i="1"/>
  <c r="L79" i="1"/>
  <c r="K79" i="1"/>
  <c r="J79" i="1"/>
  <c r="I79" i="1"/>
  <c r="H79" i="1"/>
  <c r="G79" i="1"/>
  <c r="S77" i="1"/>
  <c r="R77" i="1"/>
  <c r="Q77" i="1"/>
  <c r="P77" i="1"/>
  <c r="O77" i="1"/>
  <c r="N77" i="1"/>
  <c r="M77" i="1"/>
  <c r="L77" i="1"/>
  <c r="K77" i="1"/>
  <c r="J77" i="1"/>
  <c r="I77" i="1"/>
  <c r="H77" i="1"/>
  <c r="G77" i="1"/>
  <c r="G91" i="1" s="1"/>
  <c r="S76" i="1"/>
  <c r="R76" i="1"/>
  <c r="Q76" i="1"/>
  <c r="P76" i="1"/>
  <c r="O76" i="1"/>
  <c r="N76" i="1"/>
  <c r="M76" i="1"/>
  <c r="L76" i="1"/>
  <c r="K76" i="1"/>
  <c r="J76" i="1"/>
  <c r="I76" i="1"/>
  <c r="H76" i="1"/>
  <c r="G76" i="1"/>
  <c r="C66" i="1"/>
  <c r="C65" i="1"/>
  <c r="C63" i="1"/>
  <c r="C62" i="1"/>
  <c r="S60" i="1"/>
  <c r="S157" i="1" s="1"/>
  <c r="R157" i="1"/>
  <c r="K60" i="1"/>
  <c r="K157" i="1" s="1"/>
  <c r="J60" i="1"/>
  <c r="J157" i="1" s="1"/>
  <c r="I60" i="1"/>
  <c r="I157" i="1" s="1"/>
  <c r="H60" i="1"/>
  <c r="H157" i="1" s="1"/>
  <c r="G60" i="1"/>
  <c r="G157" i="1" s="1"/>
  <c r="L59" i="1"/>
  <c r="M59" i="1" s="1"/>
  <c r="F43" i="1"/>
  <c r="F42" i="1"/>
  <c r="F41" i="1"/>
  <c r="F39" i="1"/>
  <c r="F38" i="1"/>
  <c r="F37" i="1"/>
  <c r="F36" i="1"/>
  <c r="B234" i="1" s="1"/>
  <c r="F35" i="1"/>
  <c r="B233" i="1" s="1"/>
  <c r="F34" i="1"/>
  <c r="B232" i="1" s="1"/>
  <c r="F33" i="1"/>
  <c r="F32" i="1"/>
  <c r="B230" i="1" s="1"/>
  <c r="F30" i="1"/>
  <c r="F29" i="1"/>
  <c r="F28" i="1"/>
  <c r="F27" i="1"/>
  <c r="F25" i="1"/>
  <c r="C233" i="1" s="1"/>
  <c r="F24" i="1"/>
  <c r="C232" i="1" s="1"/>
  <c r="F23" i="1"/>
  <c r="C231" i="1" s="1"/>
  <c r="F22" i="1"/>
  <c r="C230" i="1" s="1"/>
  <c r="F20" i="1"/>
  <c r="F19" i="1"/>
  <c r="Q21" i="1"/>
  <c r="F18" i="1"/>
  <c r="F17" i="1"/>
  <c r="F15" i="1"/>
  <c r="F13" i="1"/>
  <c r="F12" i="1"/>
  <c r="F11" i="1"/>
  <c r="D138" i="1" s="1"/>
  <c r="F10" i="1"/>
  <c r="F9" i="1"/>
  <c r="I7" i="1"/>
  <c r="F6" i="1"/>
  <c r="H1" i="1"/>
  <c r="I1" i="1" s="1"/>
  <c r="J1" i="1" s="1"/>
  <c r="K1" i="1" s="1"/>
  <c r="L1" i="1" s="1"/>
  <c r="M1" i="1" s="1"/>
  <c r="N1" i="1" s="1"/>
  <c r="O1" i="1" s="1"/>
  <c r="P1" i="1" s="1"/>
  <c r="Q1" i="1" s="1"/>
  <c r="R1" i="1" s="1"/>
  <c r="S1" i="1" s="1"/>
  <c r="D601" i="1" l="1"/>
  <c r="D511" i="1"/>
  <c r="H512" i="1"/>
  <c r="D560" i="1"/>
  <c r="H551" i="1"/>
  <c r="H519" i="1"/>
  <c r="H558" i="1"/>
  <c r="D550" i="1"/>
  <c r="D595" i="1"/>
  <c r="D521" i="1"/>
  <c r="D545" i="1"/>
  <c r="D567" i="1" s="1"/>
  <c r="D610" i="1" s="1"/>
  <c r="D449" i="1"/>
  <c r="H477" i="1"/>
  <c r="R74" i="1"/>
  <c r="G105" i="1"/>
  <c r="G147" i="1" s="1"/>
  <c r="G108" i="1"/>
  <c r="G150" i="1" s="1"/>
  <c r="G109" i="1"/>
  <c r="G120" i="1" s="1"/>
  <c r="G119" i="1" s="1"/>
  <c r="C77" i="1"/>
  <c r="J143" i="1"/>
  <c r="J384" i="1" s="1"/>
  <c r="I335" i="1"/>
  <c r="H377" i="1"/>
  <c r="G191" i="1"/>
  <c r="B231" i="1"/>
  <c r="G355" i="1"/>
  <c r="G107" i="1"/>
  <c r="C76" i="1"/>
  <c r="H143" i="1"/>
  <c r="H152" i="1" s="1"/>
  <c r="J61" i="1"/>
  <c r="J74" i="1" s="1"/>
  <c r="K143" i="1"/>
  <c r="K152" i="1" s="1"/>
  <c r="M142" i="1"/>
  <c r="M229" i="1"/>
  <c r="N59" i="1"/>
  <c r="O59" i="1" s="1"/>
  <c r="P59" i="1" s="1"/>
  <c r="M60" i="1"/>
  <c r="D266" i="1"/>
  <c r="G301" i="1"/>
  <c r="B192" i="1"/>
  <c r="D251" i="1"/>
  <c r="G384" i="1"/>
  <c r="G152" i="1"/>
  <c r="G72" i="1"/>
  <c r="S72" i="1"/>
  <c r="C79" i="1"/>
  <c r="J81" i="1"/>
  <c r="R81" i="1"/>
  <c r="H61" i="1"/>
  <c r="H74" i="1" s="1"/>
  <c r="I72" i="1"/>
  <c r="C80" i="1"/>
  <c r="H81" i="1"/>
  <c r="L81" i="1"/>
  <c r="P81" i="1"/>
  <c r="G138" i="1"/>
  <c r="R234" i="1"/>
  <c r="R233" i="1" s="1"/>
  <c r="R232" i="1" s="1"/>
  <c r="R231" i="1" s="1"/>
  <c r="C234" i="1"/>
  <c r="J234" i="1"/>
  <c r="J233" i="1" s="1"/>
  <c r="J232" i="1" s="1"/>
  <c r="J231" i="1" s="1"/>
  <c r="J230" i="1"/>
  <c r="R230" i="1"/>
  <c r="B267" i="1"/>
  <c r="L229" i="1"/>
  <c r="L142" i="1"/>
  <c r="L143" i="1" s="1"/>
  <c r="K72" i="1"/>
  <c r="N81" i="1"/>
  <c r="J7" i="1"/>
  <c r="I558" i="1" s="1"/>
  <c r="L60" i="1"/>
  <c r="G61" i="1"/>
  <c r="K61" i="1"/>
  <c r="K74" i="1" s="1"/>
  <c r="S61" i="1"/>
  <c r="S74" i="1" s="1"/>
  <c r="H72" i="1"/>
  <c r="G81" i="1"/>
  <c r="K81" i="1"/>
  <c r="O81" i="1"/>
  <c r="S81" i="1"/>
  <c r="H89" i="1"/>
  <c r="H91" i="1"/>
  <c r="I91" i="1" s="1"/>
  <c r="J91" i="1" s="1"/>
  <c r="K91" i="1" s="1"/>
  <c r="L91" i="1" s="1"/>
  <c r="M91" i="1" s="1"/>
  <c r="N91" i="1" s="1"/>
  <c r="O91" i="1" s="1"/>
  <c r="P91" i="1" s="1"/>
  <c r="Q91" i="1" s="1"/>
  <c r="R91" i="1" s="1"/>
  <c r="S91" i="1" s="1"/>
  <c r="D158" i="1"/>
  <c r="G462" i="1"/>
  <c r="D261" i="1"/>
  <c r="R156" i="1"/>
  <c r="R158" i="1" s="1"/>
  <c r="R160" i="1" s="1"/>
  <c r="N156" i="1"/>
  <c r="N158" i="1" s="1"/>
  <c r="N160" i="1" s="1"/>
  <c r="J156" i="1"/>
  <c r="J158" i="1" s="1"/>
  <c r="J160" i="1" s="1"/>
  <c r="S156" i="1"/>
  <c r="S158" i="1" s="1"/>
  <c r="S160" i="1" s="1"/>
  <c r="O156" i="1"/>
  <c r="O158" i="1" s="1"/>
  <c r="O160" i="1" s="1"/>
  <c r="K156" i="1"/>
  <c r="K158" i="1" s="1"/>
  <c r="K160" i="1" s="1"/>
  <c r="G156" i="1"/>
  <c r="G158" i="1" s="1"/>
  <c r="G160" i="1" s="1"/>
  <c r="P156" i="1"/>
  <c r="P158" i="1" s="1"/>
  <c r="P160" i="1" s="1"/>
  <c r="L156" i="1"/>
  <c r="L158" i="1" s="1"/>
  <c r="L160" i="1" s="1"/>
  <c r="H156" i="1"/>
  <c r="H158" i="1" s="1"/>
  <c r="H160" i="1" s="1"/>
  <c r="Q156" i="1"/>
  <c r="Q158" i="1" s="1"/>
  <c r="Q160" i="1" s="1"/>
  <c r="M156" i="1"/>
  <c r="M158" i="1" s="1"/>
  <c r="M160" i="1" s="1"/>
  <c r="I156" i="1"/>
  <c r="I158" i="1" s="1"/>
  <c r="I160" i="1" s="1"/>
  <c r="I143" i="1"/>
  <c r="I61" i="1"/>
  <c r="I74" i="1" s="1"/>
  <c r="J72" i="1"/>
  <c r="R72" i="1"/>
  <c r="I81" i="1"/>
  <c r="M81" i="1"/>
  <c r="Q81" i="1"/>
  <c r="G106" i="1"/>
  <c r="G249" i="1"/>
  <c r="I234" i="1"/>
  <c r="I233" i="1" s="1"/>
  <c r="I232" i="1" s="1"/>
  <c r="I231" i="1" s="1"/>
  <c r="I230" i="1"/>
  <c r="H230" i="1"/>
  <c r="H234" i="1"/>
  <c r="H233" i="1" s="1"/>
  <c r="H232" i="1" s="1"/>
  <c r="H231" i="1" s="1"/>
  <c r="G230" i="1"/>
  <c r="K230" i="1"/>
  <c r="S230" i="1"/>
  <c r="G234" i="1"/>
  <c r="G233" i="1" s="1"/>
  <c r="G232" i="1" s="1"/>
  <c r="G231" i="1" s="1"/>
  <c r="K234" i="1"/>
  <c r="K233" i="1" s="1"/>
  <c r="K232" i="1" s="1"/>
  <c r="K231" i="1" s="1"/>
  <c r="S234" i="1"/>
  <c r="S233" i="1" s="1"/>
  <c r="S232" i="1" s="1"/>
  <c r="S231" i="1" s="1"/>
  <c r="D488" i="1"/>
  <c r="D492" i="1"/>
  <c r="D491" i="1"/>
  <c r="D490" i="1"/>
  <c r="D542" i="1" l="1"/>
  <c r="T9" i="1"/>
  <c r="Q59" i="1"/>
  <c r="Q60" i="1" s="1"/>
  <c r="Q61" i="1" s="1"/>
  <c r="P60" i="1"/>
  <c r="P61" i="1" s="1"/>
  <c r="O60" i="1"/>
  <c r="O61" i="1" s="1"/>
  <c r="I551" i="1"/>
  <c r="D561" i="1"/>
  <c r="I512" i="1"/>
  <c r="D564" i="1"/>
  <c r="D548" i="1"/>
  <c r="D570" i="1" s="1"/>
  <c r="D613" i="1" s="1"/>
  <c r="D546" i="1"/>
  <c r="D568" i="1" s="1"/>
  <c r="D611" i="1" s="1"/>
  <c r="I477" i="1"/>
  <c r="I519" i="1"/>
  <c r="D522" i="1"/>
  <c r="D547" i="1"/>
  <c r="D569" i="1" s="1"/>
  <c r="D612" i="1" s="1"/>
  <c r="U9" i="1"/>
  <c r="D544" i="1"/>
  <c r="D566" i="1" s="1"/>
  <c r="D609" i="1" s="1"/>
  <c r="G74" i="1"/>
  <c r="G103" i="1" s="1"/>
  <c r="J152" i="1"/>
  <c r="J180" i="1" s="1"/>
  <c r="J335" i="1"/>
  <c r="I377" i="1"/>
  <c r="H191" i="1"/>
  <c r="G149" i="1"/>
  <c r="G241" i="1" s="1"/>
  <c r="H355" i="1"/>
  <c r="H107" i="1"/>
  <c r="H149" i="1" s="1"/>
  <c r="H241" i="1" s="1"/>
  <c r="K384" i="1"/>
  <c r="H384" i="1"/>
  <c r="H180" i="1"/>
  <c r="H161" i="1"/>
  <c r="K180" i="1"/>
  <c r="K161" i="1"/>
  <c r="N161" i="1"/>
  <c r="J161" i="1"/>
  <c r="M161" i="1"/>
  <c r="P161" i="1"/>
  <c r="S161" i="1"/>
  <c r="I161" i="1"/>
  <c r="L161" i="1"/>
  <c r="O161" i="1"/>
  <c r="R161" i="1"/>
  <c r="G148" i="1"/>
  <c r="K7" i="1"/>
  <c r="J558" i="1" s="1"/>
  <c r="J235" i="1"/>
  <c r="M157" i="1"/>
  <c r="M61" i="1"/>
  <c r="M74" i="1" s="1"/>
  <c r="M72" i="1"/>
  <c r="G242" i="1"/>
  <c r="G211" i="1"/>
  <c r="G121" i="1"/>
  <c r="G131" i="1"/>
  <c r="S235" i="1"/>
  <c r="B268" i="1"/>
  <c r="B269" i="1" s="1"/>
  <c r="M143" i="1"/>
  <c r="Q161" i="1"/>
  <c r="G180" i="1"/>
  <c r="G178" i="1"/>
  <c r="G175" i="1"/>
  <c r="G161" i="1"/>
  <c r="L157" i="1"/>
  <c r="L72" i="1"/>
  <c r="L61" i="1"/>
  <c r="L74" i="1" s="1"/>
  <c r="G394" i="1"/>
  <c r="G451" i="1" s="1"/>
  <c r="G186" i="1"/>
  <c r="M234" i="1"/>
  <c r="M233" i="1" s="1"/>
  <c r="M232" i="1" s="1"/>
  <c r="M231" i="1" s="1"/>
  <c r="M230" i="1"/>
  <c r="I235" i="1"/>
  <c r="G88" i="1"/>
  <c r="C91" i="1"/>
  <c r="H301" i="1"/>
  <c r="H291" i="1" s="1"/>
  <c r="H138" i="1"/>
  <c r="H139" i="1" s="1"/>
  <c r="H383" i="1" s="1"/>
  <c r="I89" i="1"/>
  <c r="L234" i="1"/>
  <c r="L233" i="1" s="1"/>
  <c r="L232" i="1" s="1"/>
  <c r="L231" i="1" s="1"/>
  <c r="L230" i="1"/>
  <c r="G139" i="1"/>
  <c r="N229" i="1"/>
  <c r="N142" i="1"/>
  <c r="N60" i="1"/>
  <c r="G235" i="1"/>
  <c r="H235" i="1"/>
  <c r="C81" i="1"/>
  <c r="R235" i="1"/>
  <c r="B193" i="1"/>
  <c r="H109" i="1"/>
  <c r="H120" i="1" s="1"/>
  <c r="H108" i="1"/>
  <c r="I384" i="1"/>
  <c r="I152" i="1"/>
  <c r="I180" i="1" s="1"/>
  <c r="L384" i="1"/>
  <c r="L152" i="1"/>
  <c r="L180" i="1" s="1"/>
  <c r="G291" i="1"/>
  <c r="K235" i="1"/>
  <c r="H103" i="1"/>
  <c r="H106" i="1"/>
  <c r="G110" i="1"/>
  <c r="H105" i="1"/>
  <c r="J512" i="1" l="1"/>
  <c r="J551" i="1"/>
  <c r="D562" i="1"/>
  <c r="J477" i="1"/>
  <c r="J519" i="1"/>
  <c r="D523" i="1"/>
  <c r="G177" i="1"/>
  <c r="G329" i="1" s="1"/>
  <c r="H119" i="1"/>
  <c r="H121" i="1"/>
  <c r="K335" i="1"/>
  <c r="J377" i="1"/>
  <c r="G167" i="1"/>
  <c r="G344" i="1" s="1"/>
  <c r="H148" i="1"/>
  <c r="H166" i="1" s="1"/>
  <c r="G190" i="1"/>
  <c r="H177" i="1"/>
  <c r="H329" i="1" s="1"/>
  <c r="L332" i="1"/>
  <c r="J332" i="1"/>
  <c r="K332" i="1"/>
  <c r="I332" i="1"/>
  <c r="H332" i="1"/>
  <c r="H167" i="1"/>
  <c r="I103" i="1"/>
  <c r="I107" i="1"/>
  <c r="I149" i="1" s="1"/>
  <c r="I241" i="1" s="1"/>
  <c r="H394" i="1"/>
  <c r="H451" i="1" s="1"/>
  <c r="G176" i="1"/>
  <c r="G328" i="1" s="1"/>
  <c r="G246" i="1"/>
  <c r="G247" i="1" s="1"/>
  <c r="B270" i="1"/>
  <c r="N157" i="1"/>
  <c r="N72" i="1"/>
  <c r="N61" i="1"/>
  <c r="J107" i="1"/>
  <c r="J149" i="1" s="1"/>
  <c r="J241" i="1" s="1"/>
  <c r="L7" i="1"/>
  <c r="L235" i="1"/>
  <c r="M235" i="1"/>
  <c r="H147" i="1"/>
  <c r="H165" i="1" s="1"/>
  <c r="H110" i="1"/>
  <c r="O229" i="1"/>
  <c r="O142" i="1"/>
  <c r="O143" i="1" s="1"/>
  <c r="N234" i="1"/>
  <c r="N233" i="1" s="1"/>
  <c r="N232" i="1" s="1"/>
  <c r="N231" i="1" s="1"/>
  <c r="N230" i="1"/>
  <c r="G332" i="1"/>
  <c r="M384" i="1"/>
  <c r="M152" i="1"/>
  <c r="L170" i="1"/>
  <c r="J170" i="1"/>
  <c r="K170" i="1"/>
  <c r="B194" i="1"/>
  <c r="N143" i="1"/>
  <c r="I355" i="1"/>
  <c r="I394" i="1" s="1"/>
  <c r="I451" i="1" s="1"/>
  <c r="I106" i="1"/>
  <c r="I108" i="1"/>
  <c r="I150" i="1" s="1"/>
  <c r="I168" i="1" s="1"/>
  <c r="I105" i="1"/>
  <c r="I109" i="1"/>
  <c r="I120" i="1" s="1"/>
  <c r="G383" i="1"/>
  <c r="H393" i="1"/>
  <c r="H450" i="1" s="1"/>
  <c r="G330" i="1"/>
  <c r="G132" i="1"/>
  <c r="H170" i="1"/>
  <c r="H150" i="1"/>
  <c r="J89" i="1"/>
  <c r="H88" i="1"/>
  <c r="I88" i="1" s="1"/>
  <c r="J88" i="1" s="1"/>
  <c r="K88" i="1" s="1"/>
  <c r="L88" i="1" s="1"/>
  <c r="M88" i="1" s="1"/>
  <c r="G209" i="1"/>
  <c r="G166" i="1"/>
  <c r="G170" i="1"/>
  <c r="G168" i="1"/>
  <c r="G165" i="1"/>
  <c r="G327" i="1"/>
  <c r="I170" i="1"/>
  <c r="N88" i="1" l="1"/>
  <c r="K519" i="1"/>
  <c r="K558" i="1"/>
  <c r="G265" i="1"/>
  <c r="K477" i="1"/>
  <c r="N74" i="1"/>
  <c r="I119" i="1"/>
  <c r="I121" i="1"/>
  <c r="H190" i="1"/>
  <c r="H176" i="1"/>
  <c r="H328" i="1" s="1"/>
  <c r="L335" i="1"/>
  <c r="K377" i="1"/>
  <c r="G309" i="1"/>
  <c r="I148" i="1"/>
  <c r="I190" i="1" s="1"/>
  <c r="G362" i="1"/>
  <c r="H344" i="1"/>
  <c r="H362" i="1" s="1"/>
  <c r="H309" i="1"/>
  <c r="H265" i="1"/>
  <c r="H266" i="1" s="1"/>
  <c r="I167" i="1"/>
  <c r="I177" i="1"/>
  <c r="I329" i="1" s="1"/>
  <c r="J167" i="1"/>
  <c r="J177" i="1"/>
  <c r="J329" i="1" s="1"/>
  <c r="B195" i="1"/>
  <c r="B271" i="1"/>
  <c r="K89" i="1"/>
  <c r="H242" i="1"/>
  <c r="H211" i="1"/>
  <c r="H178" i="1"/>
  <c r="H342" i="1"/>
  <c r="H360" i="1" s="1"/>
  <c r="H307" i="1"/>
  <c r="H260" i="1"/>
  <c r="H261" i="1" s="1"/>
  <c r="H287" i="1" s="1"/>
  <c r="H343" i="1"/>
  <c r="H298" i="1"/>
  <c r="H308" i="1"/>
  <c r="K347" i="1"/>
  <c r="K312" i="1"/>
  <c r="L347" i="1"/>
  <c r="L312" i="1"/>
  <c r="M180" i="1"/>
  <c r="O157" i="1"/>
  <c r="O72" i="1"/>
  <c r="O74" i="1"/>
  <c r="O234" i="1"/>
  <c r="O233" i="1" s="1"/>
  <c r="O232" i="1" s="1"/>
  <c r="O231" i="1" s="1"/>
  <c r="O230" i="1"/>
  <c r="I345" i="1"/>
  <c r="I363" i="1" s="1"/>
  <c r="I310" i="1"/>
  <c r="I289" i="1"/>
  <c r="G347" i="1"/>
  <c r="G312" i="1"/>
  <c r="G345" i="1"/>
  <c r="G289" i="1"/>
  <c r="G310" i="1"/>
  <c r="G393" i="1"/>
  <c r="G450" i="1" s="1"/>
  <c r="J347" i="1"/>
  <c r="J312" i="1"/>
  <c r="O384" i="1"/>
  <c r="O152" i="1"/>
  <c r="H246" i="1"/>
  <c r="H186" i="1"/>
  <c r="H175" i="1"/>
  <c r="J355" i="1"/>
  <c r="J394" i="1" s="1"/>
  <c r="J451" i="1" s="1"/>
  <c r="J109" i="1"/>
  <c r="J120" i="1" s="1"/>
  <c r="J108" i="1"/>
  <c r="J105" i="1"/>
  <c r="J103" i="1"/>
  <c r="J106" i="1"/>
  <c r="N235" i="1"/>
  <c r="G342" i="1"/>
  <c r="G307" i="1"/>
  <c r="G260" i="1"/>
  <c r="G261" i="1" s="1"/>
  <c r="G287" i="1" s="1"/>
  <c r="G343" i="1"/>
  <c r="G308" i="1"/>
  <c r="G298" i="1"/>
  <c r="H347" i="1"/>
  <c r="H365" i="1" s="1"/>
  <c r="H312" i="1"/>
  <c r="I242" i="1"/>
  <c r="I211" i="1"/>
  <c r="I178" i="1"/>
  <c r="I330" i="1" s="1"/>
  <c r="N384" i="1"/>
  <c r="N152" i="1"/>
  <c r="I347" i="1"/>
  <c r="I365" i="1" s="1"/>
  <c r="I312" i="1"/>
  <c r="I147" i="1"/>
  <c r="I110" i="1"/>
  <c r="P229" i="1"/>
  <c r="P142" i="1"/>
  <c r="K107" i="1"/>
  <c r="K149" i="1" s="1"/>
  <c r="K241" i="1" s="1"/>
  <c r="H168" i="1"/>
  <c r="M170" i="1"/>
  <c r="G266" i="1" l="1"/>
  <c r="J119" i="1"/>
  <c r="J121" i="1"/>
  <c r="I191" i="1"/>
  <c r="O88" i="1"/>
  <c r="I166" i="1"/>
  <c r="I308" i="1" s="1"/>
  <c r="M335" i="1"/>
  <c r="L377" i="1"/>
  <c r="I176" i="1"/>
  <c r="I328" i="1" s="1"/>
  <c r="H361" i="1"/>
  <c r="J344" i="1"/>
  <c r="J362" i="1" s="1"/>
  <c r="J309" i="1"/>
  <c r="I309" i="1"/>
  <c r="I344" i="1"/>
  <c r="K167" i="1"/>
  <c r="K177" i="1"/>
  <c r="K329" i="1" s="1"/>
  <c r="J365" i="1"/>
  <c r="B196" i="1"/>
  <c r="B272" i="1"/>
  <c r="J150" i="1"/>
  <c r="H247" i="1"/>
  <c r="H330" i="1"/>
  <c r="K355" i="1"/>
  <c r="K394" i="1" s="1"/>
  <c r="K451" i="1" s="1"/>
  <c r="K108" i="1"/>
  <c r="K150" i="1" s="1"/>
  <c r="K106" i="1"/>
  <c r="K109" i="1"/>
  <c r="K120" i="1" s="1"/>
  <c r="K105" i="1"/>
  <c r="K103" i="1"/>
  <c r="M347" i="1"/>
  <c r="M312" i="1"/>
  <c r="J147" i="1"/>
  <c r="J110" i="1"/>
  <c r="H209" i="1"/>
  <c r="M332" i="1"/>
  <c r="P157" i="1"/>
  <c r="P72" i="1"/>
  <c r="P234" i="1"/>
  <c r="P233" i="1" s="1"/>
  <c r="P232" i="1" s="1"/>
  <c r="P231" i="1" s="1"/>
  <c r="P230" i="1"/>
  <c r="N180" i="1"/>
  <c r="N170" i="1"/>
  <c r="H327" i="1"/>
  <c r="H345" i="1"/>
  <c r="H363" i="1" s="1"/>
  <c r="H310" i="1"/>
  <c r="H289" i="1"/>
  <c r="Q229" i="1"/>
  <c r="Q142" i="1"/>
  <c r="R143" i="1" s="1"/>
  <c r="L107" i="1"/>
  <c r="L149" i="1" s="1"/>
  <c r="L241" i="1" s="1"/>
  <c r="P143" i="1"/>
  <c r="I246" i="1"/>
  <c r="I186" i="1"/>
  <c r="I209" i="1" s="1"/>
  <c r="I175" i="1"/>
  <c r="I327" i="1" s="1"/>
  <c r="I165" i="1"/>
  <c r="G361" i="1"/>
  <c r="G360" i="1"/>
  <c r="J148" i="1"/>
  <c r="J190" i="1" s="1"/>
  <c r="O180" i="1"/>
  <c r="O170" i="1"/>
  <c r="G363" i="1"/>
  <c r="G365" i="1"/>
  <c r="L89" i="1"/>
  <c r="O235" i="1"/>
  <c r="P74" i="1" l="1"/>
  <c r="K119" i="1"/>
  <c r="K121" i="1"/>
  <c r="I343" i="1"/>
  <c r="I361" i="1" s="1"/>
  <c r="I298" i="1"/>
  <c r="I265" i="1"/>
  <c r="N335" i="1"/>
  <c r="M377" i="1"/>
  <c r="K148" i="1"/>
  <c r="K190" i="1" s="1"/>
  <c r="K191" i="1" s="1"/>
  <c r="K309" i="1"/>
  <c r="K344" i="1"/>
  <c r="K362" i="1" s="1"/>
  <c r="I362" i="1"/>
  <c r="L167" i="1"/>
  <c r="L177" i="1"/>
  <c r="L329" i="1" s="1"/>
  <c r="J191" i="1"/>
  <c r="O332" i="1"/>
  <c r="N332" i="1"/>
  <c r="K365" i="1"/>
  <c r="I247" i="1"/>
  <c r="B197" i="1"/>
  <c r="B273" i="1"/>
  <c r="L355" i="1"/>
  <c r="L108" i="1"/>
  <c r="L150" i="1" s="1"/>
  <c r="L109" i="1"/>
  <c r="L120" i="1" s="1"/>
  <c r="L106" i="1"/>
  <c r="L105" i="1"/>
  <c r="L103" i="1"/>
  <c r="Q157" i="1"/>
  <c r="Q74" i="1"/>
  <c r="Q72" i="1"/>
  <c r="C72" i="1" s="1"/>
  <c r="P88" i="1"/>
  <c r="C60" i="1"/>
  <c r="O347" i="1"/>
  <c r="O312" i="1"/>
  <c r="P384" i="1"/>
  <c r="P152" i="1"/>
  <c r="Q143" i="1"/>
  <c r="S143" i="1"/>
  <c r="N347" i="1"/>
  <c r="N312" i="1"/>
  <c r="J246" i="1"/>
  <c r="J186" i="1"/>
  <c r="J209" i="1" s="1"/>
  <c r="J175" i="1"/>
  <c r="J165" i="1"/>
  <c r="K147" i="1"/>
  <c r="K110" i="1"/>
  <c r="J242" i="1"/>
  <c r="J211" i="1"/>
  <c r="J178" i="1"/>
  <c r="J168" i="1"/>
  <c r="M89" i="1"/>
  <c r="M107" i="1"/>
  <c r="M149" i="1" s="1"/>
  <c r="M241" i="1" s="1"/>
  <c r="Q234" i="1"/>
  <c r="Q233" i="1" s="1"/>
  <c r="Q232" i="1" s="1"/>
  <c r="Q231" i="1" s="1"/>
  <c r="Q230" i="1"/>
  <c r="J176" i="1"/>
  <c r="J166" i="1"/>
  <c r="J265" i="1" s="1"/>
  <c r="I342" i="1"/>
  <c r="I307" i="1"/>
  <c r="I260" i="1"/>
  <c r="R384" i="1"/>
  <c r="R152" i="1"/>
  <c r="K242" i="1"/>
  <c r="K211" i="1"/>
  <c r="K178" i="1"/>
  <c r="K330" i="1" s="1"/>
  <c r="K168" i="1"/>
  <c r="P235" i="1"/>
  <c r="I266" i="1" l="1"/>
  <c r="C61" i="1"/>
  <c r="C74" i="1"/>
  <c r="L121" i="1"/>
  <c r="L119" i="1"/>
  <c r="K166" i="1"/>
  <c r="K265" i="1" s="1"/>
  <c r="K266" i="1" s="1"/>
  <c r="O335" i="1"/>
  <c r="N377" i="1"/>
  <c r="K176" i="1"/>
  <c r="K328" i="1" s="1"/>
  <c r="L309" i="1"/>
  <c r="L344" i="1"/>
  <c r="L362" i="1" s="1"/>
  <c r="M167" i="1"/>
  <c r="M177" i="1"/>
  <c r="M329" i="1" s="1"/>
  <c r="B198" i="1"/>
  <c r="B274" i="1"/>
  <c r="I261" i="1"/>
  <c r="J342" i="1"/>
  <c r="J360" i="1" s="1"/>
  <c r="J260" i="1"/>
  <c r="J261" i="1" s="1"/>
  <c r="J287" i="1" s="1"/>
  <c r="J307" i="1"/>
  <c r="Q384" i="1"/>
  <c r="Q152" i="1"/>
  <c r="Q88" i="1"/>
  <c r="R88" i="1" s="1"/>
  <c r="S88" i="1" s="1"/>
  <c r="L147" i="1"/>
  <c r="L110" i="1"/>
  <c r="L394" i="1"/>
  <c r="L451" i="1" s="1"/>
  <c r="L365" i="1"/>
  <c r="K186" i="1"/>
  <c r="K246" i="1"/>
  <c r="K175" i="1"/>
  <c r="K327" i="1" s="1"/>
  <c r="K165" i="1"/>
  <c r="J247" i="1"/>
  <c r="S384" i="1"/>
  <c r="S152" i="1"/>
  <c r="L242" i="1"/>
  <c r="L211" i="1"/>
  <c r="L178" i="1"/>
  <c r="L330" i="1" s="1"/>
  <c r="L168" i="1"/>
  <c r="J328" i="1"/>
  <c r="I360" i="1"/>
  <c r="J343" i="1"/>
  <c r="J308" i="1"/>
  <c r="J298" i="1"/>
  <c r="N107" i="1"/>
  <c r="N149" i="1" s="1"/>
  <c r="N241" i="1" s="1"/>
  <c r="J330" i="1"/>
  <c r="P180" i="1"/>
  <c r="P170" i="1"/>
  <c r="Q125" i="1"/>
  <c r="M125" i="1"/>
  <c r="I125" i="1"/>
  <c r="R124" i="1"/>
  <c r="R126" i="1" s="1"/>
  <c r="N124" i="1"/>
  <c r="N126" i="1" s="1"/>
  <c r="J124" i="1"/>
  <c r="J126" i="1" s="1"/>
  <c r="N125" i="1"/>
  <c r="K124" i="1"/>
  <c r="K126" i="1" s="1"/>
  <c r="S125" i="1"/>
  <c r="O125" i="1"/>
  <c r="K125" i="1"/>
  <c r="G125" i="1"/>
  <c r="P124" i="1"/>
  <c r="P126" i="1" s="1"/>
  <c r="L124" i="1"/>
  <c r="L126" i="1" s="1"/>
  <c r="H124" i="1"/>
  <c r="H126" i="1" s="1"/>
  <c r="R125" i="1"/>
  <c r="S124" i="1"/>
  <c r="S126" i="1" s="1"/>
  <c r="G124" i="1"/>
  <c r="G126" i="1" s="1"/>
  <c r="P125" i="1"/>
  <c r="L125" i="1"/>
  <c r="H125" i="1"/>
  <c r="Q124" i="1"/>
  <c r="Q126" i="1" s="1"/>
  <c r="M124" i="1"/>
  <c r="M126" i="1" s="1"/>
  <c r="I124" i="1"/>
  <c r="I126" i="1" s="1"/>
  <c r="J125" i="1"/>
  <c r="O124" i="1"/>
  <c r="O126" i="1" s="1"/>
  <c r="K345" i="1"/>
  <c r="K363" i="1" s="1"/>
  <c r="K289" i="1"/>
  <c r="K310" i="1"/>
  <c r="R180" i="1"/>
  <c r="R170" i="1"/>
  <c r="M355" i="1"/>
  <c r="M105" i="1"/>
  <c r="M109" i="1"/>
  <c r="M120" i="1" s="1"/>
  <c r="M106" i="1"/>
  <c r="M108" i="1"/>
  <c r="M103" i="1"/>
  <c r="N89" i="1"/>
  <c r="J345" i="1"/>
  <c r="J289" i="1"/>
  <c r="J310" i="1"/>
  <c r="J327" i="1"/>
  <c r="L148" i="1"/>
  <c r="L190" i="1" s="1"/>
  <c r="Q235" i="1"/>
  <c r="C235" i="1" s="1"/>
  <c r="A235" i="1" s="1"/>
  <c r="C143" i="1"/>
  <c r="M121" i="1" l="1"/>
  <c r="M119" i="1"/>
  <c r="K308" i="1"/>
  <c r="K343" i="1"/>
  <c r="K361" i="1" s="1"/>
  <c r="K298" i="1"/>
  <c r="P335" i="1"/>
  <c r="O377" i="1"/>
  <c r="M148" i="1"/>
  <c r="M190" i="1" s="1"/>
  <c r="M191" i="1" s="1"/>
  <c r="M309" i="1"/>
  <c r="M344" i="1"/>
  <c r="M362" i="1" s="1"/>
  <c r="L191" i="1"/>
  <c r="N167" i="1"/>
  <c r="N177" i="1"/>
  <c r="N329" i="1" s="1"/>
  <c r="R332" i="1"/>
  <c r="B199" i="1"/>
  <c r="C88" i="1"/>
  <c r="B275" i="1"/>
  <c r="Q127" i="1"/>
  <c r="G130" i="1"/>
  <c r="G127" i="1"/>
  <c r="L127" i="1"/>
  <c r="J127" i="1"/>
  <c r="J130" i="1"/>
  <c r="J361" i="1"/>
  <c r="R347" i="1"/>
  <c r="R312" i="1"/>
  <c r="M127" i="1"/>
  <c r="H130" i="1"/>
  <c r="H127" i="1"/>
  <c r="P332" i="1"/>
  <c r="N355" i="1"/>
  <c r="N109" i="1"/>
  <c r="N120" i="1" s="1"/>
  <c r="N108" i="1"/>
  <c r="N150" i="1" s="1"/>
  <c r="N105" i="1"/>
  <c r="N106" i="1"/>
  <c r="N103" i="1"/>
  <c r="J266" i="1"/>
  <c r="C384" i="1"/>
  <c r="K342" i="1"/>
  <c r="K307" i="1"/>
  <c r="K260" i="1"/>
  <c r="K261" i="1" s="1"/>
  <c r="K287" i="1" s="1"/>
  <c r="L246" i="1"/>
  <c r="L186" i="1"/>
  <c r="L209" i="1" s="1"/>
  <c r="L175" i="1"/>
  <c r="L165" i="1"/>
  <c r="J363" i="1"/>
  <c r="L176" i="1"/>
  <c r="L166" i="1"/>
  <c r="L265" i="1" s="1"/>
  <c r="M150" i="1"/>
  <c r="M394" i="1"/>
  <c r="M451" i="1" s="1"/>
  <c r="M365" i="1"/>
  <c r="I130" i="1"/>
  <c r="I127" i="1"/>
  <c r="K127" i="1"/>
  <c r="K130" i="1"/>
  <c r="R127" i="1"/>
  <c r="R130" i="1"/>
  <c r="P347" i="1"/>
  <c r="P312" i="1"/>
  <c r="S180" i="1"/>
  <c r="S170" i="1"/>
  <c r="C152" i="1"/>
  <c r="K209" i="1"/>
  <c r="Q180" i="1"/>
  <c r="Q170" i="1"/>
  <c r="I287" i="1"/>
  <c r="O127" i="1"/>
  <c r="N301" i="1"/>
  <c r="N291" i="1" s="1"/>
  <c r="O89" i="1"/>
  <c r="M147" i="1"/>
  <c r="M110" i="1"/>
  <c r="S130" i="1"/>
  <c r="S127" i="1"/>
  <c r="P127" i="1"/>
  <c r="N127" i="1"/>
  <c r="O107" i="1"/>
  <c r="O149" i="1" s="1"/>
  <c r="O241" i="1" s="1"/>
  <c r="L345" i="1"/>
  <c r="L363" i="1" s="1"/>
  <c r="L310" i="1"/>
  <c r="L289" i="1"/>
  <c r="K247" i="1"/>
  <c r="N119" i="1" l="1"/>
  <c r="N121" i="1"/>
  <c r="M166" i="1"/>
  <c r="M265" i="1" s="1"/>
  <c r="M266" i="1" s="1"/>
  <c r="Q335" i="1"/>
  <c r="P377" i="1"/>
  <c r="M176" i="1"/>
  <c r="M328" i="1" s="1"/>
  <c r="N309" i="1"/>
  <c r="N344" i="1"/>
  <c r="O167" i="1"/>
  <c r="O177" i="1"/>
  <c r="O329" i="1" s="1"/>
  <c r="Q332" i="1"/>
  <c r="S332" i="1"/>
  <c r="B200" i="1"/>
  <c r="B276" i="1"/>
  <c r="S347" i="1"/>
  <c r="S312" i="1"/>
  <c r="L327" i="1"/>
  <c r="N242" i="1"/>
  <c r="N211" i="1"/>
  <c r="N178" i="1"/>
  <c r="N330" i="1" s="1"/>
  <c r="N168" i="1"/>
  <c r="G352" i="1"/>
  <c r="G133" i="1"/>
  <c r="G151" i="1"/>
  <c r="P107" i="1"/>
  <c r="P149" i="1" s="1"/>
  <c r="P241" i="1" s="1"/>
  <c r="O301" i="1"/>
  <c r="O291" i="1" s="1"/>
  <c r="P89" i="1"/>
  <c r="Q347" i="1"/>
  <c r="Q312" i="1"/>
  <c r="L342" i="1"/>
  <c r="L360" i="1" s="1"/>
  <c r="L307" i="1"/>
  <c r="L260" i="1"/>
  <c r="N147" i="1"/>
  <c r="N110" i="1"/>
  <c r="C127" i="1"/>
  <c r="G128" i="1"/>
  <c r="H128" i="1" s="1"/>
  <c r="I128" i="1" s="1"/>
  <c r="J128" i="1" s="1"/>
  <c r="K128" i="1" s="1"/>
  <c r="L128" i="1" s="1"/>
  <c r="M128" i="1" s="1"/>
  <c r="N128" i="1" s="1"/>
  <c r="O128" i="1" s="1"/>
  <c r="P128" i="1" s="1"/>
  <c r="Q128" i="1" s="1"/>
  <c r="R128" i="1" s="1"/>
  <c r="S128" i="1" s="1"/>
  <c r="M246" i="1"/>
  <c r="M186" i="1"/>
  <c r="M175" i="1"/>
  <c r="M327" i="1" s="1"/>
  <c r="M165" i="1"/>
  <c r="M242" i="1"/>
  <c r="M211" i="1"/>
  <c r="M178" i="1"/>
  <c r="M168" i="1"/>
  <c r="L328" i="1"/>
  <c r="L247" i="1"/>
  <c r="K360" i="1"/>
  <c r="N148" i="1"/>
  <c r="N190" i="1" s="1"/>
  <c r="N394" i="1"/>
  <c r="N451" i="1" s="1"/>
  <c r="N365" i="1"/>
  <c r="C170" i="1"/>
  <c r="O355" i="1"/>
  <c r="O106" i="1"/>
  <c r="O109" i="1"/>
  <c r="O120" i="1" s="1"/>
  <c r="O105" i="1"/>
  <c r="O108" i="1"/>
  <c r="O150" i="1" s="1"/>
  <c r="O103" i="1"/>
  <c r="L343" i="1"/>
  <c r="L298" i="1"/>
  <c r="L308" i="1"/>
  <c r="C180" i="1"/>
  <c r="O119" i="1" l="1"/>
  <c r="O121" i="1"/>
  <c r="M343" i="1"/>
  <c r="M361" i="1" s="1"/>
  <c r="M298" i="1"/>
  <c r="M308" i="1"/>
  <c r="O148" i="1"/>
  <c r="O190" i="1" s="1"/>
  <c r="R335" i="1"/>
  <c r="Q377" i="1"/>
  <c r="O309" i="1"/>
  <c r="O344" i="1"/>
  <c r="O362" i="1" s="1"/>
  <c r="N362" i="1"/>
  <c r="C332" i="1"/>
  <c r="P167" i="1"/>
  <c r="P177" i="1"/>
  <c r="P329" i="1" s="1"/>
  <c r="N191" i="1"/>
  <c r="B201" i="1"/>
  <c r="L361" i="1"/>
  <c r="O394" i="1"/>
  <c r="O451" i="1" s="1"/>
  <c r="O365" i="1"/>
  <c r="L266" i="1"/>
  <c r="M209" i="1"/>
  <c r="N246" i="1"/>
  <c r="N186" i="1"/>
  <c r="N209" i="1" s="1"/>
  <c r="N175" i="1"/>
  <c r="N327" i="1" s="1"/>
  <c r="N165" i="1"/>
  <c r="L261" i="1"/>
  <c r="Q107" i="1"/>
  <c r="Q149" i="1" s="1"/>
  <c r="Q241" i="1" s="1"/>
  <c r="G243" i="1"/>
  <c r="G212" i="1"/>
  <c r="G179" i="1"/>
  <c r="G169" i="1"/>
  <c r="C312" i="1"/>
  <c r="P301" i="1"/>
  <c r="P291" i="1" s="1"/>
  <c r="Q89" i="1"/>
  <c r="G405" i="1"/>
  <c r="G413" i="1" s="1"/>
  <c r="G370" i="1"/>
  <c r="C128" i="1"/>
  <c r="O147" i="1"/>
  <c r="O110" i="1"/>
  <c r="N176" i="1"/>
  <c r="N166" i="1"/>
  <c r="N265" i="1" s="1"/>
  <c r="M330" i="1"/>
  <c r="M342" i="1"/>
  <c r="M307" i="1"/>
  <c r="M260" i="1"/>
  <c r="M261" i="1" s="1"/>
  <c r="M287" i="1" s="1"/>
  <c r="N345" i="1"/>
  <c r="N363" i="1" s="1"/>
  <c r="N289" i="1"/>
  <c r="N310" i="1"/>
  <c r="C347" i="1"/>
  <c r="O242" i="1"/>
  <c r="O211" i="1"/>
  <c r="O178" i="1"/>
  <c r="O330" i="1" s="1"/>
  <c r="O168" i="1"/>
  <c r="M345" i="1"/>
  <c r="M310" i="1"/>
  <c r="M289" i="1"/>
  <c r="P355" i="1"/>
  <c r="P106" i="1"/>
  <c r="P105" i="1"/>
  <c r="P108" i="1"/>
  <c r="P150" i="1" s="1"/>
  <c r="P109" i="1"/>
  <c r="P120" i="1" s="1"/>
  <c r="P103" i="1"/>
  <c r="H129" i="1"/>
  <c r="H131" i="1"/>
  <c r="M247" i="1"/>
  <c r="O191" i="1" l="1"/>
  <c r="P119" i="1"/>
  <c r="P121" i="1"/>
  <c r="S335" i="1"/>
  <c r="S377" i="1" s="1"/>
  <c r="R377" i="1"/>
  <c r="O166" i="1"/>
  <c r="O265" i="1" s="1"/>
  <c r="O266" i="1" s="1"/>
  <c r="O176" i="1"/>
  <c r="O328" i="1" s="1"/>
  <c r="P148" i="1"/>
  <c r="P190" i="1" s="1"/>
  <c r="P344" i="1"/>
  <c r="P362" i="1" s="1"/>
  <c r="P309" i="1"/>
  <c r="Q167" i="1"/>
  <c r="Q177" i="1"/>
  <c r="Q329" i="1" s="1"/>
  <c r="P147" i="1"/>
  <c r="P110" i="1"/>
  <c r="O345" i="1"/>
  <c r="O363" i="1" s="1"/>
  <c r="O289" i="1"/>
  <c r="O310" i="1"/>
  <c r="O246" i="1"/>
  <c r="O186" i="1"/>
  <c r="O209" i="1" s="1"/>
  <c r="O175" i="1"/>
  <c r="O327" i="1" s="1"/>
  <c r="O165" i="1"/>
  <c r="Q301" i="1"/>
  <c r="Q291" i="1" s="1"/>
  <c r="R89" i="1"/>
  <c r="R107" i="1"/>
  <c r="R149" i="1" s="1"/>
  <c r="R241" i="1" s="1"/>
  <c r="H132" i="1"/>
  <c r="P242" i="1"/>
  <c r="P211" i="1"/>
  <c r="P178" i="1"/>
  <c r="P330" i="1" s="1"/>
  <c r="P168" i="1"/>
  <c r="M363" i="1"/>
  <c r="N342" i="1"/>
  <c r="N360" i="1" s="1"/>
  <c r="N307" i="1"/>
  <c r="N260" i="1"/>
  <c r="N261" i="1" s="1"/>
  <c r="N287" i="1" s="1"/>
  <c r="P394" i="1"/>
  <c r="P451" i="1" s="1"/>
  <c r="P365" i="1"/>
  <c r="N328" i="1"/>
  <c r="G331" i="1"/>
  <c r="Q355" i="1"/>
  <c r="Q109" i="1"/>
  <c r="Q120" i="1" s="1"/>
  <c r="Q106" i="1"/>
  <c r="Q108" i="1"/>
  <c r="Q150" i="1" s="1"/>
  <c r="Q105" i="1"/>
  <c r="Q103" i="1"/>
  <c r="L287" i="1"/>
  <c r="N247" i="1"/>
  <c r="M360" i="1"/>
  <c r="N343" i="1"/>
  <c r="N308" i="1"/>
  <c r="N298" i="1"/>
  <c r="G346" i="1"/>
  <c r="G311" i="1"/>
  <c r="G290" i="1"/>
  <c r="P166" i="1" l="1"/>
  <c r="P265" i="1" s="1"/>
  <c r="P266" i="1" s="1"/>
  <c r="R191" i="1"/>
  <c r="P191" i="1"/>
  <c r="Q119" i="1"/>
  <c r="Q121" i="1"/>
  <c r="O343" i="1"/>
  <c r="O361" i="1" s="1"/>
  <c r="O308" i="1"/>
  <c r="Q148" i="1"/>
  <c r="Q190" i="1" s="1"/>
  <c r="Q191" i="1" s="1"/>
  <c r="P176" i="1"/>
  <c r="P328" i="1" s="1"/>
  <c r="O298" i="1"/>
  <c r="Q309" i="1"/>
  <c r="Q344" i="1"/>
  <c r="Q362" i="1" s="1"/>
  <c r="R167" i="1"/>
  <c r="R177" i="1"/>
  <c r="R329" i="1" s="1"/>
  <c r="N266" i="1"/>
  <c r="Q242" i="1"/>
  <c r="Q211" i="1"/>
  <c r="Q178" i="1"/>
  <c r="Q330" i="1" s="1"/>
  <c r="Q168" i="1"/>
  <c r="R355" i="1"/>
  <c r="R108" i="1"/>
  <c r="R150" i="1" s="1"/>
  <c r="R105" i="1"/>
  <c r="R103" i="1"/>
  <c r="R106" i="1"/>
  <c r="R109" i="1"/>
  <c r="R120" i="1" s="1"/>
  <c r="O247" i="1"/>
  <c r="G364" i="1"/>
  <c r="Q147" i="1"/>
  <c r="Q110" i="1"/>
  <c r="Q394" i="1"/>
  <c r="Q451" i="1" s="1"/>
  <c r="Q365" i="1"/>
  <c r="S107" i="1"/>
  <c r="P246" i="1"/>
  <c r="P186" i="1"/>
  <c r="P209" i="1" s="1"/>
  <c r="P175" i="1"/>
  <c r="P327" i="1" s="1"/>
  <c r="P165" i="1"/>
  <c r="R301" i="1"/>
  <c r="R291" i="1" s="1"/>
  <c r="R138" i="1"/>
  <c r="R139" i="1" s="1"/>
  <c r="R383" i="1" s="1"/>
  <c r="S89" i="1"/>
  <c r="J263" i="1" s="1"/>
  <c r="H352" i="1"/>
  <c r="N361" i="1"/>
  <c r="P345" i="1"/>
  <c r="P310" i="1"/>
  <c r="P289" i="1"/>
  <c r="O342" i="1"/>
  <c r="O307" i="1"/>
  <c r="O260" i="1"/>
  <c r="O261" i="1" s="1"/>
  <c r="H151" i="1"/>
  <c r="H133" i="1"/>
  <c r="P308" i="1" l="1"/>
  <c r="N188" i="1"/>
  <c r="N195" i="1" s="1"/>
  <c r="P343" i="1"/>
  <c r="P361" i="1" s="1"/>
  <c r="O263" i="1"/>
  <c r="O275" i="1" s="1"/>
  <c r="P188" i="1"/>
  <c r="P193" i="1" s="1"/>
  <c r="P298" i="1"/>
  <c r="J269" i="1"/>
  <c r="J270" i="1"/>
  <c r="J268" i="1"/>
  <c r="J267" i="1"/>
  <c r="R188" i="1"/>
  <c r="R193" i="1" s="1"/>
  <c r="R263" i="1"/>
  <c r="R269" i="1" s="1"/>
  <c r="S191" i="1"/>
  <c r="S263" i="1"/>
  <c r="S188" i="1"/>
  <c r="S193" i="1" s="1"/>
  <c r="G188" i="1"/>
  <c r="H263" i="1"/>
  <c r="H188" i="1"/>
  <c r="G263" i="1"/>
  <c r="I263" i="1"/>
  <c r="I188" i="1"/>
  <c r="L188" i="1"/>
  <c r="J188" i="1"/>
  <c r="K188" i="1"/>
  <c r="K263" i="1"/>
  <c r="Q188" i="1"/>
  <c r="Q192" i="1" s="1"/>
  <c r="M263" i="1"/>
  <c r="L263" i="1"/>
  <c r="M188" i="1"/>
  <c r="Q263" i="1"/>
  <c r="S195" i="1"/>
  <c r="O188" i="1"/>
  <c r="N263" i="1"/>
  <c r="N267" i="1" s="1"/>
  <c r="P263" i="1"/>
  <c r="P267" i="1" s="1"/>
  <c r="R119" i="1"/>
  <c r="R121" i="1"/>
  <c r="R148" i="1"/>
  <c r="R190" i="1" s="1"/>
  <c r="Q176" i="1"/>
  <c r="Q328" i="1" s="1"/>
  <c r="Q166" i="1"/>
  <c r="Q265" i="1" s="1"/>
  <c r="R309" i="1"/>
  <c r="R344" i="1"/>
  <c r="R362" i="1" s="1"/>
  <c r="S149" i="1"/>
  <c r="C107" i="1"/>
  <c r="P247" i="1"/>
  <c r="H243" i="1"/>
  <c r="H212" i="1"/>
  <c r="H179" i="1"/>
  <c r="H169" i="1"/>
  <c r="H405" i="1"/>
  <c r="H413" i="1" s="1"/>
  <c r="H370" i="1"/>
  <c r="R147" i="1"/>
  <c r="R110" i="1"/>
  <c r="Q345" i="1"/>
  <c r="Q363" i="1" s="1"/>
  <c r="Q310" i="1"/>
  <c r="Q289" i="1"/>
  <c r="I129" i="1"/>
  <c r="I131" i="1"/>
  <c r="O360" i="1"/>
  <c r="R393" i="1"/>
  <c r="R450" i="1" s="1"/>
  <c r="S355" i="1"/>
  <c r="S109" i="1"/>
  <c r="S120" i="1" s="1"/>
  <c r="S105" i="1"/>
  <c r="S108" i="1"/>
  <c r="S106" i="1"/>
  <c r="S103" i="1"/>
  <c r="C103" i="1" s="1"/>
  <c r="Q246" i="1"/>
  <c r="Q186" i="1"/>
  <c r="Q209" i="1" s="1"/>
  <c r="Q175" i="1"/>
  <c r="Q327" i="1" s="1"/>
  <c r="Q165" i="1"/>
  <c r="S301" i="1"/>
  <c r="S291" i="1" s="1"/>
  <c r="S138" i="1"/>
  <c r="C89" i="1"/>
  <c r="P342" i="1"/>
  <c r="P360" i="1" s="1"/>
  <c r="P307" i="1"/>
  <c r="P260" i="1"/>
  <c r="P261" i="1" s="1"/>
  <c r="P287" i="1" s="1"/>
  <c r="R394" i="1"/>
  <c r="R451" i="1" s="1"/>
  <c r="R365" i="1"/>
  <c r="O287" i="1"/>
  <c r="P363" i="1"/>
  <c r="R242" i="1"/>
  <c r="R211" i="1"/>
  <c r="R178" i="1"/>
  <c r="R330" i="1" s="1"/>
  <c r="R168" i="1"/>
  <c r="G267" i="1" l="1"/>
  <c r="G277" i="1" s="1"/>
  <c r="G280" i="1" s="1"/>
  <c r="G279" i="1"/>
  <c r="G192" i="1"/>
  <c r="G202" i="1" s="1"/>
  <c r="G205" i="1" s="1"/>
  <c r="G204" i="1"/>
  <c r="R194" i="1"/>
  <c r="Q193" i="1"/>
  <c r="O270" i="1"/>
  <c r="P199" i="1"/>
  <c r="P200" i="1"/>
  <c r="R271" i="1"/>
  <c r="P201" i="1"/>
  <c r="P194" i="1"/>
  <c r="O269" i="1"/>
  <c r="O268" i="1"/>
  <c r="O267" i="1"/>
  <c r="P195" i="1"/>
  <c r="N198" i="1"/>
  <c r="O272" i="1"/>
  <c r="N199" i="1"/>
  <c r="O273" i="1"/>
  <c r="P269" i="1"/>
  <c r="P197" i="1"/>
  <c r="N196" i="1"/>
  <c r="O274" i="1"/>
  <c r="N193" i="1"/>
  <c r="N194" i="1"/>
  <c r="N192" i="1"/>
  <c r="P192" i="1"/>
  <c r="P198" i="1"/>
  <c r="N197" i="1"/>
  <c r="O271" i="1"/>
  <c r="P196" i="1"/>
  <c r="S275" i="1"/>
  <c r="S276" i="1"/>
  <c r="S273" i="1"/>
  <c r="S274" i="1"/>
  <c r="S271" i="1"/>
  <c r="O197" i="1"/>
  <c r="O196" i="1"/>
  <c r="O198" i="1"/>
  <c r="O194" i="1"/>
  <c r="O195" i="1"/>
  <c r="O199" i="1"/>
  <c r="O200" i="1"/>
  <c r="O193" i="1"/>
  <c r="O192" i="1"/>
  <c r="K270" i="1"/>
  <c r="K271" i="1"/>
  <c r="K269" i="1"/>
  <c r="K267" i="1"/>
  <c r="K268" i="1"/>
  <c r="H267" i="1"/>
  <c r="H268" i="1"/>
  <c r="N273" i="1"/>
  <c r="N272" i="1"/>
  <c r="N270" i="1"/>
  <c r="N274" i="1"/>
  <c r="N271" i="1"/>
  <c r="N268" i="1"/>
  <c r="N269" i="1"/>
  <c r="Q198" i="1"/>
  <c r="Q197" i="1"/>
  <c r="Q196" i="1"/>
  <c r="Q199" i="1"/>
  <c r="Q200" i="1"/>
  <c r="Q201" i="1"/>
  <c r="Q195" i="1"/>
  <c r="Q194" i="1"/>
  <c r="H193" i="1"/>
  <c r="H192" i="1"/>
  <c r="R198" i="1"/>
  <c r="R199" i="1"/>
  <c r="R197" i="1"/>
  <c r="R200" i="1"/>
  <c r="R201" i="1"/>
  <c r="R196" i="1"/>
  <c r="R195" i="1"/>
  <c r="J277" i="1"/>
  <c r="Q273" i="1"/>
  <c r="Q275" i="1"/>
  <c r="Q274" i="1"/>
  <c r="Q271" i="1"/>
  <c r="Q276" i="1"/>
  <c r="Q272" i="1"/>
  <c r="Q269" i="1"/>
  <c r="S199" i="1"/>
  <c r="S198" i="1"/>
  <c r="S200" i="1"/>
  <c r="S201" i="1"/>
  <c r="S197" i="1"/>
  <c r="S196" i="1"/>
  <c r="K195" i="1"/>
  <c r="K196" i="1"/>
  <c r="K194" i="1"/>
  <c r="K192" i="1"/>
  <c r="K193" i="1"/>
  <c r="P272" i="1"/>
  <c r="P274" i="1"/>
  <c r="P273" i="1"/>
  <c r="P275" i="1"/>
  <c r="P276" i="1"/>
  <c r="P270" i="1"/>
  <c r="P271" i="1"/>
  <c r="P268" i="1"/>
  <c r="M272" i="1"/>
  <c r="M273" i="1"/>
  <c r="M269" i="1"/>
  <c r="M271" i="1"/>
  <c r="M270" i="1"/>
  <c r="M267" i="1"/>
  <c r="M268" i="1"/>
  <c r="Q270" i="1"/>
  <c r="S270" i="1"/>
  <c r="S194" i="1"/>
  <c r="Q268" i="1"/>
  <c r="R192" i="1"/>
  <c r="L195" i="1"/>
  <c r="L196" i="1"/>
  <c r="L193" i="1"/>
  <c r="L194" i="1"/>
  <c r="L197" i="1"/>
  <c r="L192" i="1"/>
  <c r="J194" i="1"/>
  <c r="J195" i="1"/>
  <c r="J193" i="1"/>
  <c r="J192" i="1"/>
  <c r="L271" i="1"/>
  <c r="L272" i="1"/>
  <c r="L270" i="1"/>
  <c r="L268" i="1"/>
  <c r="L269" i="1"/>
  <c r="L267" i="1"/>
  <c r="I269" i="1"/>
  <c r="I268" i="1"/>
  <c r="I267" i="1"/>
  <c r="R274" i="1"/>
  <c r="R275" i="1"/>
  <c r="R272" i="1"/>
  <c r="R276" i="1"/>
  <c r="R273" i="1"/>
  <c r="R270" i="1"/>
  <c r="M196" i="1"/>
  <c r="M197" i="1"/>
  <c r="M194" i="1"/>
  <c r="M195" i="1"/>
  <c r="M198" i="1"/>
  <c r="M192" i="1"/>
  <c r="M193" i="1"/>
  <c r="I193" i="1"/>
  <c r="I194" i="1"/>
  <c r="I192" i="1"/>
  <c r="S272" i="1"/>
  <c r="S192" i="1"/>
  <c r="S121" i="1"/>
  <c r="S119" i="1"/>
  <c r="Q298" i="1"/>
  <c r="Q343" i="1"/>
  <c r="Q361" i="1" s="1"/>
  <c r="R166" i="1"/>
  <c r="R265" i="1" s="1"/>
  <c r="R266" i="1" s="1"/>
  <c r="S268" i="1" s="1"/>
  <c r="Q308" i="1"/>
  <c r="R176" i="1"/>
  <c r="R328" i="1" s="1"/>
  <c r="S177" i="1"/>
  <c r="S329" i="1" s="1"/>
  <c r="C329" i="1" s="1"/>
  <c r="S241" i="1"/>
  <c r="C241" i="1" s="1"/>
  <c r="S167" i="1"/>
  <c r="C149" i="1"/>
  <c r="Q247" i="1"/>
  <c r="S147" i="1"/>
  <c r="S110" i="1"/>
  <c r="C110" i="1" s="1"/>
  <c r="C105" i="1"/>
  <c r="R246" i="1"/>
  <c r="R186" i="1"/>
  <c r="R209" i="1" s="1"/>
  <c r="R175" i="1"/>
  <c r="R327" i="1" s="1"/>
  <c r="R165" i="1"/>
  <c r="H346" i="1"/>
  <c r="H290" i="1"/>
  <c r="H311" i="1"/>
  <c r="R345" i="1"/>
  <c r="R363" i="1" s="1"/>
  <c r="R289" i="1"/>
  <c r="R310" i="1"/>
  <c r="Q342" i="1"/>
  <c r="Q360" i="1" s="1"/>
  <c r="Q307" i="1"/>
  <c r="Q260" i="1"/>
  <c r="Q261" i="1" s="1"/>
  <c r="S150" i="1"/>
  <c r="C108" i="1"/>
  <c r="P90" i="1"/>
  <c r="L90" i="1"/>
  <c r="H90" i="1"/>
  <c r="I90" i="1"/>
  <c r="R90" i="1"/>
  <c r="N90" i="1"/>
  <c r="J90" i="1"/>
  <c r="Q90" i="1"/>
  <c r="M90" i="1"/>
  <c r="S90" i="1"/>
  <c r="O90" i="1"/>
  <c r="K90" i="1"/>
  <c r="G90" i="1"/>
  <c r="C191" i="1"/>
  <c r="S148" i="1"/>
  <c r="S190" i="1" s="1"/>
  <c r="C190" i="1" s="1"/>
  <c r="C106" i="1"/>
  <c r="S394" i="1"/>
  <c r="S365" i="1"/>
  <c r="C365" i="1" s="1"/>
  <c r="I132" i="1"/>
  <c r="I151" i="1" s="1"/>
  <c r="Q266" i="1"/>
  <c r="S139" i="1"/>
  <c r="C109" i="1"/>
  <c r="H331" i="1"/>
  <c r="G206" i="1" l="1"/>
  <c r="H204" i="1" s="1"/>
  <c r="G281" i="1"/>
  <c r="G282" i="1" s="1"/>
  <c r="G326" i="1" s="1"/>
  <c r="G288" i="1"/>
  <c r="G210" i="1"/>
  <c r="R267" i="1"/>
  <c r="N202" i="1"/>
  <c r="N210" i="1" s="1"/>
  <c r="P202" i="1"/>
  <c r="P210" i="1" s="1"/>
  <c r="O277" i="1"/>
  <c r="O288" i="1" s="1"/>
  <c r="P277" i="1"/>
  <c r="P288" i="1" s="1"/>
  <c r="C201" i="1"/>
  <c r="C271" i="1"/>
  <c r="C270" i="1"/>
  <c r="C199" i="1"/>
  <c r="R202" i="1"/>
  <c r="R210" i="1" s="1"/>
  <c r="C194" i="1"/>
  <c r="J202" i="1"/>
  <c r="J210" i="1" s="1"/>
  <c r="Q202" i="1"/>
  <c r="Q210" i="1" s="1"/>
  <c r="C275" i="1"/>
  <c r="N277" i="1"/>
  <c r="N288" i="1" s="1"/>
  <c r="C193" i="1"/>
  <c r="J288" i="1"/>
  <c r="M277" i="1"/>
  <c r="M288" i="1" s="1"/>
  <c r="C272" i="1"/>
  <c r="K277" i="1"/>
  <c r="K288" i="1" s="1"/>
  <c r="C273" i="1"/>
  <c r="L277" i="1"/>
  <c r="C195" i="1"/>
  <c r="C197" i="1"/>
  <c r="K202" i="1"/>
  <c r="K210" i="1" s="1"/>
  <c r="C198" i="1"/>
  <c r="L202" i="1"/>
  <c r="M202" i="1"/>
  <c r="M210" i="1" s="1"/>
  <c r="C274" i="1"/>
  <c r="C196" i="1"/>
  <c r="H277" i="1"/>
  <c r="H280" i="1" s="1"/>
  <c r="C200" i="1"/>
  <c r="I202" i="1"/>
  <c r="I210" i="1" s="1"/>
  <c r="I277" i="1"/>
  <c r="C276" i="1"/>
  <c r="H202" i="1"/>
  <c r="O202" i="1"/>
  <c r="O210" i="1" s="1"/>
  <c r="R268" i="1"/>
  <c r="S269" i="1"/>
  <c r="Q267" i="1"/>
  <c r="C394" i="1"/>
  <c r="S451" i="1"/>
  <c r="R343" i="1"/>
  <c r="R361" i="1" s="1"/>
  <c r="R308" i="1"/>
  <c r="R298" i="1"/>
  <c r="C177" i="1"/>
  <c r="C167" i="1"/>
  <c r="S309" i="1"/>
  <c r="C309" i="1" s="1"/>
  <c r="S344" i="1"/>
  <c r="C90" i="1"/>
  <c r="R247" i="1"/>
  <c r="I352" i="1"/>
  <c r="I370" i="1" s="1"/>
  <c r="I243" i="1"/>
  <c r="I212" i="1"/>
  <c r="I179" i="1"/>
  <c r="I169" i="1"/>
  <c r="Q287" i="1"/>
  <c r="C121" i="1"/>
  <c r="C120" i="1"/>
  <c r="C119" i="1"/>
  <c r="S383" i="1"/>
  <c r="S202" i="1"/>
  <c r="C192" i="1"/>
  <c r="S242" i="1"/>
  <c r="C242" i="1" s="1"/>
  <c r="S211" i="1"/>
  <c r="C211" i="1" s="1"/>
  <c r="S178" i="1"/>
  <c r="S168" i="1"/>
  <c r="C150" i="1"/>
  <c r="S246" i="1"/>
  <c r="S186" i="1"/>
  <c r="S175" i="1"/>
  <c r="S165" i="1"/>
  <c r="C147" i="1"/>
  <c r="H364" i="1"/>
  <c r="S176" i="1"/>
  <c r="S166" i="1"/>
  <c r="S265" i="1" s="1"/>
  <c r="S266" i="1" s="1"/>
  <c r="S267" i="1" s="1"/>
  <c r="C148" i="1"/>
  <c r="R342" i="1"/>
  <c r="R360" i="1" s="1"/>
  <c r="R260" i="1"/>
  <c r="R261" i="1" s="1"/>
  <c r="R287" i="1" s="1"/>
  <c r="R307" i="1"/>
  <c r="I133" i="1"/>
  <c r="G306" i="1" l="1"/>
  <c r="G340" i="1"/>
  <c r="G358" i="1" s="1"/>
  <c r="H279" i="1"/>
  <c r="G213" i="1"/>
  <c r="G214" i="1" s="1"/>
  <c r="G404" i="1"/>
  <c r="H210" i="1"/>
  <c r="H205" i="1"/>
  <c r="I205" i="1" s="1"/>
  <c r="J205" i="1" s="1"/>
  <c r="K205" i="1" s="1"/>
  <c r="L205" i="1" s="1"/>
  <c r="M205" i="1" s="1"/>
  <c r="N205" i="1" s="1"/>
  <c r="O205" i="1" s="1"/>
  <c r="P205" i="1" s="1"/>
  <c r="Q205" i="1" s="1"/>
  <c r="R205" i="1" s="1"/>
  <c r="S205" i="1" s="1"/>
  <c r="I280" i="1"/>
  <c r="J280" i="1" s="1"/>
  <c r="K280" i="1" s="1"/>
  <c r="L280" i="1" s="1"/>
  <c r="M280" i="1" s="1"/>
  <c r="N280" i="1" s="1"/>
  <c r="O280" i="1" s="1"/>
  <c r="P280" i="1" s="1"/>
  <c r="H288" i="1"/>
  <c r="C266" i="1"/>
  <c r="L210" i="1"/>
  <c r="I288" i="1"/>
  <c r="L288" i="1"/>
  <c r="C451" i="1"/>
  <c r="F479" i="1" s="1"/>
  <c r="S122" i="1"/>
  <c r="J122" i="1"/>
  <c r="I122" i="1"/>
  <c r="P122" i="1"/>
  <c r="O122" i="1"/>
  <c r="N122" i="1"/>
  <c r="M122" i="1"/>
  <c r="L122" i="1"/>
  <c r="G122" i="1"/>
  <c r="K122" i="1"/>
  <c r="R122" i="1"/>
  <c r="Q122" i="1"/>
  <c r="H122" i="1"/>
  <c r="S362" i="1"/>
  <c r="C362" i="1" s="1"/>
  <c r="C344" i="1"/>
  <c r="I405" i="1"/>
  <c r="I413" i="1" s="1"/>
  <c r="J129" i="1"/>
  <c r="J131" i="1"/>
  <c r="C268" i="1"/>
  <c r="R277" i="1"/>
  <c r="R288" i="1" s="1"/>
  <c r="S247" i="1"/>
  <c r="C246" i="1"/>
  <c r="I331" i="1"/>
  <c r="Q277" i="1"/>
  <c r="Q288" i="1" s="1"/>
  <c r="C267" i="1"/>
  <c r="S209" i="1"/>
  <c r="C209" i="1" s="1"/>
  <c r="C186" i="1"/>
  <c r="S330" i="1"/>
  <c r="C330" i="1" s="1"/>
  <c r="C178" i="1"/>
  <c r="I346" i="1"/>
  <c r="I290" i="1"/>
  <c r="I311" i="1"/>
  <c r="S328" i="1"/>
  <c r="C328" i="1" s="1"/>
  <c r="C176" i="1"/>
  <c r="S327" i="1"/>
  <c r="C327" i="1" s="1"/>
  <c r="C175" i="1"/>
  <c r="S345" i="1"/>
  <c r="S289" i="1"/>
  <c r="C289" i="1" s="1"/>
  <c r="S310" i="1"/>
  <c r="C310" i="1" s="1"/>
  <c r="C168" i="1"/>
  <c r="S393" i="1"/>
  <c r="S450" i="1" s="1"/>
  <c r="S343" i="1"/>
  <c r="S308" i="1"/>
  <c r="C308" i="1" s="1"/>
  <c r="S298" i="1"/>
  <c r="C298" i="1" s="1"/>
  <c r="C265" i="1"/>
  <c r="C166" i="1"/>
  <c r="C269" i="1"/>
  <c r="S277" i="1"/>
  <c r="S342" i="1"/>
  <c r="S307" i="1"/>
  <c r="C307" i="1" s="1"/>
  <c r="S260" i="1"/>
  <c r="C165" i="1"/>
  <c r="S210" i="1"/>
  <c r="C202" i="1"/>
  <c r="H206" i="1" l="1"/>
  <c r="Q280" i="1"/>
  <c r="R280" i="1" s="1"/>
  <c r="S280" i="1" s="1"/>
  <c r="H281" i="1"/>
  <c r="C260" i="1"/>
  <c r="S261" i="1"/>
  <c r="C210" i="1"/>
  <c r="S360" i="1"/>
  <c r="C360" i="1" s="1"/>
  <c r="C342" i="1"/>
  <c r="I364" i="1"/>
  <c r="S361" i="1"/>
  <c r="C361" i="1" s="1"/>
  <c r="C343" i="1"/>
  <c r="S363" i="1"/>
  <c r="C363" i="1" s="1"/>
  <c r="C345" i="1"/>
  <c r="J132" i="1"/>
  <c r="J352" i="1" s="1"/>
  <c r="S288" i="1"/>
  <c r="C288" i="1" s="1"/>
  <c r="C277" i="1"/>
  <c r="S299" i="1"/>
  <c r="O299" i="1"/>
  <c r="K299" i="1"/>
  <c r="G299" i="1"/>
  <c r="Q299" i="1"/>
  <c r="M299" i="1"/>
  <c r="I299" i="1"/>
  <c r="R299" i="1"/>
  <c r="N299" i="1"/>
  <c r="J299" i="1"/>
  <c r="H299" i="1"/>
  <c r="L299" i="1"/>
  <c r="P299" i="1"/>
  <c r="I301" i="1"/>
  <c r="J301" i="1"/>
  <c r="J291" i="1" s="1"/>
  <c r="K301" i="1"/>
  <c r="K291" i="1" s="1"/>
  <c r="L301" i="1"/>
  <c r="L291" i="1" s="1"/>
  <c r="M301" i="1"/>
  <c r="M291" i="1" s="1"/>
  <c r="I204" i="1" l="1"/>
  <c r="I206" i="1" s="1"/>
  <c r="H340" i="1"/>
  <c r="H358" i="1" s="1"/>
  <c r="I279" i="1"/>
  <c r="I281" i="1" s="1"/>
  <c r="H306" i="1"/>
  <c r="C280" i="1"/>
  <c r="H282" i="1"/>
  <c r="H326" i="1" s="1"/>
  <c r="S287" i="1"/>
  <c r="C287" i="1" s="1"/>
  <c r="C261" i="1"/>
  <c r="G412" i="1"/>
  <c r="K300" i="1"/>
  <c r="K313" i="1" s="1"/>
  <c r="S300" i="1"/>
  <c r="S341" i="1" s="1"/>
  <c r="S359" i="1" s="1"/>
  <c r="J300" i="1"/>
  <c r="J313" i="1" s="1"/>
  <c r="H300" i="1"/>
  <c r="H422" i="1" s="1"/>
  <c r="H429" i="1" s="1"/>
  <c r="M300" i="1"/>
  <c r="M313" i="1" s="1"/>
  <c r="L300" i="1"/>
  <c r="L313" i="1" s="1"/>
  <c r="P300" i="1"/>
  <c r="P313" i="1" s="1"/>
  <c r="I300" i="1"/>
  <c r="I313" i="1" s="1"/>
  <c r="N300" i="1"/>
  <c r="N341" i="1" s="1"/>
  <c r="N359" i="1" s="1"/>
  <c r="O300" i="1"/>
  <c r="O422" i="1" s="1"/>
  <c r="O429" i="1" s="1"/>
  <c r="Q300" i="1"/>
  <c r="Q313" i="1" s="1"/>
  <c r="R300" i="1"/>
  <c r="R341" i="1" s="1"/>
  <c r="R359" i="1" s="1"/>
  <c r="J405" i="1"/>
  <c r="J413" i="1" s="1"/>
  <c r="J370" i="1"/>
  <c r="I291" i="1"/>
  <c r="C291" i="1" s="1"/>
  <c r="C301" i="1"/>
  <c r="J133" i="1"/>
  <c r="J151" i="1"/>
  <c r="G300" i="1"/>
  <c r="C299" i="1"/>
  <c r="H213" i="1" l="1"/>
  <c r="H404" i="1"/>
  <c r="H412" i="1" s="1"/>
  <c r="J204" i="1"/>
  <c r="J206" i="1" s="1"/>
  <c r="I340" i="1"/>
  <c r="I358" i="1" s="1"/>
  <c r="I282" i="1"/>
  <c r="I326" i="1" s="1"/>
  <c r="I306" i="1"/>
  <c r="J279" i="1"/>
  <c r="R313" i="1"/>
  <c r="H313" i="1"/>
  <c r="J422" i="1"/>
  <c r="J429" i="1" s="1"/>
  <c r="J341" i="1"/>
  <c r="J359" i="1" s="1"/>
  <c r="R422" i="1"/>
  <c r="R429" i="1" s="1"/>
  <c r="H341" i="1"/>
  <c r="H359" i="1" s="1"/>
  <c r="I341" i="1"/>
  <c r="I359" i="1" s="1"/>
  <c r="I422" i="1"/>
  <c r="I429" i="1" s="1"/>
  <c r="Q422" i="1"/>
  <c r="Q429" i="1" s="1"/>
  <c r="Q341" i="1"/>
  <c r="Q359" i="1" s="1"/>
  <c r="N422" i="1"/>
  <c r="N429" i="1" s="1"/>
  <c r="O341" i="1"/>
  <c r="O359" i="1" s="1"/>
  <c r="O313" i="1"/>
  <c r="S313" i="1"/>
  <c r="N313" i="1"/>
  <c r="K422" i="1"/>
  <c r="K429" i="1" s="1"/>
  <c r="M422" i="1"/>
  <c r="M429" i="1" s="1"/>
  <c r="L422" i="1"/>
  <c r="L429" i="1" s="1"/>
  <c r="M341" i="1"/>
  <c r="M359" i="1" s="1"/>
  <c r="S422" i="1"/>
  <c r="S429" i="1" s="1"/>
  <c r="P341" i="1"/>
  <c r="P359" i="1" s="1"/>
  <c r="L341" i="1"/>
  <c r="L359" i="1" s="1"/>
  <c r="K341" i="1"/>
  <c r="K359" i="1" s="1"/>
  <c r="P422" i="1"/>
  <c r="P429" i="1" s="1"/>
  <c r="G422" i="1"/>
  <c r="G341" i="1"/>
  <c r="G313" i="1"/>
  <c r="C300" i="1"/>
  <c r="J243" i="1"/>
  <c r="J212" i="1"/>
  <c r="J179" i="1"/>
  <c r="J169" i="1"/>
  <c r="K129" i="1"/>
  <c r="K131" i="1"/>
  <c r="I213" i="1" l="1"/>
  <c r="I404" i="1"/>
  <c r="K204" i="1"/>
  <c r="K206" i="1" s="1"/>
  <c r="J281" i="1"/>
  <c r="C313" i="1"/>
  <c r="G429" i="1"/>
  <c r="C422" i="1"/>
  <c r="G359" i="1"/>
  <c r="C359" i="1" s="1"/>
  <c r="C341" i="1"/>
  <c r="J331" i="1"/>
  <c r="K132" i="1"/>
  <c r="K151" i="1" s="1"/>
  <c r="J346" i="1"/>
  <c r="J311" i="1"/>
  <c r="J290" i="1"/>
  <c r="L204" i="1" l="1"/>
  <c r="L206" i="1" s="1"/>
  <c r="J306" i="1"/>
  <c r="J340" i="1"/>
  <c r="J358" i="1" s="1"/>
  <c r="J282" i="1"/>
  <c r="J326" i="1" s="1"/>
  <c r="K279" i="1"/>
  <c r="I412" i="1"/>
  <c r="K352" i="1"/>
  <c r="K370" i="1" s="1"/>
  <c r="K243" i="1"/>
  <c r="K212" i="1"/>
  <c r="K179" i="1"/>
  <c r="K169" i="1"/>
  <c r="J364" i="1"/>
  <c r="K133" i="1"/>
  <c r="C429" i="1"/>
  <c r="G439" i="1"/>
  <c r="J439" i="1"/>
  <c r="H439" i="1"/>
  <c r="I439" i="1"/>
  <c r="J213" i="1" l="1"/>
  <c r="J404" i="1"/>
  <c r="J412" i="1" s="1"/>
  <c r="M204" i="1"/>
  <c r="M206" i="1" s="1"/>
  <c r="K281" i="1"/>
  <c r="K405" i="1"/>
  <c r="K413" i="1" s="1"/>
  <c r="L129" i="1"/>
  <c r="L130" i="1" s="1"/>
  <c r="L131" i="1"/>
  <c r="K331" i="1"/>
  <c r="K346" i="1"/>
  <c r="K311" i="1"/>
  <c r="K290" i="1"/>
  <c r="N204" i="1" l="1"/>
  <c r="N206" i="1" s="1"/>
  <c r="K340" i="1"/>
  <c r="K358" i="1" s="1"/>
  <c r="K282" i="1"/>
  <c r="K326" i="1" s="1"/>
  <c r="K306" i="1"/>
  <c r="L279" i="1"/>
  <c r="L281" i="1" s="1"/>
  <c r="K364" i="1"/>
  <c r="L132" i="1"/>
  <c r="L352" i="1" s="1"/>
  <c r="K213" i="1" l="1"/>
  <c r="O204" i="1"/>
  <c r="O206" i="1" s="1"/>
  <c r="K404" i="1"/>
  <c r="K412" i="1" s="1"/>
  <c r="L306" i="1"/>
  <c r="L340" i="1"/>
  <c r="L358" i="1" s="1"/>
  <c r="M279" i="1"/>
  <c r="L282" i="1"/>
  <c r="L326" i="1" s="1"/>
  <c r="L133" i="1"/>
  <c r="M131" i="1" s="1"/>
  <c r="L151" i="1"/>
  <c r="L243" i="1" s="1"/>
  <c r="L405" i="1"/>
  <c r="L413" i="1" s="1"/>
  <c r="L370" i="1"/>
  <c r="L213" i="1" l="1"/>
  <c r="L404" i="1"/>
  <c r="L412" i="1" s="1"/>
  <c r="P204" i="1"/>
  <c r="P206" i="1" s="1"/>
  <c r="M281" i="1"/>
  <c r="M129" i="1"/>
  <c r="M130" i="1" s="1"/>
  <c r="L169" i="1"/>
  <c r="L346" i="1" s="1"/>
  <c r="L364" i="1" s="1"/>
  <c r="L212" i="1"/>
  <c r="L179" i="1"/>
  <c r="Q204" i="1" l="1"/>
  <c r="Q206" i="1" s="1"/>
  <c r="M306" i="1"/>
  <c r="M340" i="1"/>
  <c r="M358" i="1" s="1"/>
  <c r="C205" i="1"/>
  <c r="N279" i="1"/>
  <c r="M282" i="1"/>
  <c r="M326" i="1" s="1"/>
  <c r="M132" i="1"/>
  <c r="M352" i="1" s="1"/>
  <c r="L331" i="1"/>
  <c r="L290" i="1"/>
  <c r="L311" i="1"/>
  <c r="M213" i="1" l="1"/>
  <c r="C204" i="1"/>
  <c r="R204" i="1"/>
  <c r="R206" i="1" s="1"/>
  <c r="M404" i="1"/>
  <c r="M412" i="1" s="1"/>
  <c r="N281" i="1"/>
  <c r="M151" i="1"/>
  <c r="M169" i="1" s="1"/>
  <c r="M133" i="1"/>
  <c r="N131" i="1" s="1"/>
  <c r="M405" i="1"/>
  <c r="M413" i="1" s="1"/>
  <c r="M370" i="1"/>
  <c r="S204" i="1" l="1"/>
  <c r="S206" i="1" s="1"/>
  <c r="C206" i="1" s="1"/>
  <c r="N340" i="1"/>
  <c r="N358" i="1" s="1"/>
  <c r="O279" i="1"/>
  <c r="N306" i="1"/>
  <c r="N282" i="1"/>
  <c r="N326" i="1" s="1"/>
  <c r="M243" i="1"/>
  <c r="M212" i="1"/>
  <c r="M179" i="1"/>
  <c r="N129" i="1"/>
  <c r="N132" i="1" s="1"/>
  <c r="M346" i="1"/>
  <c r="M364" i="1" s="1"/>
  <c r="M290" i="1"/>
  <c r="M311" i="1"/>
  <c r="N213" i="1" l="1"/>
  <c r="N404" i="1"/>
  <c r="N412" i="1" s="1"/>
  <c r="A202" i="1"/>
  <c r="O281" i="1"/>
  <c r="M331" i="1"/>
  <c r="N130" i="1"/>
  <c r="N133" i="1" s="1"/>
  <c r="O131" i="1" s="1"/>
  <c r="O340" i="1" l="1"/>
  <c r="O358" i="1" s="1"/>
  <c r="P279" i="1"/>
  <c r="P281" i="1" s="1"/>
  <c r="O306" i="1"/>
  <c r="O282" i="1"/>
  <c r="O326" i="1" s="1"/>
  <c r="A206" i="1"/>
  <c r="N352" i="1"/>
  <c r="N370" i="1" s="1"/>
  <c r="N151" i="1"/>
  <c r="N243" i="1" s="1"/>
  <c r="O129" i="1"/>
  <c r="O130" i="1" s="1"/>
  <c r="O213" i="1" l="1"/>
  <c r="O404" i="1"/>
  <c r="O412" i="1" s="1"/>
  <c r="P306" i="1"/>
  <c r="P340" i="1"/>
  <c r="P358" i="1" s="1"/>
  <c r="Q279" i="1"/>
  <c r="C279" i="1" s="1"/>
  <c r="P282" i="1"/>
  <c r="P326" i="1" s="1"/>
  <c r="N212" i="1"/>
  <c r="N405" i="1"/>
  <c r="N413" i="1" s="1"/>
  <c r="N179" i="1"/>
  <c r="N169" i="1"/>
  <c r="N311" i="1" s="1"/>
  <c r="O132" i="1"/>
  <c r="O151" i="1" s="1"/>
  <c r="P213" i="1" l="1"/>
  <c r="P404" i="1"/>
  <c r="P412" i="1" s="1"/>
  <c r="Q281" i="1"/>
  <c r="N290" i="1"/>
  <c r="N346" i="1"/>
  <c r="N364" i="1" s="1"/>
  <c r="N331" i="1"/>
  <c r="O352" i="1"/>
  <c r="O370" i="1" s="1"/>
  <c r="O133" i="1"/>
  <c r="P131" i="1" s="1"/>
  <c r="O243" i="1"/>
  <c r="O212" i="1"/>
  <c r="O179" i="1"/>
  <c r="O169" i="1"/>
  <c r="Q340" i="1" l="1"/>
  <c r="Q358" i="1" s="1"/>
  <c r="Q306" i="1"/>
  <c r="R279" i="1"/>
  <c r="Q282" i="1"/>
  <c r="Q326" i="1" s="1"/>
  <c r="P129" i="1"/>
  <c r="P132" i="1" s="1"/>
  <c r="O405" i="1"/>
  <c r="O413" i="1" s="1"/>
  <c r="O331" i="1"/>
  <c r="O346" i="1"/>
  <c r="O364" i="1" s="1"/>
  <c r="O311" i="1"/>
  <c r="O290" i="1"/>
  <c r="Q213" i="1" l="1"/>
  <c r="Q404" i="1"/>
  <c r="Q412" i="1" s="1"/>
  <c r="R281" i="1"/>
  <c r="P130" i="1"/>
  <c r="P151" i="1" s="1"/>
  <c r="R340" i="1" l="1"/>
  <c r="R358" i="1" s="1"/>
  <c r="R306" i="1"/>
  <c r="S279" i="1"/>
  <c r="S281" i="1" s="1"/>
  <c r="R282" i="1"/>
  <c r="R326" i="1" s="1"/>
  <c r="P352" i="1"/>
  <c r="P370" i="1" s="1"/>
  <c r="P133" i="1"/>
  <c r="Q129" i="1" s="1"/>
  <c r="Q130" i="1" s="1"/>
  <c r="P243" i="1"/>
  <c r="P212" i="1"/>
  <c r="P179" i="1"/>
  <c r="P169" i="1"/>
  <c r="R213" i="1" l="1"/>
  <c r="R404" i="1"/>
  <c r="R412" i="1" s="1"/>
  <c r="S306" i="1"/>
  <c r="S340" i="1"/>
  <c r="C281" i="1"/>
  <c r="S282" i="1"/>
  <c r="S404" i="1" s="1"/>
  <c r="P405" i="1"/>
  <c r="P413" i="1" s="1"/>
  <c r="Q131" i="1"/>
  <c r="Q132" i="1" s="1"/>
  <c r="C130" i="1"/>
  <c r="P346" i="1"/>
  <c r="P364" i="1" s="1"/>
  <c r="P290" i="1"/>
  <c r="P311" i="1"/>
  <c r="P331" i="1"/>
  <c r="S213" i="1" l="1"/>
  <c r="C213" i="1" s="1"/>
  <c r="S412" i="1"/>
  <c r="I443" i="1" s="1"/>
  <c r="S326" i="1"/>
  <c r="C326" i="1" s="1"/>
  <c r="S358" i="1"/>
  <c r="C358" i="1" s="1"/>
  <c r="C340" i="1"/>
  <c r="A277" i="1"/>
  <c r="A281" i="1"/>
  <c r="C282" i="1"/>
  <c r="Q151" i="1"/>
  <c r="Q179" i="1" s="1"/>
  <c r="Q133" i="1"/>
  <c r="Q352" i="1"/>
  <c r="Q405" i="1" s="1"/>
  <c r="Q413" i="1" s="1"/>
  <c r="G443" i="1" l="1"/>
  <c r="J443" i="1"/>
  <c r="H443" i="1"/>
  <c r="C404" i="1"/>
  <c r="Q243" i="1"/>
  <c r="Q212" i="1"/>
  <c r="Q169" i="1"/>
  <c r="Q346" i="1" s="1"/>
  <c r="Q364" i="1" s="1"/>
  <c r="Q370" i="1"/>
  <c r="R129" i="1"/>
  <c r="R131" i="1"/>
  <c r="Q331" i="1"/>
  <c r="Q290" i="1" l="1"/>
  <c r="Q311" i="1"/>
  <c r="R132" i="1"/>
  <c r="R151" i="1" l="1"/>
  <c r="R133" i="1"/>
  <c r="R352" i="1"/>
  <c r="R405" i="1" s="1"/>
  <c r="R413" i="1" s="1"/>
  <c r="R212" i="1" l="1"/>
  <c r="R243" i="1"/>
  <c r="R169" i="1"/>
  <c r="R179" i="1"/>
  <c r="S131" i="1"/>
  <c r="S129" i="1"/>
  <c r="C129" i="1" s="1"/>
  <c r="R370" i="1"/>
  <c r="R331" i="1" l="1"/>
  <c r="C131" i="1"/>
  <c r="S132" i="1"/>
  <c r="S133" i="1" s="1"/>
  <c r="R290" i="1"/>
  <c r="R311" i="1"/>
  <c r="R346" i="1"/>
  <c r="R364" i="1" s="1"/>
  <c r="S151" i="1" l="1"/>
  <c r="S243" i="1" s="1"/>
  <c r="C243" i="1" s="1"/>
  <c r="C132" i="1"/>
  <c r="S352" i="1"/>
  <c r="S179" i="1" l="1"/>
  <c r="C151" i="1"/>
  <c r="S169" i="1"/>
  <c r="S212" i="1"/>
  <c r="C212" i="1" s="1"/>
  <c r="S405" i="1"/>
  <c r="C352" i="1"/>
  <c r="S370" i="1"/>
  <c r="C405" i="1" l="1"/>
  <c r="S413" i="1"/>
  <c r="S311" i="1"/>
  <c r="C311" i="1" s="1"/>
  <c r="C169" i="1"/>
  <c r="S290" i="1"/>
  <c r="C290" i="1" s="1"/>
  <c r="S346" i="1"/>
  <c r="S331" i="1"/>
  <c r="C331" i="1" s="1"/>
  <c r="C179" i="1"/>
  <c r="C370" i="1"/>
  <c r="I444" i="1" l="1"/>
  <c r="J444" i="1"/>
  <c r="H444" i="1"/>
  <c r="C413" i="1"/>
  <c r="G444" i="1"/>
  <c r="C346" i="1"/>
  <c r="S364" i="1"/>
  <c r="C364" i="1" s="1"/>
  <c r="N69" i="1" l="1"/>
  <c r="N73" i="1" s="1"/>
  <c r="M69" i="1"/>
  <c r="M73" i="1" s="1"/>
  <c r="K69" i="1"/>
  <c r="K73" i="1" s="1"/>
  <c r="K102" i="1" s="1"/>
  <c r="K136" i="1" s="1"/>
  <c r="L69" i="1"/>
  <c r="L73" i="1" s="1"/>
  <c r="R69" i="1"/>
  <c r="R73" i="1" s="1"/>
  <c r="R75" i="1" s="1"/>
  <c r="R104" i="1" s="1"/>
  <c r="J69" i="1"/>
  <c r="J73" i="1" s="1"/>
  <c r="J102" i="1" s="1"/>
  <c r="J136" i="1" s="1"/>
  <c r="P69" i="1"/>
  <c r="P73" i="1" s="1"/>
  <c r="I69" i="1"/>
  <c r="I73" i="1" s="1"/>
  <c r="Q69" i="1"/>
  <c r="Q73" i="1" s="1"/>
  <c r="G69" i="1"/>
  <c r="G73" i="1" s="1"/>
  <c r="H69" i="1"/>
  <c r="H73" i="1" s="1"/>
  <c r="O69" i="1"/>
  <c r="O73" i="1" s="1"/>
  <c r="F597" i="1"/>
  <c r="S69" i="1"/>
  <c r="S73" i="1" s="1"/>
  <c r="R102" i="1" l="1"/>
  <c r="R136" i="1" s="1"/>
  <c r="N102" i="1"/>
  <c r="N136" i="1" s="1"/>
  <c r="N75" i="1"/>
  <c r="N82" i="1" s="1"/>
  <c r="N415" i="1" s="1"/>
  <c r="O75" i="1"/>
  <c r="O104" i="1" s="1"/>
  <c r="O102" i="1"/>
  <c r="O136" i="1" s="1"/>
  <c r="I102" i="1"/>
  <c r="I136" i="1" s="1"/>
  <c r="I75" i="1"/>
  <c r="Q102" i="1"/>
  <c r="Q136" i="1" s="1"/>
  <c r="Q75" i="1"/>
  <c r="R137" i="1"/>
  <c r="R111" i="1"/>
  <c r="R146" i="1"/>
  <c r="P75" i="1"/>
  <c r="P102" i="1"/>
  <c r="P136" i="1" s="1"/>
  <c r="S102" i="1"/>
  <c r="S136" i="1" s="1"/>
  <c r="S75" i="1"/>
  <c r="C73" i="1"/>
  <c r="G75" i="1"/>
  <c r="G102" i="1"/>
  <c r="L102" i="1"/>
  <c r="L136" i="1" s="1"/>
  <c r="L75" i="1"/>
  <c r="R82" i="1"/>
  <c r="M102" i="1"/>
  <c r="M136" i="1" s="1"/>
  <c r="M75" i="1"/>
  <c r="J75" i="1"/>
  <c r="H102" i="1"/>
  <c r="H136" i="1" s="1"/>
  <c r="H75" i="1"/>
  <c r="K75" i="1"/>
  <c r="N94" i="1" l="1"/>
  <c r="O82" i="1"/>
  <c r="O415" i="1" s="1"/>
  <c r="N104" i="1"/>
  <c r="N137" i="1" s="1"/>
  <c r="N138" i="1" s="1"/>
  <c r="N139" i="1" s="1"/>
  <c r="N383" i="1" s="1"/>
  <c r="H82" i="1"/>
  <c r="H104" i="1"/>
  <c r="R415" i="1"/>
  <c r="R94" i="1"/>
  <c r="K82" i="1"/>
  <c r="K104" i="1"/>
  <c r="S82" i="1"/>
  <c r="S104" i="1"/>
  <c r="Q82" i="1"/>
  <c r="Q104" i="1"/>
  <c r="M104" i="1"/>
  <c r="M82" i="1"/>
  <c r="R174" i="1"/>
  <c r="R181" i="1" s="1"/>
  <c r="R153" i="1"/>
  <c r="R164" i="1"/>
  <c r="R171" i="1" s="1"/>
  <c r="R184" i="1"/>
  <c r="L104" i="1"/>
  <c r="L82" i="1"/>
  <c r="I104" i="1"/>
  <c r="I82" i="1"/>
  <c r="C75" i="1"/>
  <c r="A75" i="1" s="1"/>
  <c r="G104" i="1"/>
  <c r="G82" i="1"/>
  <c r="C102" i="1"/>
  <c r="G136" i="1"/>
  <c r="C136" i="1" s="1"/>
  <c r="R407" i="1"/>
  <c r="R419" i="1"/>
  <c r="J82" i="1"/>
  <c r="J104" i="1"/>
  <c r="O111" i="1"/>
  <c r="O137" i="1"/>
  <c r="O138" i="1" s="1"/>
  <c r="O139" i="1" s="1"/>
  <c r="O383" i="1" s="1"/>
  <c r="P82" i="1"/>
  <c r="P104" i="1"/>
  <c r="O94" i="1" l="1"/>
  <c r="N111" i="1"/>
  <c r="N419" i="1" s="1"/>
  <c r="O146" i="1"/>
  <c r="O184" i="1" s="1"/>
  <c r="N146" i="1"/>
  <c r="N153" i="1" s="1"/>
  <c r="L137" i="1"/>
  <c r="L138" i="1" s="1"/>
  <c r="L139" i="1" s="1"/>
  <c r="L383" i="1" s="1"/>
  <c r="L111" i="1"/>
  <c r="J137" i="1"/>
  <c r="J138" i="1" s="1"/>
  <c r="J139" i="1" s="1"/>
  <c r="J383" i="1" s="1"/>
  <c r="J111" i="1"/>
  <c r="H146" i="1"/>
  <c r="H111" i="1"/>
  <c r="H137" i="1"/>
  <c r="M415" i="1"/>
  <c r="M94" i="1"/>
  <c r="N393" i="1"/>
  <c r="N450" i="1" s="1"/>
  <c r="K137" i="1"/>
  <c r="K138" i="1" s="1"/>
  <c r="K139" i="1" s="1"/>
  <c r="K383" i="1" s="1"/>
  <c r="K111" i="1"/>
  <c r="G146" i="1"/>
  <c r="C104" i="1"/>
  <c r="A104" i="1" s="1"/>
  <c r="G137" i="1"/>
  <c r="G111" i="1"/>
  <c r="H415" i="1"/>
  <c r="H94" i="1"/>
  <c r="C85" i="1"/>
  <c r="J84" i="1"/>
  <c r="G84" i="1"/>
  <c r="C84" i="1"/>
  <c r="F573" i="1" s="1"/>
  <c r="S84" i="1"/>
  <c r="M84" i="1"/>
  <c r="Q84" i="1"/>
  <c r="L84" i="1"/>
  <c r="G415" i="1"/>
  <c r="O84" i="1"/>
  <c r="C82" i="1"/>
  <c r="A82" i="1" s="1"/>
  <c r="N84" i="1"/>
  <c r="I84" i="1"/>
  <c r="H84" i="1"/>
  <c r="G94" i="1"/>
  <c r="G95" i="1" s="1"/>
  <c r="P84" i="1"/>
  <c r="R84" i="1"/>
  <c r="K84" i="1"/>
  <c r="Q111" i="1"/>
  <c r="Q137" i="1"/>
  <c r="Q138" i="1" s="1"/>
  <c r="Q139" i="1" s="1"/>
  <c r="Q383" i="1" s="1"/>
  <c r="I137" i="1"/>
  <c r="I138" i="1" s="1"/>
  <c r="I111" i="1"/>
  <c r="M111" i="1"/>
  <c r="M137" i="1"/>
  <c r="M138" i="1" s="1"/>
  <c r="M139" i="1" s="1"/>
  <c r="M383" i="1" s="1"/>
  <c r="O419" i="1"/>
  <c r="O407" i="1"/>
  <c r="I94" i="1"/>
  <c r="I415" i="1"/>
  <c r="K415" i="1"/>
  <c r="K94" i="1"/>
  <c r="P94" i="1"/>
  <c r="P415" i="1"/>
  <c r="R423" i="1"/>
  <c r="R430" i="1" s="1"/>
  <c r="R426" i="1"/>
  <c r="P111" i="1"/>
  <c r="P137" i="1"/>
  <c r="P138" i="1" s="1"/>
  <c r="P139" i="1" s="1"/>
  <c r="P383" i="1" s="1"/>
  <c r="S94" i="1"/>
  <c r="S415" i="1"/>
  <c r="J415" i="1"/>
  <c r="J94" i="1"/>
  <c r="Q415" i="1"/>
  <c r="Q94" i="1"/>
  <c r="L415" i="1"/>
  <c r="L94" i="1"/>
  <c r="O393" i="1"/>
  <c r="O450" i="1" s="1"/>
  <c r="R185" i="1"/>
  <c r="S111" i="1"/>
  <c r="S137" i="1"/>
  <c r="S146" i="1"/>
  <c r="F604" i="1" l="1"/>
  <c r="Q146" i="1"/>
  <c r="Q184" i="1" s="1"/>
  <c r="N174" i="1"/>
  <c r="N181" i="1" s="1"/>
  <c r="N407" i="1"/>
  <c r="K146" i="1"/>
  <c r="K164" i="1" s="1"/>
  <c r="K171" i="1" s="1"/>
  <c r="N184" i="1"/>
  <c r="L146" i="1"/>
  <c r="L153" i="1" s="1"/>
  <c r="O153" i="1"/>
  <c r="N164" i="1"/>
  <c r="N171" i="1" s="1"/>
  <c r="P146" i="1"/>
  <c r="P153" i="1" s="1"/>
  <c r="O174" i="1"/>
  <c r="O181" i="1" s="1"/>
  <c r="O164" i="1"/>
  <c r="O171" i="1" s="1"/>
  <c r="I139" i="1"/>
  <c r="C138" i="1"/>
  <c r="I407" i="1"/>
  <c r="I419" i="1"/>
  <c r="Q419" i="1"/>
  <c r="Q407" i="1"/>
  <c r="Q20" i="1"/>
  <c r="L393" i="1"/>
  <c r="L450" i="1" s="1"/>
  <c r="M419" i="1"/>
  <c r="M407" i="1"/>
  <c r="Q393" i="1"/>
  <c r="Q450" i="1" s="1"/>
  <c r="L407" i="1"/>
  <c r="L419" i="1"/>
  <c r="N423" i="1"/>
  <c r="N430" i="1" s="1"/>
  <c r="N426" i="1"/>
  <c r="M393" i="1"/>
  <c r="M450" i="1" s="1"/>
  <c r="R113" i="1"/>
  <c r="C113" i="1"/>
  <c r="P113" i="1"/>
  <c r="M113" i="1"/>
  <c r="C111" i="1"/>
  <c r="A111" i="1" s="1"/>
  <c r="N113" i="1"/>
  <c r="I113" i="1"/>
  <c r="G407" i="1"/>
  <c r="J113" i="1"/>
  <c r="G419" i="1"/>
  <c r="L113" i="1"/>
  <c r="H113" i="1"/>
  <c r="K113" i="1"/>
  <c r="Q113" i="1"/>
  <c r="G113" i="1"/>
  <c r="S113" i="1"/>
  <c r="O113" i="1"/>
  <c r="J393" i="1"/>
  <c r="J450" i="1" s="1"/>
  <c r="S419" i="1"/>
  <c r="S407" i="1"/>
  <c r="H95" i="1"/>
  <c r="C137" i="1"/>
  <c r="M146" i="1"/>
  <c r="J146" i="1"/>
  <c r="G174" i="1"/>
  <c r="G153" i="1"/>
  <c r="G164" i="1"/>
  <c r="G184" i="1"/>
  <c r="P393" i="1"/>
  <c r="P450" i="1" s="1"/>
  <c r="O426" i="1"/>
  <c r="O423" i="1"/>
  <c r="O430" i="1" s="1"/>
  <c r="O185" i="1"/>
  <c r="J407" i="1"/>
  <c r="J419" i="1"/>
  <c r="S164" i="1"/>
  <c r="S171" i="1" s="1"/>
  <c r="S184" i="1"/>
  <c r="S153" i="1"/>
  <c r="S174" i="1"/>
  <c r="S181" i="1" s="1"/>
  <c r="K393" i="1"/>
  <c r="K450" i="1" s="1"/>
  <c r="H153" i="1"/>
  <c r="H164" i="1"/>
  <c r="H171" i="1" s="1"/>
  <c r="H174" i="1"/>
  <c r="H181" i="1" s="1"/>
  <c r="H184" i="1"/>
  <c r="P407" i="1"/>
  <c r="P419" i="1"/>
  <c r="K407" i="1"/>
  <c r="K419" i="1"/>
  <c r="H419" i="1"/>
  <c r="C114" i="1"/>
  <c r="H407" i="1"/>
  <c r="C415" i="1"/>
  <c r="N185" i="1" l="1"/>
  <c r="Q164" i="1"/>
  <c r="Q171" i="1" s="1"/>
  <c r="Q153" i="1"/>
  <c r="P164" i="1"/>
  <c r="P171" i="1" s="1"/>
  <c r="Q174" i="1"/>
  <c r="Q181" i="1" s="1"/>
  <c r="K184" i="1"/>
  <c r="K174" i="1"/>
  <c r="K181" i="1" s="1"/>
  <c r="L164" i="1"/>
  <c r="L171" i="1" s="1"/>
  <c r="K153" i="1"/>
  <c r="L184" i="1"/>
  <c r="P174" i="1"/>
  <c r="P181" i="1" s="1"/>
  <c r="L174" i="1"/>
  <c r="L181" i="1" s="1"/>
  <c r="P184" i="1"/>
  <c r="H185" i="1"/>
  <c r="G185" i="1"/>
  <c r="J174" i="1"/>
  <c r="J181" i="1" s="1"/>
  <c r="J153" i="1"/>
  <c r="J164" i="1"/>
  <c r="J171" i="1" s="1"/>
  <c r="J184" i="1"/>
  <c r="S426" i="1"/>
  <c r="S423" i="1"/>
  <c r="S430" i="1" s="1"/>
  <c r="L423" i="1"/>
  <c r="L430" i="1" s="1"/>
  <c r="L426" i="1"/>
  <c r="G181" i="1"/>
  <c r="H426" i="1"/>
  <c r="H423" i="1"/>
  <c r="H430" i="1" s="1"/>
  <c r="G171" i="1"/>
  <c r="I426" i="1"/>
  <c r="I423" i="1"/>
  <c r="I430" i="1" s="1"/>
  <c r="Q185" i="1"/>
  <c r="Q423" i="1"/>
  <c r="Q430" i="1" s="1"/>
  <c r="Q426" i="1"/>
  <c r="M153" i="1"/>
  <c r="M184" i="1"/>
  <c r="M174" i="1"/>
  <c r="M181" i="1" s="1"/>
  <c r="M164" i="1"/>
  <c r="M171" i="1" s="1"/>
  <c r="G426" i="1"/>
  <c r="G423" i="1"/>
  <c r="C419" i="1"/>
  <c r="P426" i="1"/>
  <c r="P423" i="1"/>
  <c r="P430" i="1" s="1"/>
  <c r="K423" i="1"/>
  <c r="K430" i="1" s="1"/>
  <c r="K426" i="1"/>
  <c r="J423" i="1"/>
  <c r="J430" i="1" s="1"/>
  <c r="J426" i="1"/>
  <c r="I383" i="1"/>
  <c r="C139" i="1"/>
  <c r="I146" i="1"/>
  <c r="I95" i="1"/>
  <c r="S185" i="1"/>
  <c r="M423" i="1"/>
  <c r="M430" i="1" s="1"/>
  <c r="M426" i="1"/>
  <c r="C407" i="1"/>
  <c r="G96" i="1"/>
  <c r="L185" i="1" l="1"/>
  <c r="P185" i="1"/>
  <c r="K185" i="1"/>
  <c r="I436" i="1"/>
  <c r="H436" i="1"/>
  <c r="J436" i="1"/>
  <c r="G436" i="1"/>
  <c r="I184" i="1"/>
  <c r="I164" i="1"/>
  <c r="I171" i="1" s="1"/>
  <c r="I174" i="1"/>
  <c r="I181" i="1" s="1"/>
  <c r="I153" i="1"/>
  <c r="C146" i="1"/>
  <c r="I393" i="1"/>
  <c r="I450" i="1" s="1"/>
  <c r="C450" i="1" s="1"/>
  <c r="F478" i="1" s="1"/>
  <c r="C383" i="1"/>
  <c r="J185" i="1"/>
  <c r="J95" i="1"/>
  <c r="H96" i="1"/>
  <c r="C423" i="1"/>
  <c r="G430" i="1"/>
  <c r="C430" i="1" s="1"/>
  <c r="M185" i="1"/>
  <c r="G215" i="1"/>
  <c r="C426" i="1"/>
  <c r="G514" i="1" l="1"/>
  <c r="R11" i="1"/>
  <c r="J514" i="1"/>
  <c r="U11" i="1"/>
  <c r="I514" i="1"/>
  <c r="T11" i="1"/>
  <c r="H514" i="1"/>
  <c r="S11" i="1"/>
  <c r="C153" i="1"/>
  <c r="G441" i="1"/>
  <c r="C171" i="1"/>
  <c r="C164" i="1"/>
  <c r="C181" i="1"/>
  <c r="C174" i="1"/>
  <c r="J441" i="1"/>
  <c r="I441" i="1"/>
  <c r="G216" i="1"/>
  <c r="H208" i="1" s="1"/>
  <c r="H214" i="1" s="1"/>
  <c r="G218" i="1"/>
  <c r="G222" i="1" s="1"/>
  <c r="K95" i="1"/>
  <c r="I96" i="1"/>
  <c r="I185" i="1"/>
  <c r="C185" i="1" s="1"/>
  <c r="C184" i="1"/>
  <c r="C393" i="1"/>
  <c r="H441" i="1"/>
  <c r="J553" i="1" l="1"/>
  <c r="U12" i="1"/>
  <c r="I553" i="1"/>
  <c r="T12" i="1"/>
  <c r="G553" i="1"/>
  <c r="R12" i="1"/>
  <c r="H553" i="1"/>
  <c r="S12" i="1"/>
  <c r="J96" i="1"/>
  <c r="A181" i="1"/>
  <c r="H215" i="1"/>
  <c r="H216" i="1" s="1"/>
  <c r="I208" i="1" s="1"/>
  <c r="I214" i="1" s="1"/>
  <c r="G219" i="1"/>
  <c r="G239" i="1"/>
  <c r="G220" i="1"/>
  <c r="L95" i="1"/>
  <c r="K96" i="1" l="1"/>
  <c r="I215" i="1"/>
  <c r="I218" i="1" s="1"/>
  <c r="I222" i="1" s="1"/>
  <c r="G285" i="1"/>
  <c r="G338" i="1"/>
  <c r="G304" i="1"/>
  <c r="G227" i="1"/>
  <c r="H218" i="1"/>
  <c r="H222" i="1" s="1"/>
  <c r="M95" i="1"/>
  <c r="G324" i="1"/>
  <c r="L96" i="1" l="1"/>
  <c r="H219" i="1"/>
  <c r="H239" i="1"/>
  <c r="H220" i="1"/>
  <c r="G236" i="1"/>
  <c r="G251" i="1" s="1"/>
  <c r="I220" i="1"/>
  <c r="I324" i="1" s="1"/>
  <c r="I239" i="1"/>
  <c r="I219" i="1"/>
  <c r="I227" i="1"/>
  <c r="N95" i="1"/>
  <c r="G356" i="1"/>
  <c r="C412" i="1" s="1"/>
  <c r="I216" i="1"/>
  <c r="J208" i="1" s="1"/>
  <c r="J214" i="1" s="1"/>
  <c r="M96" i="1" l="1"/>
  <c r="H338" i="1"/>
  <c r="H304" i="1"/>
  <c r="H285" i="1"/>
  <c r="G252" i="1"/>
  <c r="G255" i="1" s="1"/>
  <c r="G254" i="1"/>
  <c r="O95" i="1"/>
  <c r="H324" i="1"/>
  <c r="H227" i="1"/>
  <c r="I304" i="1"/>
  <c r="I285" i="1"/>
  <c r="I338" i="1"/>
  <c r="J215" i="1"/>
  <c r="J216" i="1" s="1"/>
  <c r="K208" i="1" s="1"/>
  <c r="K214" i="1" s="1"/>
  <c r="N96" i="1" l="1"/>
  <c r="K215" i="1"/>
  <c r="K218" i="1" s="1"/>
  <c r="K222" i="1" s="1"/>
  <c r="I356" i="1"/>
  <c r="H236" i="1"/>
  <c r="G256" i="1"/>
  <c r="G240" i="1"/>
  <c r="G244" i="1" s="1"/>
  <c r="G257" i="1"/>
  <c r="H356" i="1"/>
  <c r="G385" i="1"/>
  <c r="J218" i="1"/>
  <c r="J222" i="1" s="1"/>
  <c r="P95" i="1"/>
  <c r="K216" i="1" l="1"/>
  <c r="L208" i="1" s="1"/>
  <c r="L214" i="1" s="1"/>
  <c r="K239" i="1"/>
  <c r="K219" i="1"/>
  <c r="K220" i="1"/>
  <c r="K324" i="1" s="1"/>
  <c r="K227" i="1"/>
  <c r="G395" i="1"/>
  <c r="G452" i="1" s="1"/>
  <c r="H248" i="1"/>
  <c r="H249" i="1" s="1"/>
  <c r="H251" i="1" s="1"/>
  <c r="Q95" i="1"/>
  <c r="G305" i="1"/>
  <c r="G286" i="1"/>
  <c r="G339" i="1"/>
  <c r="G325" i="1"/>
  <c r="G333" i="1" s="1"/>
  <c r="J239" i="1"/>
  <c r="J219" i="1"/>
  <c r="J220" i="1"/>
  <c r="I236" i="1"/>
  <c r="O96" i="1"/>
  <c r="L215" i="1" l="1"/>
  <c r="L218" i="1" s="1"/>
  <c r="L222" i="1" s="1"/>
  <c r="P96" i="1"/>
  <c r="J324" i="1"/>
  <c r="J227" i="1"/>
  <c r="G292" i="1"/>
  <c r="K338" i="1"/>
  <c r="K304" i="1"/>
  <c r="K285" i="1"/>
  <c r="G357" i="1"/>
  <c r="H254" i="1"/>
  <c r="H252" i="1"/>
  <c r="H255" i="1" s="1"/>
  <c r="J285" i="1"/>
  <c r="J338" i="1"/>
  <c r="J304" i="1"/>
  <c r="R95" i="1"/>
  <c r="L216" i="1" l="1"/>
  <c r="M208" i="1" s="1"/>
  <c r="M214" i="1" s="1"/>
  <c r="S95" i="1"/>
  <c r="J236" i="1"/>
  <c r="J356" i="1"/>
  <c r="H240" i="1"/>
  <c r="H244" i="1" s="1"/>
  <c r="H257" i="1"/>
  <c r="H256" i="1"/>
  <c r="G388" i="1"/>
  <c r="G294" i="1"/>
  <c r="L239" i="1"/>
  <c r="L220" i="1"/>
  <c r="L219" i="1"/>
  <c r="H385" i="1"/>
  <c r="K356" i="1"/>
  <c r="Q96" i="1"/>
  <c r="M215" i="1" l="1"/>
  <c r="M218" i="1" s="1"/>
  <c r="M222" i="1" s="1"/>
  <c r="M227" i="1" s="1"/>
  <c r="S96" i="1"/>
  <c r="L324" i="1"/>
  <c r="I248" i="1"/>
  <c r="I249" i="1" s="1"/>
  <c r="I251" i="1" s="1"/>
  <c r="L338" i="1"/>
  <c r="L304" i="1"/>
  <c r="L285" i="1"/>
  <c r="H325" i="1"/>
  <c r="H333" i="1" s="1"/>
  <c r="R96" i="1"/>
  <c r="L227" i="1"/>
  <c r="H286" i="1"/>
  <c r="H305" i="1"/>
  <c r="H339" i="1"/>
  <c r="H293" i="1"/>
  <c r="G295" i="1"/>
  <c r="H395" i="1"/>
  <c r="H452" i="1" s="1"/>
  <c r="K236" i="1"/>
  <c r="G398" i="1"/>
  <c r="G455" i="1" s="1"/>
  <c r="M216" i="1" l="1"/>
  <c r="N208" i="1" s="1"/>
  <c r="N214" i="1" s="1"/>
  <c r="M220" i="1"/>
  <c r="M324" i="1" s="1"/>
  <c r="M239" i="1"/>
  <c r="M219" i="1"/>
  <c r="M338" i="1" s="1"/>
  <c r="C96" i="1"/>
  <c r="I252" i="1"/>
  <c r="I255" i="1" s="1"/>
  <c r="I254" i="1"/>
  <c r="H292" i="1"/>
  <c r="L236" i="1"/>
  <c r="H357" i="1"/>
  <c r="L356" i="1"/>
  <c r="G386" i="1"/>
  <c r="G348" i="1"/>
  <c r="G314" i="1"/>
  <c r="G315" i="1" s="1"/>
  <c r="N215" i="1" l="1"/>
  <c r="N218" i="1" s="1"/>
  <c r="N222" i="1" s="1"/>
  <c r="M304" i="1"/>
  <c r="M285" i="1"/>
  <c r="I385" i="1"/>
  <c r="I395" i="1" s="1"/>
  <c r="I452" i="1" s="1"/>
  <c r="I257" i="1"/>
  <c r="I256" i="1"/>
  <c r="I240" i="1"/>
  <c r="M236" i="1"/>
  <c r="G366" i="1"/>
  <c r="G396" i="1"/>
  <c r="G453" i="1" s="1"/>
  <c r="M356" i="1"/>
  <c r="H388" i="1"/>
  <c r="H294" i="1"/>
  <c r="N216" i="1" l="1"/>
  <c r="O208" i="1" s="1"/>
  <c r="N239" i="1"/>
  <c r="N220" i="1"/>
  <c r="N324" i="1" s="1"/>
  <c r="N219" i="1"/>
  <c r="N285" i="1" s="1"/>
  <c r="I325" i="1"/>
  <c r="I244" i="1"/>
  <c r="J248" i="1" s="1"/>
  <c r="J249" i="1" s="1"/>
  <c r="J251" i="1" s="1"/>
  <c r="J252" i="1" s="1"/>
  <c r="J255" i="1" s="1"/>
  <c r="I339" i="1"/>
  <c r="I305" i="1"/>
  <c r="I286" i="1"/>
  <c r="I292" i="1" s="1"/>
  <c r="H398" i="1"/>
  <c r="H455" i="1" s="1"/>
  <c r="N227" i="1"/>
  <c r="I293" i="1"/>
  <c r="H295" i="1"/>
  <c r="G316" i="1"/>
  <c r="O214" i="1" l="1"/>
  <c r="O215" i="1" s="1"/>
  <c r="O218" i="1" s="1"/>
  <c r="O222" i="1" s="1"/>
  <c r="O227" i="1" s="1"/>
  <c r="N304" i="1"/>
  <c r="N338" i="1"/>
  <c r="N356" i="1" s="1"/>
  <c r="I357" i="1"/>
  <c r="I333" i="1"/>
  <c r="I388" i="1" s="1"/>
  <c r="I398" i="1" s="1"/>
  <c r="I455" i="1" s="1"/>
  <c r="J254" i="1"/>
  <c r="J385" i="1" s="1"/>
  <c r="J395" i="1" s="1"/>
  <c r="J452" i="1" s="1"/>
  <c r="J256" i="1"/>
  <c r="J257" i="1"/>
  <c r="J240" i="1"/>
  <c r="G318" i="1"/>
  <c r="N236" i="1"/>
  <c r="I294" i="1"/>
  <c r="H386" i="1"/>
  <c r="H314" i="1"/>
  <c r="H315" i="1" s="1"/>
  <c r="H348" i="1"/>
  <c r="O216" i="1" l="1"/>
  <c r="P208" i="1" s="1"/>
  <c r="P214" i="1" s="1"/>
  <c r="P215" i="1" s="1"/>
  <c r="P218" i="1" s="1"/>
  <c r="P222" i="1" s="1"/>
  <c r="O220" i="1"/>
  <c r="O324" i="1" s="1"/>
  <c r="O219" i="1"/>
  <c r="O285" i="1" s="1"/>
  <c r="O239" i="1"/>
  <c r="J325" i="1"/>
  <c r="J244" i="1"/>
  <c r="K248" i="1" s="1"/>
  <c r="K249" i="1" s="1"/>
  <c r="K251" i="1" s="1"/>
  <c r="K252" i="1" s="1"/>
  <c r="K255" i="1" s="1"/>
  <c r="J339" i="1"/>
  <c r="J305" i="1"/>
  <c r="J286" i="1"/>
  <c r="J292" i="1" s="1"/>
  <c r="O236" i="1"/>
  <c r="G319" i="1"/>
  <c r="I295" i="1"/>
  <c r="J293" i="1"/>
  <c r="H396" i="1"/>
  <c r="H453" i="1" s="1"/>
  <c r="H366" i="1"/>
  <c r="O338" i="1" l="1"/>
  <c r="O356" i="1" s="1"/>
  <c r="O304" i="1"/>
  <c r="J357" i="1"/>
  <c r="J333" i="1"/>
  <c r="J388" i="1" s="1"/>
  <c r="J398" i="1" s="1"/>
  <c r="J455" i="1" s="1"/>
  <c r="K254" i="1"/>
  <c r="K385" i="1" s="1"/>
  <c r="K395" i="1" s="1"/>
  <c r="K452" i="1" s="1"/>
  <c r="K257" i="1"/>
  <c r="K256" i="1"/>
  <c r="K240" i="1"/>
  <c r="G387" i="1"/>
  <c r="G349" i="1"/>
  <c r="G350" i="1" s="1"/>
  <c r="G321" i="1"/>
  <c r="I386" i="1"/>
  <c r="I348" i="1"/>
  <c r="I314" i="1"/>
  <c r="I315" i="1" s="1"/>
  <c r="P220" i="1"/>
  <c r="P324" i="1" s="1"/>
  <c r="P219" i="1"/>
  <c r="P239" i="1"/>
  <c r="P227" i="1"/>
  <c r="P236" i="1" s="1"/>
  <c r="H316" i="1"/>
  <c r="P216" i="1"/>
  <c r="Q208" i="1" s="1"/>
  <c r="Q214" i="1" s="1"/>
  <c r="J294" i="1"/>
  <c r="K325" i="1" l="1"/>
  <c r="K244" i="1"/>
  <c r="L248" i="1" s="1"/>
  <c r="L249" i="1" s="1"/>
  <c r="L251" i="1" s="1"/>
  <c r="L254" i="1" s="1"/>
  <c r="L385" i="1" s="1"/>
  <c r="L395" i="1" s="1"/>
  <c r="L452" i="1" s="1"/>
  <c r="K286" i="1"/>
  <c r="K292" i="1" s="1"/>
  <c r="K339" i="1"/>
  <c r="K305" i="1"/>
  <c r="G367" i="1"/>
  <c r="G368" i="1" s="1"/>
  <c r="P285" i="1"/>
  <c r="P338" i="1"/>
  <c r="P304" i="1"/>
  <c r="Q215" i="1"/>
  <c r="Q218" i="1" s="1"/>
  <c r="Q222" i="1" s="1"/>
  <c r="G397" i="1"/>
  <c r="G454" i="1" s="1"/>
  <c r="G389" i="1"/>
  <c r="I396" i="1"/>
  <c r="I453" i="1" s="1"/>
  <c r="K293" i="1"/>
  <c r="J295" i="1"/>
  <c r="H318" i="1"/>
  <c r="I366" i="1"/>
  <c r="K357" i="1" l="1"/>
  <c r="K333" i="1"/>
  <c r="K388" i="1" s="1"/>
  <c r="K398" i="1" s="1"/>
  <c r="K455" i="1" s="1"/>
  <c r="G456" i="1"/>
  <c r="G487" i="1" s="1"/>
  <c r="L252" i="1"/>
  <c r="L255" i="1" s="1"/>
  <c r="L240" i="1" s="1"/>
  <c r="K294" i="1"/>
  <c r="K295" i="1" s="1"/>
  <c r="Q216" i="1"/>
  <c r="R208" i="1" s="1"/>
  <c r="R214" i="1" s="1"/>
  <c r="G420" i="1"/>
  <c r="G390" i="1"/>
  <c r="G403" i="1"/>
  <c r="H319" i="1"/>
  <c r="G421" i="1"/>
  <c r="P356" i="1"/>
  <c r="Q220" i="1"/>
  <c r="Q324" i="1" s="1"/>
  <c r="Q239" i="1"/>
  <c r="Q219" i="1"/>
  <c r="Q227" i="1"/>
  <c r="Q236" i="1" s="1"/>
  <c r="G373" i="1"/>
  <c r="G378" i="1" s="1"/>
  <c r="J314" i="1"/>
  <c r="J315" i="1" s="1"/>
  <c r="J386" i="1"/>
  <c r="J348" i="1"/>
  <c r="G399" i="1"/>
  <c r="I316" i="1"/>
  <c r="G411" i="1" l="1"/>
  <c r="G414" i="1" s="1"/>
  <c r="G406" i="1"/>
  <c r="G374" i="1"/>
  <c r="G379" i="1"/>
  <c r="L244" i="1"/>
  <c r="M248" i="1" s="1"/>
  <c r="M249" i="1" s="1"/>
  <c r="M251" i="1" s="1"/>
  <c r="M252" i="1" s="1"/>
  <c r="M255" i="1" s="1"/>
  <c r="L257" i="1"/>
  <c r="L256" i="1"/>
  <c r="L339" i="1" s="1"/>
  <c r="L293" i="1"/>
  <c r="R215" i="1"/>
  <c r="R218" i="1" s="1"/>
  <c r="R222" i="1" s="1"/>
  <c r="J366" i="1"/>
  <c r="G427" i="1"/>
  <c r="J396" i="1"/>
  <c r="J453" i="1" s="1"/>
  <c r="G428" i="1"/>
  <c r="Q338" i="1"/>
  <c r="Q285" i="1"/>
  <c r="Q304" i="1"/>
  <c r="K348" i="1"/>
  <c r="K386" i="1"/>
  <c r="K314" i="1"/>
  <c r="K315" i="1" s="1"/>
  <c r="I318" i="1"/>
  <c r="G400" i="1"/>
  <c r="H387" i="1"/>
  <c r="H349" i="1"/>
  <c r="H350" i="1" s="1"/>
  <c r="H321" i="1"/>
  <c r="L357" i="1" l="1"/>
  <c r="L325" i="1"/>
  <c r="R220" i="1"/>
  <c r="R324" i="1" s="1"/>
  <c r="R227" i="1"/>
  <c r="R236" i="1" s="1"/>
  <c r="L286" i="1"/>
  <c r="L292" i="1" s="1"/>
  <c r="L294" i="1" s="1"/>
  <c r="M293" i="1" s="1"/>
  <c r="L305" i="1"/>
  <c r="M254" i="1"/>
  <c r="M385" i="1" s="1"/>
  <c r="M395" i="1" s="1"/>
  <c r="M452" i="1" s="1"/>
  <c r="M256" i="1"/>
  <c r="M240" i="1"/>
  <c r="M257" i="1"/>
  <c r="R216" i="1"/>
  <c r="S208" i="1" s="1"/>
  <c r="S214" i="1" s="1"/>
  <c r="R219" i="1"/>
  <c r="R285" i="1" s="1"/>
  <c r="R239" i="1"/>
  <c r="H367" i="1"/>
  <c r="H368" i="1" s="1"/>
  <c r="J316" i="1"/>
  <c r="K316" i="1"/>
  <c r="K318" i="1" s="1"/>
  <c r="K319" i="1" s="1"/>
  <c r="K321" i="1" s="1"/>
  <c r="K366" i="1"/>
  <c r="G408" i="1"/>
  <c r="K396" i="1"/>
  <c r="K453" i="1" s="1"/>
  <c r="Q356" i="1"/>
  <c r="G432" i="1"/>
  <c r="H397" i="1"/>
  <c r="H454" i="1" s="1"/>
  <c r="H389" i="1"/>
  <c r="I319" i="1"/>
  <c r="S215" i="1" l="1"/>
  <c r="C215" i="1" s="1"/>
  <c r="L333" i="1"/>
  <c r="L388" i="1" s="1"/>
  <c r="L398" i="1" s="1"/>
  <c r="L455" i="1" s="1"/>
  <c r="M325" i="1"/>
  <c r="H456" i="1"/>
  <c r="H487" i="1" s="1"/>
  <c r="M244" i="1"/>
  <c r="N248" i="1" s="1"/>
  <c r="N249" i="1" s="1"/>
  <c r="N251" i="1" s="1"/>
  <c r="L295" i="1"/>
  <c r="L314" i="1" s="1"/>
  <c r="L315" i="1" s="1"/>
  <c r="M339" i="1"/>
  <c r="M286" i="1"/>
  <c r="M292" i="1" s="1"/>
  <c r="M294" i="1" s="1"/>
  <c r="M305" i="1"/>
  <c r="R304" i="1"/>
  <c r="R338" i="1"/>
  <c r="K387" i="1"/>
  <c r="K349" i="1"/>
  <c r="K350" i="1" s="1"/>
  <c r="H373" i="1"/>
  <c r="H378" i="1" s="1"/>
  <c r="G416" i="1"/>
  <c r="J318" i="1"/>
  <c r="H390" i="1"/>
  <c r="H403" i="1"/>
  <c r="H420" i="1"/>
  <c r="I387" i="1"/>
  <c r="I349" i="1"/>
  <c r="I350" i="1" s="1"/>
  <c r="I321" i="1"/>
  <c r="H421" i="1"/>
  <c r="H399" i="1"/>
  <c r="C214" i="1" l="1"/>
  <c r="H411" i="1"/>
  <c r="H414" i="1" s="1"/>
  <c r="H406" i="1"/>
  <c r="M357" i="1"/>
  <c r="R356" i="1"/>
  <c r="M333" i="1"/>
  <c r="M388" i="1" s="1"/>
  <c r="M398" i="1" s="1"/>
  <c r="M455" i="1" s="1"/>
  <c r="L316" i="1"/>
  <c r="L318" i="1" s="1"/>
  <c r="L319" i="1" s="1"/>
  <c r="L349" i="1" s="1"/>
  <c r="L367" i="1" s="1"/>
  <c r="H374" i="1"/>
  <c r="G375" i="1" s="1"/>
  <c r="H379" i="1"/>
  <c r="N254" i="1"/>
  <c r="N385" i="1" s="1"/>
  <c r="N395" i="1" s="1"/>
  <c r="N452" i="1" s="1"/>
  <c r="N252" i="1"/>
  <c r="N255" i="1" s="1"/>
  <c r="N257" i="1" s="1"/>
  <c r="L348" i="1"/>
  <c r="L386" i="1"/>
  <c r="L396" i="1" s="1"/>
  <c r="L453" i="1" s="1"/>
  <c r="N293" i="1"/>
  <c r="M295" i="1"/>
  <c r="S216" i="1"/>
  <c r="S218" i="1"/>
  <c r="S222" i="1" s="1"/>
  <c r="K397" i="1"/>
  <c r="K389" i="1"/>
  <c r="H400" i="1"/>
  <c r="H428" i="1"/>
  <c r="K367" i="1"/>
  <c r="K368" i="1" s="1"/>
  <c r="K421" i="1"/>
  <c r="K428" i="1" s="1"/>
  <c r="K432" i="1" s="1"/>
  <c r="I397" i="1"/>
  <c r="I454" i="1" s="1"/>
  <c r="I389" i="1"/>
  <c r="I367" i="1"/>
  <c r="I368" i="1" s="1"/>
  <c r="J319" i="1"/>
  <c r="H427" i="1"/>
  <c r="L350" i="1" l="1"/>
  <c r="L421" i="1" s="1"/>
  <c r="L428" i="1" s="1"/>
  <c r="L432" i="1" s="1"/>
  <c r="L366" i="1"/>
  <c r="L387" i="1"/>
  <c r="L397" i="1" s="1"/>
  <c r="L454" i="1" s="1"/>
  <c r="L456" i="1" s="1"/>
  <c r="L487" i="1" s="1"/>
  <c r="L321" i="1"/>
  <c r="N325" i="1"/>
  <c r="I456" i="1"/>
  <c r="I487" i="1" s="1"/>
  <c r="K399" i="1"/>
  <c r="K400" i="1" s="1"/>
  <c r="K454" i="1"/>
  <c r="K456" i="1" s="1"/>
  <c r="K487" i="1" s="1"/>
  <c r="G380" i="1"/>
  <c r="K373" i="1"/>
  <c r="N240" i="1"/>
  <c r="N244" i="1" s="1"/>
  <c r="O248" i="1" s="1"/>
  <c r="O249" i="1" s="1"/>
  <c r="O251" i="1" s="1"/>
  <c r="O252" i="1" s="1"/>
  <c r="O255" i="1" s="1"/>
  <c r="N256" i="1"/>
  <c r="N286" i="1" s="1"/>
  <c r="N292" i="1" s="1"/>
  <c r="N294" i="1" s="1"/>
  <c r="M386" i="1"/>
  <c r="M396" i="1" s="1"/>
  <c r="M453" i="1" s="1"/>
  <c r="M348" i="1"/>
  <c r="M314" i="1"/>
  <c r="C218" i="1"/>
  <c r="S219" i="1"/>
  <c r="S239" i="1"/>
  <c r="C239" i="1" s="1"/>
  <c r="S220" i="1"/>
  <c r="I421" i="1"/>
  <c r="I399" i="1"/>
  <c r="H432" i="1"/>
  <c r="J387" i="1"/>
  <c r="J349" i="1"/>
  <c r="J350" i="1" s="1"/>
  <c r="J321" i="1"/>
  <c r="I420" i="1"/>
  <c r="I403" i="1"/>
  <c r="I390" i="1"/>
  <c r="I373" i="1"/>
  <c r="I378" i="1" s="1"/>
  <c r="H408" i="1"/>
  <c r="K420" i="1"/>
  <c r="K427" i="1" s="1"/>
  <c r="K390" i="1"/>
  <c r="K403" i="1"/>
  <c r="K411" i="1" l="1"/>
  <c r="K406" i="1"/>
  <c r="K408" i="1" s="1"/>
  <c r="I411" i="1"/>
  <c r="I414" i="1" s="1"/>
  <c r="I406" i="1"/>
  <c r="L368" i="1"/>
  <c r="L373" i="1" s="1"/>
  <c r="L378" i="1" s="1"/>
  <c r="M366" i="1"/>
  <c r="N333" i="1"/>
  <c r="N388" i="1" s="1"/>
  <c r="N398" i="1" s="1"/>
  <c r="N455" i="1" s="1"/>
  <c r="M315" i="1"/>
  <c r="M316" i="1" s="1"/>
  <c r="M318" i="1" s="1"/>
  <c r="M319" i="1" s="1"/>
  <c r="L399" i="1"/>
  <c r="L400" i="1" s="1"/>
  <c r="L389" i="1"/>
  <c r="L420" i="1" s="1"/>
  <c r="L427" i="1" s="1"/>
  <c r="I374" i="1"/>
  <c r="H375" i="1" s="1"/>
  <c r="K378" i="1"/>
  <c r="I379" i="1"/>
  <c r="N305" i="1"/>
  <c r="N339" i="1"/>
  <c r="O254" i="1"/>
  <c r="O385" i="1" s="1"/>
  <c r="O395" i="1" s="1"/>
  <c r="O452" i="1" s="1"/>
  <c r="N295" i="1"/>
  <c r="O293" i="1"/>
  <c r="O240" i="1"/>
  <c r="O256" i="1"/>
  <c r="O257" i="1"/>
  <c r="S285" i="1"/>
  <c r="C285" i="1" s="1"/>
  <c r="C219" i="1"/>
  <c r="S338" i="1"/>
  <c r="S304" i="1"/>
  <c r="C220" i="1"/>
  <c r="S324" i="1"/>
  <c r="C222" i="1"/>
  <c r="S227" i="1"/>
  <c r="I428" i="1"/>
  <c r="I400" i="1"/>
  <c r="I427" i="1"/>
  <c r="J367" i="1"/>
  <c r="J368" i="1" s="1"/>
  <c r="H416" i="1"/>
  <c r="J397" i="1"/>
  <c r="J454" i="1" s="1"/>
  <c r="J389" i="1"/>
  <c r="K414" i="1" l="1"/>
  <c r="K416" i="1" s="1"/>
  <c r="N357" i="1"/>
  <c r="L390" i="1"/>
  <c r="C324" i="1"/>
  <c r="L403" i="1"/>
  <c r="L406" i="1" s="1"/>
  <c r="C304" i="1"/>
  <c r="O325" i="1"/>
  <c r="J456" i="1"/>
  <c r="J487" i="1" s="1"/>
  <c r="H380" i="1"/>
  <c r="O244" i="1"/>
  <c r="P248" i="1" s="1"/>
  <c r="P249" i="1" s="1"/>
  <c r="P251" i="1" s="1"/>
  <c r="P254" i="1" s="1"/>
  <c r="P385" i="1" s="1"/>
  <c r="P395" i="1" s="1"/>
  <c r="P452" i="1" s="1"/>
  <c r="N386" i="1"/>
  <c r="N396" i="1" s="1"/>
  <c r="N453" i="1" s="1"/>
  <c r="N314" i="1"/>
  <c r="N315" i="1" s="1"/>
  <c r="N348" i="1"/>
  <c r="N366" i="1" s="1"/>
  <c r="O286" i="1"/>
  <c r="O292" i="1" s="1"/>
  <c r="O294" i="1" s="1"/>
  <c r="O339" i="1"/>
  <c r="O305" i="1"/>
  <c r="S356" i="1"/>
  <c r="C338" i="1"/>
  <c r="C227" i="1"/>
  <c r="S236" i="1"/>
  <c r="J399" i="1"/>
  <c r="J373" i="1"/>
  <c r="J374" i="1" s="1"/>
  <c r="J403" i="1"/>
  <c r="J390" i="1"/>
  <c r="J420" i="1"/>
  <c r="I408" i="1"/>
  <c r="M387" i="1"/>
  <c r="M349" i="1"/>
  <c r="M350" i="1" s="1"/>
  <c r="M321" i="1"/>
  <c r="J421" i="1"/>
  <c r="I432" i="1"/>
  <c r="J411" i="1" l="1"/>
  <c r="J414" i="1" s="1"/>
  <c r="J406" i="1"/>
  <c r="L411" i="1"/>
  <c r="C356" i="1"/>
  <c r="O357" i="1"/>
  <c r="O333" i="1"/>
  <c r="O388" i="1" s="1"/>
  <c r="O398" i="1" s="1"/>
  <c r="O455" i="1" s="1"/>
  <c r="L408" i="1"/>
  <c r="I375" i="1"/>
  <c r="J378" i="1"/>
  <c r="J379" i="1" s="1"/>
  <c r="K374" i="1"/>
  <c r="J375" i="1" s="1"/>
  <c r="P252" i="1"/>
  <c r="P255" i="1" s="1"/>
  <c r="P240" i="1" s="1"/>
  <c r="P293" i="1"/>
  <c r="O295" i="1"/>
  <c r="N316" i="1"/>
  <c r="N318" i="1" s="1"/>
  <c r="N319" i="1" s="1"/>
  <c r="N321" i="1" s="1"/>
  <c r="J428" i="1"/>
  <c r="I416" i="1"/>
  <c r="M367" i="1"/>
  <c r="M368" i="1" s="1"/>
  <c r="J400" i="1"/>
  <c r="J427" i="1"/>
  <c r="M397" i="1"/>
  <c r="M454" i="1" s="1"/>
  <c r="M389" i="1"/>
  <c r="L414" i="1" l="1"/>
  <c r="L416" i="1" s="1"/>
  <c r="M456" i="1"/>
  <c r="M487" i="1" s="1"/>
  <c r="I380" i="1"/>
  <c r="L374" i="1"/>
  <c r="K375" i="1" s="1"/>
  <c r="K379" i="1"/>
  <c r="J380" i="1" s="1"/>
  <c r="P244" i="1"/>
  <c r="Q248" i="1" s="1"/>
  <c r="Q249" i="1" s="1"/>
  <c r="Q251" i="1" s="1"/>
  <c r="Q254" i="1" s="1"/>
  <c r="Q385" i="1" s="1"/>
  <c r="Q395" i="1" s="1"/>
  <c r="Q452" i="1" s="1"/>
  <c r="P257" i="1"/>
  <c r="P256" i="1"/>
  <c r="P286" i="1" s="1"/>
  <c r="P292" i="1" s="1"/>
  <c r="P294" i="1" s="1"/>
  <c r="O386" i="1"/>
  <c r="O314" i="1"/>
  <c r="O315" i="1" s="1"/>
  <c r="O348" i="1"/>
  <c r="N349" i="1"/>
  <c r="N350" i="1" s="1"/>
  <c r="N387" i="1"/>
  <c r="M390" i="1"/>
  <c r="M403" i="1"/>
  <c r="M420" i="1"/>
  <c r="M421" i="1"/>
  <c r="J408" i="1"/>
  <c r="J432" i="1"/>
  <c r="M399" i="1"/>
  <c r="M373" i="1"/>
  <c r="M378" i="1" s="1"/>
  <c r="M411" i="1" l="1"/>
  <c r="M414" i="1" s="1"/>
  <c r="M406" i="1"/>
  <c r="P325" i="1"/>
  <c r="M374" i="1"/>
  <c r="L379" i="1"/>
  <c r="K380" i="1" s="1"/>
  <c r="P305" i="1"/>
  <c r="P339" i="1"/>
  <c r="Q252" i="1"/>
  <c r="Q255" i="1" s="1"/>
  <c r="Q256" i="1" s="1"/>
  <c r="Q293" i="1"/>
  <c r="P295" i="1"/>
  <c r="N397" i="1"/>
  <c r="N389" i="1"/>
  <c r="O316" i="1"/>
  <c r="O318" i="1" s="1"/>
  <c r="O319" i="1" s="1"/>
  <c r="N367" i="1"/>
  <c r="N368" i="1" s="1"/>
  <c r="N421" i="1"/>
  <c r="N428" i="1" s="1"/>
  <c r="N432" i="1" s="1"/>
  <c r="O396" i="1"/>
  <c r="O453" i="1" s="1"/>
  <c r="O366" i="1"/>
  <c r="M428" i="1"/>
  <c r="M427" i="1"/>
  <c r="M400" i="1"/>
  <c r="J416" i="1"/>
  <c r="P357" i="1" l="1"/>
  <c r="P333" i="1"/>
  <c r="P388" i="1" s="1"/>
  <c r="P398" i="1" s="1"/>
  <c r="P455" i="1" s="1"/>
  <c r="N399" i="1"/>
  <c r="N454" i="1"/>
  <c r="N456" i="1" s="1"/>
  <c r="N487" i="1" s="1"/>
  <c r="L375" i="1"/>
  <c r="N373" i="1"/>
  <c r="M379" i="1"/>
  <c r="L380" i="1" s="1"/>
  <c r="Q240" i="1"/>
  <c r="Q244" i="1" s="1"/>
  <c r="R248" i="1" s="1"/>
  <c r="R249" i="1" s="1"/>
  <c r="R251" i="1" s="1"/>
  <c r="R254" i="1" s="1"/>
  <c r="Q257" i="1"/>
  <c r="O387" i="1"/>
  <c r="O349" i="1"/>
  <c r="O350" i="1" s="1"/>
  <c r="P314" i="1"/>
  <c r="P315" i="1" s="1"/>
  <c r="P386" i="1"/>
  <c r="P348" i="1"/>
  <c r="Q286" i="1"/>
  <c r="Q292" i="1" s="1"/>
  <c r="Q294" i="1" s="1"/>
  <c r="Q339" i="1"/>
  <c r="Q305" i="1"/>
  <c r="N403" i="1"/>
  <c r="N390" i="1"/>
  <c r="N420" i="1"/>
  <c r="N427" i="1" s="1"/>
  <c r="O321" i="1"/>
  <c r="M432" i="1"/>
  <c r="M408" i="1"/>
  <c r="N411" i="1" l="1"/>
  <c r="N406" i="1"/>
  <c r="N408" i="1" s="1"/>
  <c r="Q325" i="1"/>
  <c r="N400" i="1"/>
  <c r="N374" i="1"/>
  <c r="N378" i="1"/>
  <c r="N379" i="1" s="1"/>
  <c r="M380" i="1" s="1"/>
  <c r="R252" i="1"/>
  <c r="R255" i="1" s="1"/>
  <c r="R240" i="1" s="1"/>
  <c r="R244" i="1" s="1"/>
  <c r="Q357" i="1"/>
  <c r="O397" i="1"/>
  <c r="O389" i="1"/>
  <c r="P396" i="1"/>
  <c r="P453" i="1" s="1"/>
  <c r="O367" i="1"/>
  <c r="O368" i="1" s="1"/>
  <c r="O421" i="1"/>
  <c r="O428" i="1" s="1"/>
  <c r="P316" i="1"/>
  <c r="P318" i="1" s="1"/>
  <c r="P319" i="1" s="1"/>
  <c r="R385" i="1"/>
  <c r="P366" i="1"/>
  <c r="Q295" i="1"/>
  <c r="R293" i="1"/>
  <c r="M416" i="1"/>
  <c r="N414" i="1" l="1"/>
  <c r="N416" i="1" s="1"/>
  <c r="Q333" i="1"/>
  <c r="Q388" i="1" s="1"/>
  <c r="Q398" i="1" s="1"/>
  <c r="Q455" i="1" s="1"/>
  <c r="O399" i="1"/>
  <c r="O454" i="1"/>
  <c r="O456" i="1" s="1"/>
  <c r="O487" i="1" s="1"/>
  <c r="M375" i="1"/>
  <c r="O373" i="1"/>
  <c r="R256" i="1"/>
  <c r="R339" i="1" s="1"/>
  <c r="R257" i="1"/>
  <c r="P349" i="1"/>
  <c r="P350" i="1" s="1"/>
  <c r="P387" i="1"/>
  <c r="O390" i="1"/>
  <c r="O403" i="1"/>
  <c r="O420" i="1"/>
  <c r="O427" i="1" s="1"/>
  <c r="O432" i="1"/>
  <c r="R395" i="1"/>
  <c r="R452" i="1" s="1"/>
  <c r="S248" i="1"/>
  <c r="S249" i="1" s="1"/>
  <c r="S251" i="1" s="1"/>
  <c r="Q314" i="1"/>
  <c r="Q315" i="1" s="1"/>
  <c r="Q386" i="1"/>
  <c r="Q348" i="1"/>
  <c r="P321" i="1"/>
  <c r="O411" i="1" l="1"/>
  <c r="O406" i="1"/>
  <c r="O408" i="1" s="1"/>
  <c r="R325" i="1"/>
  <c r="R333" i="1" s="1"/>
  <c r="R388" i="1" s="1"/>
  <c r="O400" i="1"/>
  <c r="O378" i="1"/>
  <c r="O379" i="1" s="1"/>
  <c r="O374" i="1"/>
  <c r="R305" i="1"/>
  <c r="R286" i="1"/>
  <c r="R292" i="1" s="1"/>
  <c r="P397" i="1"/>
  <c r="P389" i="1"/>
  <c r="S252" i="1"/>
  <c r="S255" i="1" s="1"/>
  <c r="S254" i="1"/>
  <c r="Q366" i="1"/>
  <c r="R357" i="1"/>
  <c r="P367" i="1"/>
  <c r="P368" i="1" s="1"/>
  <c r="P421" i="1"/>
  <c r="P428" i="1" s="1"/>
  <c r="Q316" i="1"/>
  <c r="Q318" i="1" s="1"/>
  <c r="Q319" i="1" s="1"/>
  <c r="Q396" i="1"/>
  <c r="Q453" i="1" s="1"/>
  <c r="O414" i="1" l="1"/>
  <c r="O416" i="1" s="1"/>
  <c r="P399" i="1"/>
  <c r="P400" i="1" s="1"/>
  <c r="P454" i="1"/>
  <c r="P456" i="1" s="1"/>
  <c r="P487" i="1" s="1"/>
  <c r="N375" i="1"/>
  <c r="N380" i="1"/>
  <c r="P373" i="1"/>
  <c r="P403" i="1"/>
  <c r="P390" i="1"/>
  <c r="P420" i="1"/>
  <c r="P427" i="1" s="1"/>
  <c r="Q321" i="1"/>
  <c r="Q387" i="1"/>
  <c r="Q349" i="1"/>
  <c r="Q350" i="1" s="1"/>
  <c r="S385" i="1"/>
  <c r="C254" i="1"/>
  <c r="S240" i="1"/>
  <c r="S244" i="1" s="1"/>
  <c r="S256" i="1"/>
  <c r="S257" i="1"/>
  <c r="C255" i="1"/>
  <c r="P432" i="1"/>
  <c r="R294" i="1"/>
  <c r="P411" i="1" l="1"/>
  <c r="P406" i="1"/>
  <c r="P408" i="1" s="1"/>
  <c r="C306" i="1"/>
  <c r="P374" i="1"/>
  <c r="P378" i="1"/>
  <c r="P379" i="1" s="1"/>
  <c r="S293" i="1"/>
  <c r="C293" i="1" s="1"/>
  <c r="R295" i="1"/>
  <c r="S325" i="1"/>
  <c r="S333" i="1" s="1"/>
  <c r="C257" i="1"/>
  <c r="S395" i="1"/>
  <c r="C385" i="1"/>
  <c r="R398" i="1"/>
  <c r="R455" i="1" s="1"/>
  <c r="C240" i="1"/>
  <c r="Q397" i="1"/>
  <c r="Q389" i="1"/>
  <c r="S286" i="1"/>
  <c r="S339" i="1"/>
  <c r="S305" i="1"/>
  <c r="C256" i="1"/>
  <c r="Q367" i="1"/>
  <c r="Q368" i="1" s="1"/>
  <c r="Q421" i="1"/>
  <c r="Q428" i="1" s="1"/>
  <c r="P414" i="1" l="1"/>
  <c r="P416" i="1" s="1"/>
  <c r="C395" i="1"/>
  <c r="S452" i="1"/>
  <c r="Q399" i="1"/>
  <c r="Q454" i="1"/>
  <c r="Q456" i="1" s="1"/>
  <c r="Q487" i="1" s="1"/>
  <c r="O375" i="1"/>
  <c r="O380" i="1"/>
  <c r="Q373" i="1"/>
  <c r="A257" i="1"/>
  <c r="Q432" i="1"/>
  <c r="Q420" i="1"/>
  <c r="Q427" i="1" s="1"/>
  <c r="Q403" i="1"/>
  <c r="Q390" i="1"/>
  <c r="C305" i="1"/>
  <c r="C325" i="1"/>
  <c r="S292" i="1"/>
  <c r="C286" i="1"/>
  <c r="S357" i="1"/>
  <c r="C339" i="1"/>
  <c r="R348" i="1"/>
  <c r="R386" i="1"/>
  <c r="R314" i="1"/>
  <c r="R315" i="1" s="1"/>
  <c r="Q411" i="1" l="1"/>
  <c r="Q406" i="1"/>
  <c r="Q408" i="1" s="1"/>
  <c r="C357" i="1"/>
  <c r="Q400" i="1"/>
  <c r="C452" i="1"/>
  <c r="F480" i="1" s="1"/>
  <c r="Q374" i="1"/>
  <c r="Q378" i="1"/>
  <c r="Q379" i="1" s="1"/>
  <c r="R366" i="1"/>
  <c r="R396" i="1"/>
  <c r="R453" i="1" s="1"/>
  <c r="S294" i="1"/>
  <c r="C292" i="1"/>
  <c r="S388" i="1"/>
  <c r="C333" i="1"/>
  <c r="Q414" i="1" l="1"/>
  <c r="Q416" i="1" s="1"/>
  <c r="P375" i="1"/>
  <c r="P380" i="1"/>
  <c r="R316" i="1"/>
  <c r="S295" i="1"/>
  <c r="C294" i="1"/>
  <c r="S398" i="1"/>
  <c r="C388" i="1"/>
  <c r="C398" i="1" l="1"/>
  <c r="S455" i="1"/>
  <c r="R318" i="1"/>
  <c r="S314" i="1"/>
  <c r="S315" i="1" s="1"/>
  <c r="S348" i="1"/>
  <c r="S386" i="1"/>
  <c r="C295" i="1"/>
  <c r="C455" i="1" l="1"/>
  <c r="F483" i="1" s="1"/>
  <c r="S396" i="1"/>
  <c r="C386" i="1"/>
  <c r="R319" i="1"/>
  <c r="C314" i="1"/>
  <c r="S366" i="1"/>
  <c r="C348" i="1"/>
  <c r="C366" i="1" l="1"/>
  <c r="C396" i="1"/>
  <c r="S453" i="1"/>
  <c r="R321" i="1"/>
  <c r="R387" i="1"/>
  <c r="R349" i="1"/>
  <c r="R350" i="1" s="1"/>
  <c r="C315" i="1"/>
  <c r="S316" i="1"/>
  <c r="C453" i="1" l="1"/>
  <c r="F481" i="1" s="1"/>
  <c r="S318" i="1"/>
  <c r="C316" i="1"/>
  <c r="R397" i="1"/>
  <c r="R454" i="1" s="1"/>
  <c r="R456" i="1" s="1"/>
  <c r="R487" i="1" s="1"/>
  <c r="R389" i="1"/>
  <c r="R367" i="1"/>
  <c r="R368" i="1" s="1"/>
  <c r="R399" i="1" l="1"/>
  <c r="S319" i="1"/>
  <c r="C318" i="1"/>
  <c r="R421" i="1"/>
  <c r="R420" i="1"/>
  <c r="R390" i="1"/>
  <c r="R403" i="1"/>
  <c r="R373" i="1"/>
  <c r="R374" i="1" s="1"/>
  <c r="R411" i="1" l="1"/>
  <c r="R414" i="1" s="1"/>
  <c r="R406" i="1"/>
  <c r="Q375" i="1"/>
  <c r="R378" i="1"/>
  <c r="R379" i="1" s="1"/>
  <c r="R400" i="1"/>
  <c r="S349" i="1"/>
  <c r="S350" i="1" s="1"/>
  <c r="S387" i="1"/>
  <c r="S321" i="1"/>
  <c r="C321" i="1" s="1"/>
  <c r="C319" i="1"/>
  <c r="R428" i="1"/>
  <c r="R427" i="1"/>
  <c r="Q380" i="1" l="1"/>
  <c r="R408" i="1"/>
  <c r="R432" i="1"/>
  <c r="S367" i="1"/>
  <c r="S368" i="1" s="1"/>
  <c r="C349" i="1"/>
  <c r="S397" i="1"/>
  <c r="S454" i="1" s="1"/>
  <c r="S389" i="1"/>
  <c r="C387" i="1"/>
  <c r="C454" i="1" l="1"/>
  <c r="F482" i="1" s="1"/>
  <c r="S456" i="1"/>
  <c r="S399" i="1"/>
  <c r="C397" i="1"/>
  <c r="R416" i="1"/>
  <c r="S420" i="1"/>
  <c r="S390" i="1"/>
  <c r="S403" i="1"/>
  <c r="C389" i="1"/>
  <c r="C390" i="1" s="1"/>
  <c r="S373" i="1"/>
  <c r="S374" i="1" s="1"/>
  <c r="C367" i="1"/>
  <c r="S421" i="1"/>
  <c r="C351" i="1"/>
  <c r="C350" i="1"/>
  <c r="S411" i="1" l="1"/>
  <c r="S414" i="1" s="1"/>
  <c r="S406" i="1"/>
  <c r="C456" i="1"/>
  <c r="F484" i="1" s="1"/>
  <c r="S487" i="1"/>
  <c r="C487" i="1" s="1"/>
  <c r="S375" i="1"/>
  <c r="R375" i="1"/>
  <c r="C373" i="1"/>
  <c r="S378" i="1"/>
  <c r="S379" i="1" s="1"/>
  <c r="C374" i="1"/>
  <c r="C403" i="1"/>
  <c r="S428" i="1"/>
  <c r="C421" i="1"/>
  <c r="S427" i="1"/>
  <c r="C420" i="1"/>
  <c r="C369" i="1"/>
  <c r="C368" i="1"/>
  <c r="S400" i="1"/>
  <c r="C399" i="1"/>
  <c r="A421" i="1" l="1"/>
  <c r="C378" i="1"/>
  <c r="S380" i="1"/>
  <c r="R380" i="1"/>
  <c r="C379" i="1"/>
  <c r="C375" i="1"/>
  <c r="S408" i="1"/>
  <c r="C408" i="1" s="1"/>
  <c r="A408" i="1" s="1"/>
  <c r="C406" i="1"/>
  <c r="C411" i="1"/>
  <c r="C400" i="1"/>
  <c r="S432" i="1"/>
  <c r="H438" i="1"/>
  <c r="S13" i="1" s="1"/>
  <c r="G438" i="1"/>
  <c r="R13" i="1" s="1"/>
  <c r="J438" i="1"/>
  <c r="U13" i="1" s="1"/>
  <c r="C428" i="1"/>
  <c r="I438" i="1"/>
  <c r="T13" i="1" s="1"/>
  <c r="J437" i="1"/>
  <c r="U14" i="1" s="1"/>
  <c r="G437" i="1"/>
  <c r="R14" i="1" s="1"/>
  <c r="H437" i="1"/>
  <c r="S14" i="1" s="1"/>
  <c r="I437" i="1"/>
  <c r="T14" i="1" s="1"/>
  <c r="C427" i="1"/>
  <c r="S15" i="1" l="1"/>
  <c r="S16" i="1"/>
  <c r="U16" i="1"/>
  <c r="U15" i="1"/>
  <c r="R16" i="1"/>
  <c r="R15" i="1"/>
  <c r="T16" i="1"/>
  <c r="T15" i="1"/>
  <c r="J445" i="1"/>
  <c r="H445" i="1"/>
  <c r="G445" i="1"/>
  <c r="I445" i="1"/>
  <c r="A428" i="1"/>
  <c r="J513" i="1"/>
  <c r="J515" i="1" s="1"/>
  <c r="J552" i="1"/>
  <c r="J554" i="1" s="1"/>
  <c r="G513" i="1"/>
  <c r="G515" i="1" s="1"/>
  <c r="G552" i="1"/>
  <c r="G554" i="1" s="1"/>
  <c r="I513" i="1"/>
  <c r="I515" i="1" s="1"/>
  <c r="I552" i="1"/>
  <c r="I554" i="1" s="1"/>
  <c r="H513" i="1"/>
  <c r="H515" i="1" s="1"/>
  <c r="H552" i="1"/>
  <c r="H554" i="1" s="1"/>
  <c r="C380" i="1"/>
  <c r="S416" i="1"/>
  <c r="C416" i="1" s="1"/>
  <c r="A416" i="1" s="1"/>
  <c r="C414" i="1"/>
  <c r="J442" i="1"/>
  <c r="F562" i="1" s="1"/>
  <c r="J440" i="1"/>
  <c r="F523" i="1" s="1"/>
  <c r="H442" i="1"/>
  <c r="F560" i="1" s="1"/>
  <c r="H440" i="1"/>
  <c r="F521" i="1" s="1"/>
  <c r="C433" i="1"/>
  <c r="C432" i="1"/>
  <c r="G440" i="1"/>
  <c r="G442" i="1"/>
  <c r="F559" i="1" s="1"/>
  <c r="I442" i="1"/>
  <c r="F565" i="1" s="1"/>
  <c r="I440" i="1"/>
  <c r="F596" i="1" l="1"/>
  <c r="F602" i="1" s="1"/>
  <c r="F603" i="1" s="1"/>
  <c r="F605" i="1" s="1"/>
  <c r="F561" i="1"/>
  <c r="F543" i="1"/>
  <c r="F522" i="1"/>
  <c r="F520" i="1"/>
  <c r="C1" i="1"/>
  <c r="C10" i="4" s="1"/>
  <c r="D6" i="4" s="1"/>
  <c r="Q22" i="1"/>
  <c r="Q2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NVERNON</author>
    <author>dmesapuyo</author>
  </authors>
  <commentList>
    <comment ref="D16" authorId="0" shapeId="0" xr:uid="{00000000-0006-0000-0200-000001000000}">
      <text>
        <r>
          <rPr>
            <sz val="9"/>
            <color indexed="81"/>
            <rFont val="Tahoma"/>
            <family val="2"/>
          </rPr>
          <t>Will produce an error if the depreciation years is greater than 10</t>
        </r>
      </text>
    </comment>
    <comment ref="D40" authorId="0" shapeId="0" xr:uid="{00000000-0006-0000-0200-000002000000}">
      <text>
        <r>
          <rPr>
            <sz val="9"/>
            <color indexed="81"/>
            <rFont val="Tahoma"/>
            <family val="2"/>
          </rPr>
          <t>Will produce an error if the depreciation years is greater than 10</t>
        </r>
      </text>
    </comment>
    <comment ref="D206" authorId="1" shapeId="0" xr:uid="{00000000-0006-0000-0200-000003000000}">
      <text>
        <r>
          <rPr>
            <sz val="9"/>
            <color indexed="81"/>
            <rFont val="Tahoma"/>
            <family val="2"/>
          </rPr>
          <t>Any asset not fully depreciated at the end of the project life is assumed to be sold for its residual value. Since this residual value (original price minus any depreciation claimed during the project life) is equal to the undepreciated balance at the end of the project life, the sale should have tax consequences.</t>
        </r>
      </text>
    </comment>
    <comment ref="D213" authorId="1" shapeId="0" xr:uid="{00000000-0006-0000-0200-000004000000}">
      <text>
        <r>
          <rPr>
            <sz val="9"/>
            <color indexed="81"/>
            <rFont val="Tahoma"/>
            <family val="2"/>
          </rPr>
          <t xml:space="preserve">Proceeds from sales of assets are treated as a credit to the cost recovery account, as long as the full costs of the assets were previously recovered. Note that the proceeds are determined based on the undepreciated balance for CIT purposes
</t>
        </r>
      </text>
    </comment>
    <comment ref="D281" authorId="1" shapeId="0" xr:uid="{00000000-0006-0000-0200-000005000000}">
      <text>
        <r>
          <rPr>
            <sz val="9"/>
            <color indexed="81"/>
            <rFont val="Tahoma"/>
            <family val="2"/>
          </rPr>
          <t>Any asset not fully depreciated at the end of the project life is assumed to be sold for its residual value. Since this residual value (original price minus any depreciation claimed during the project life) is equal to the undepreciated balance at the end of the project life, the sale should have tax consequences.</t>
        </r>
      </text>
    </comment>
    <comment ref="D282" authorId="1" shapeId="0" xr:uid="{00000000-0006-0000-0200-000006000000}">
      <text>
        <r>
          <rPr>
            <sz val="9"/>
            <color indexed="81"/>
            <rFont val="Tahoma"/>
            <family val="2"/>
          </rPr>
          <t xml:space="preserve">The proceed s from the sale of undepreciated assets are apportioned between the IOC and the NOC according to their respective share on the UJV.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NVERNON</author>
    <author>dmesapuyo</author>
  </authors>
  <commentList>
    <comment ref="D17" authorId="0" shapeId="0" xr:uid="{00000000-0006-0000-0300-000001000000}">
      <text>
        <r>
          <rPr>
            <sz val="9"/>
            <color indexed="81"/>
            <rFont val="Tahoma"/>
            <family val="2"/>
          </rPr>
          <t>Will produce an error if the depreciation years is greater than 10</t>
        </r>
      </text>
    </comment>
    <comment ref="D166" authorId="1" shapeId="0" xr:uid="{00000000-0006-0000-0300-000002000000}">
      <text>
        <r>
          <rPr>
            <sz val="9"/>
            <color indexed="81"/>
            <rFont val="Tahoma"/>
            <family val="2"/>
          </rPr>
          <t>Any asset not fully depreciated at the end of the project life is assumed to be sold for its residual value. Since this residual value (original price minus any depreciation claimed during the project life) is equal to the undepreciated balance at the end of the project life, the sale should have tax consequences.</t>
        </r>
      </text>
    </comment>
  </commentList>
</comments>
</file>

<file path=xl/sharedStrings.xml><?xml version="1.0" encoding="utf-8"?>
<sst xmlns="http://schemas.openxmlformats.org/spreadsheetml/2006/main" count="1556" uniqueCount="397">
  <si>
    <t>year</t>
  </si>
  <si>
    <t>Fiscal Regime Assumptions</t>
  </si>
  <si>
    <t>Regime name</t>
  </si>
  <si>
    <t>DROP</t>
  </si>
  <si>
    <t>Rfactor</t>
  </si>
  <si>
    <t>Royalty + CIT</t>
  </si>
  <si>
    <t>Alt1</t>
  </si>
  <si>
    <t>Alt2</t>
  </si>
  <si>
    <t>NPV results</t>
  </si>
  <si>
    <t>Select regime number</t>
  </si>
  <si>
    <t>Bonus</t>
  </si>
  <si>
    <t>Project pre-tax cash flow</t>
  </si>
  <si>
    <t>$mm const</t>
  </si>
  <si>
    <t>Production bonus (start of production)</t>
  </si>
  <si>
    <t>$mm</t>
  </si>
  <si>
    <t>Total benefits</t>
  </si>
  <si>
    <t>Royalty rate</t>
  </si>
  <si>
    <t>%</t>
  </si>
  <si>
    <t>Contractor NPV</t>
  </si>
  <si>
    <t>Royalty base (net/gross)</t>
  </si>
  <si>
    <t>switch</t>
  </si>
  <si>
    <t>net</t>
  </si>
  <si>
    <t>Government NPV</t>
  </si>
  <si>
    <t>Decommissioning provision (yes/no)</t>
  </si>
  <si>
    <t>yes</t>
  </si>
  <si>
    <t>Average Effective Tax Rate (AETR)</t>
  </si>
  <si>
    <t>Commencement of decommissioning provision</t>
  </si>
  <si>
    <t>% depletion</t>
  </si>
  <si>
    <t>Govt. share of total benefits</t>
  </si>
  <si>
    <t>Cost Recovery</t>
  </si>
  <si>
    <t>Cost recovery ceiling</t>
  </si>
  <si>
    <t>Real terms results</t>
  </si>
  <si>
    <t>years</t>
  </si>
  <si>
    <t>METR</t>
  </si>
  <si>
    <t>Investment uplift (yes/no)</t>
  </si>
  <si>
    <t>no</t>
  </si>
  <si>
    <t>Pre-tax IRR</t>
  </si>
  <si>
    <t>Investment uplift</t>
  </si>
  <si>
    <t>Hurdle rate</t>
  </si>
  <si>
    <t>Uplift limit</t>
  </si>
  <si>
    <t>Post-tax IRR on total funds</t>
  </si>
  <si>
    <t>Profit petroleum sharing</t>
  </si>
  <si>
    <t>Tax/Royalty</t>
  </si>
  <si>
    <t>Difference</t>
  </si>
  <si>
    <t>DROP tiers</t>
  </si>
  <si>
    <t>Breakeven price</t>
  </si>
  <si>
    <t>Profit petroleum tier 1</t>
  </si>
  <si>
    <t>Mbpd</t>
  </si>
  <si>
    <t>Profit petroleum tier 2</t>
  </si>
  <si>
    <t>Profit petroleum tier 3</t>
  </si>
  <si>
    <t>Profit petroleum tier 4</t>
  </si>
  <si>
    <t>R-Factor tiers</t>
  </si>
  <si>
    <t>R factor tier 1</t>
  </si>
  <si>
    <t>R-factor</t>
  </si>
  <si>
    <t>R factor tier 2</t>
  </si>
  <si>
    <t>R factor tier 3</t>
  </si>
  <si>
    <t>R factor tier 4</t>
  </si>
  <si>
    <t>Govt. share profit petroleum</t>
  </si>
  <si>
    <t>Govt. share tier 1</t>
  </si>
  <si>
    <t>Govt. share tier 2</t>
  </si>
  <si>
    <t>Govt. share tier 3</t>
  </si>
  <si>
    <t>Govt. share tier 4</t>
  </si>
  <si>
    <t>Govt. share tier 5</t>
  </si>
  <si>
    <t>Corporate Income Tax rate</t>
  </si>
  <si>
    <t>Exploration costs (expensing)</t>
  </si>
  <si>
    <t>deferred</t>
  </si>
  <si>
    <t>Development costs (depreciation)</t>
  </si>
  <si>
    <t>Dividend Withholding Tax</t>
  </si>
  <si>
    <t>Participation from development or production</t>
  </si>
  <si>
    <t>development</t>
  </si>
  <si>
    <t>Financing assumptions</t>
  </si>
  <si>
    <t>Percent of development costs borrowed</t>
  </si>
  <si>
    <t>Repayment period (beginning production)</t>
  </si>
  <si>
    <t>Real interest rate</t>
  </si>
  <si>
    <t>Economic assumptions</t>
  </si>
  <si>
    <t>Discount rate government</t>
  </si>
  <si>
    <t>Discount rate contractor</t>
  </si>
  <si>
    <t>Inflation rate</t>
  </si>
  <si>
    <t>Production days per year</t>
  </si>
  <si>
    <t>days</t>
  </si>
  <si>
    <t>Oil price</t>
  </si>
  <si>
    <t>US $/bbl</t>
  </si>
  <si>
    <t>PETROLEUM PROJECT</t>
  </si>
  <si>
    <t>Total</t>
  </si>
  <si>
    <t>Raw Project Data</t>
  </si>
  <si>
    <t>Oil production</t>
  </si>
  <si>
    <t>MMBbl</t>
  </si>
  <si>
    <t>Transport costs post-fiscal point</t>
  </si>
  <si>
    <t>Exploration costs (expensed)</t>
  </si>
  <si>
    <t>Development costs (depreciable)</t>
  </si>
  <si>
    <t>Operating costs</t>
  </si>
  <si>
    <t>Decommissioning costs</t>
  </si>
  <si>
    <t>Price assumptions</t>
  </si>
  <si>
    <t>Oil sales price</t>
  </si>
  <si>
    <t>$/bbl const</t>
  </si>
  <si>
    <t>Project Pre-Tax Cash Flow: Real</t>
  </si>
  <si>
    <t>Gross revenue</t>
  </si>
  <si>
    <t>Net revenue</t>
  </si>
  <si>
    <t>Total costs</t>
  </si>
  <si>
    <t>Project pre-tax cashflow</t>
  </si>
  <si>
    <t>Internal rate of return (real)</t>
  </si>
  <si>
    <t>Flags</t>
  </si>
  <si>
    <t>Project years</t>
  </si>
  <si>
    <t>Production years</t>
  </si>
  <si>
    <t>Remaining production years</t>
  </si>
  <si>
    <t>Development years</t>
  </si>
  <si>
    <t>Payback period</t>
  </si>
  <si>
    <t>Cumulative project pre-tax cash flow</t>
  </si>
  <si>
    <t>Inflation</t>
  </si>
  <si>
    <t>Inflation index</t>
  </si>
  <si>
    <t>index</t>
  </si>
  <si>
    <t>Project Pre-Tax Cash Flow: Nominal</t>
  </si>
  <si>
    <t>$mm nominal</t>
  </si>
  <si>
    <t>Project-pre tax cashflow</t>
  </si>
  <si>
    <t>Internal rate of return (nominal)</t>
  </si>
  <si>
    <t>Fiscal Calculations</t>
  </si>
  <si>
    <t>Decommissioning</t>
  </si>
  <si>
    <t>Decommissioning year</t>
  </si>
  <si>
    <t>Decommissioning costs spent</t>
  </si>
  <si>
    <t>Decommissioning costs real terms</t>
  </si>
  <si>
    <t xml:space="preserve">Escalated decommissioning costs, end of year </t>
  </si>
  <si>
    <t>% reserves produced, end of year</t>
  </si>
  <si>
    <t>Remaining recoverable reserves, end of year</t>
  </si>
  <si>
    <t>Decommissioning fund flag</t>
  </si>
  <si>
    <t>flag</t>
  </si>
  <si>
    <t>Production during decommissioning period</t>
  </si>
  <si>
    <t>Cumulative production during decommissioning period</t>
  </si>
  <si>
    <t>Decommissioning fund opening balance</t>
  </si>
  <si>
    <t>Provision allowed current period</t>
  </si>
  <si>
    <t>Withdrawal to meet decommissioning costs</t>
  </si>
  <si>
    <t>Surplus balance into profit petroleum</t>
  </si>
  <si>
    <t>Closing balance</t>
  </si>
  <si>
    <t>Royalty</t>
  </si>
  <si>
    <t>Royalty payable</t>
  </si>
  <si>
    <t>Production bonus</t>
  </si>
  <si>
    <t>Project net cash flow after decommissioning, royalty and bonus</t>
  </si>
  <si>
    <t>Net revenue after royalty</t>
  </si>
  <si>
    <t>Decommissioning provision/costs</t>
  </si>
  <si>
    <t>Net cash flow</t>
  </si>
  <si>
    <t>Joint venture sharing of project cash flow</t>
  </si>
  <si>
    <t>Development starts</t>
  </si>
  <si>
    <t>Production starts</t>
  </si>
  <si>
    <t>SOC (state-owned company)</t>
  </si>
  <si>
    <t>Contractor</t>
  </si>
  <si>
    <t>Contractor share of JV</t>
  </si>
  <si>
    <t>SOC share of JV</t>
  </si>
  <si>
    <t>Joint venture cost recovery</t>
  </si>
  <si>
    <t>Depreciation year 1</t>
  </si>
  <si>
    <t>Depreciation year 2</t>
  </si>
  <si>
    <t>Depreciation year 3</t>
  </si>
  <si>
    <t>Depreciation year 4</t>
  </si>
  <si>
    <t>Depreciation year 5</t>
  </si>
  <si>
    <t>Depreciation year 6</t>
  </si>
  <si>
    <t>Depreciation year 7</t>
  </si>
  <si>
    <t>Depreciation year 8</t>
  </si>
  <si>
    <t>Depreciation year 9</t>
  </si>
  <si>
    <t>Depreciation year 10</t>
  </si>
  <si>
    <t>Development costs depreciation</t>
  </si>
  <si>
    <t>Opening balance</t>
  </si>
  <si>
    <t>Exploration with uplift (if applicable)</t>
  </si>
  <si>
    <t>Total recoverable costs</t>
  </si>
  <si>
    <t>Cost petroleum</t>
  </si>
  <si>
    <t>Profit petroleum</t>
  </si>
  <si>
    <t>Alternative profit petroleum sharing mechanisms</t>
  </si>
  <si>
    <t>Daily Rate of Profit Petroleum</t>
  </si>
  <si>
    <t>Govt. share</t>
  </si>
  <si>
    <t>Mpbd</t>
  </si>
  <si>
    <t xml:space="preserve">Daily rate of production </t>
  </si>
  <si>
    <t>Tranche 1</t>
  </si>
  <si>
    <t>Tranche 2</t>
  </si>
  <si>
    <t>Tranche 3</t>
  </si>
  <si>
    <t>Tranche 4</t>
  </si>
  <si>
    <t>Tranche 5</t>
  </si>
  <si>
    <t>Check</t>
  </si>
  <si>
    <t>Government share</t>
  </si>
  <si>
    <t>R-Factor Profit Petroleum</t>
  </si>
  <si>
    <t>Joint venture profit petroleum</t>
  </si>
  <si>
    <t>(deduct) opex</t>
  </si>
  <si>
    <t>(deduct) decommissioning provision/costs</t>
  </si>
  <si>
    <t>Cumulative net contractor revenue</t>
  </si>
  <si>
    <t>Investment (exploration and development)</t>
  </si>
  <si>
    <t>Cumulative investment</t>
  </si>
  <si>
    <t>R-Factor (previous period)</t>
  </si>
  <si>
    <t>Joint venture share</t>
  </si>
  <si>
    <t>Government profit petroleum</t>
  </si>
  <si>
    <t>Depreciation</t>
  </si>
  <si>
    <t>Exploration costs</t>
  </si>
  <si>
    <t>Corporate Income Tax</t>
  </si>
  <si>
    <t>Contractor cost recovery</t>
  </si>
  <si>
    <t>Contractor profit petroleum</t>
  </si>
  <si>
    <t>Interest payment</t>
  </si>
  <si>
    <t>Taxable income before prior period losses</t>
  </si>
  <si>
    <t>Prior period losses carried forward</t>
  </si>
  <si>
    <t>Taxable income after losses</t>
  </si>
  <si>
    <t>CIT payable</t>
  </si>
  <si>
    <t>Lender Cash Flow</t>
  </si>
  <si>
    <t>Financing during development</t>
  </si>
  <si>
    <t>Loan repayment</t>
  </si>
  <si>
    <t>Lender net cash flow</t>
  </si>
  <si>
    <t>Development costs</t>
  </si>
  <si>
    <t>Contractor cash flow before distributions</t>
  </si>
  <si>
    <t>Cumulative contractor cash flow before distributions</t>
  </si>
  <si>
    <t>Dividend payment</t>
  </si>
  <si>
    <t>Contractor NCF after DWT</t>
  </si>
  <si>
    <t>SOC share of JV after profit petroleum sharing</t>
  </si>
  <si>
    <t>Results</t>
  </si>
  <si>
    <t>Contractor Net Cash Flow: Nominal</t>
  </si>
  <si>
    <t>Cost recovery</t>
  </si>
  <si>
    <t>Less: Lender net cash flow</t>
  </si>
  <si>
    <t>Less: Exploration costs</t>
  </si>
  <si>
    <t>Less: Development costs</t>
  </si>
  <si>
    <t>Less: Operating costs</t>
  </si>
  <si>
    <t>Less: Decommissioning provision/costs</t>
  </si>
  <si>
    <t>Less: Production bonus</t>
  </si>
  <si>
    <t>Less: Corporate Income Tax</t>
  </si>
  <si>
    <t>Less: Dividend Withholding Tax</t>
  </si>
  <si>
    <t>Contractor post-tax net cash flow</t>
  </si>
  <si>
    <t>Contractor post-tax IRR</t>
  </si>
  <si>
    <t>Decommissioning cash flow</t>
  </si>
  <si>
    <t>Contractor Net Cash Flow: Real</t>
  </si>
  <si>
    <t>Inflation index (from above)</t>
  </si>
  <si>
    <t>Government Revenue: Nominal</t>
  </si>
  <si>
    <t>SOC</t>
  </si>
  <si>
    <t>Government revenue</t>
  </si>
  <si>
    <t>AETR</t>
  </si>
  <si>
    <t>Government Revenue: Real</t>
  </si>
  <si>
    <t>Reconciliation: Nominal</t>
  </si>
  <si>
    <t>Government + Contractor + Lender</t>
  </si>
  <si>
    <t>Project post-tax cash flow</t>
  </si>
  <si>
    <t>Project pre-tax cash flow (from above)</t>
  </si>
  <si>
    <t>Reconciliation: Real</t>
  </si>
  <si>
    <t>Results: Nominal</t>
  </si>
  <si>
    <t>Contractor post-tax cash flow</t>
  </si>
  <si>
    <t>Lender cash flow</t>
  </si>
  <si>
    <t>Results: Real</t>
  </si>
  <si>
    <t>Contractor + Lender cash flow</t>
  </si>
  <si>
    <t>Contractor post-tax IRR on total funds</t>
  </si>
  <si>
    <t>Net Present Value Results -&gt; discount rates</t>
  </si>
  <si>
    <t>Project pre tax cash flow</t>
  </si>
  <si>
    <t>Average Effective Tax Rate</t>
  </si>
  <si>
    <t>% const</t>
  </si>
  <si>
    <t>Government share of total benefits</t>
  </si>
  <si>
    <t>Reconciliation</t>
  </si>
  <si>
    <t>Fiscal Analysis</t>
  </si>
  <si>
    <t>Total government revenue</t>
  </si>
  <si>
    <t>Title:</t>
  </si>
  <si>
    <t>Regime</t>
  </si>
  <si>
    <t>Goal-seek price</t>
  </si>
  <si>
    <t>N/A</t>
  </si>
  <si>
    <t>Royalty + CIT + RRT</t>
  </si>
  <si>
    <t xml:space="preserve">NPV results </t>
  </si>
  <si>
    <t>Signature bonus</t>
  </si>
  <si>
    <t>swtich</t>
  </si>
  <si>
    <t>Development costs - intangibles (expensing)</t>
  </si>
  <si>
    <t>Development costs - tangibles (depreciation)</t>
  </si>
  <si>
    <t>CIT deductible (yes/no)</t>
  </si>
  <si>
    <t>Resource Rent Tax rate</t>
  </si>
  <si>
    <t>RRT threshhold</t>
  </si>
  <si>
    <t>State equity (free)</t>
  </si>
  <si>
    <t>Gold smelter price</t>
  </si>
  <si>
    <t>US $/ounce</t>
  </si>
  <si>
    <t>Transport post-fiscal point</t>
  </si>
  <si>
    <t>Smelting and refining charge post-fiscal point</t>
  </si>
  <si>
    <t>MINING PROJECT</t>
  </si>
  <si>
    <t>Production gold</t>
  </si>
  <si>
    <t>000 ounces</t>
  </si>
  <si>
    <t>Refining and processing post-fiscal point</t>
  </si>
  <si>
    <t>Development costs - intangibles (expensed)</t>
  </si>
  <si>
    <t>Development costs - tangibles (depreciable)</t>
  </si>
  <si>
    <t>Replacement capital costs</t>
  </si>
  <si>
    <t>Operating costs - mining</t>
  </si>
  <si>
    <t>Operating costs - milling</t>
  </si>
  <si>
    <t>Operating costs - other</t>
  </si>
  <si>
    <t>Gold sales price</t>
  </si>
  <si>
    <t>$ const/ounce</t>
  </si>
  <si>
    <t>Transport and processing post-fiscal point</t>
  </si>
  <si>
    <t>Project pre-tax cash flows</t>
  </si>
  <si>
    <t>Production year</t>
  </si>
  <si>
    <t>Escalated decommissioning costs, end of year</t>
  </si>
  <si>
    <t>Surplus balance</t>
  </si>
  <si>
    <t>Project cash flow after decommissioning, royalty and bonus</t>
  </si>
  <si>
    <t>Decommissioning costs/provision</t>
  </si>
  <si>
    <t>Development costs - intangibles</t>
  </si>
  <si>
    <t>Capital costs - tangibles depreciation</t>
  </si>
  <si>
    <t xml:space="preserve">Development costs - intangibles (expensed) </t>
  </si>
  <si>
    <t>Taxable income before losses for CIT purposes</t>
  </si>
  <si>
    <t>(add back) interest deduction</t>
  </si>
  <si>
    <t>(add back) depreciation deduction</t>
  </si>
  <si>
    <t>Adjusted taxable income before prior period losses</t>
  </si>
  <si>
    <t>Prior period adjusted losses</t>
  </si>
  <si>
    <t>Adjusted taxable income after prior period losses</t>
  </si>
  <si>
    <t>Resource Rent Tax</t>
  </si>
  <si>
    <t>RRT opening balance</t>
  </si>
  <si>
    <t>(add) uplift on negative balance</t>
  </si>
  <si>
    <t>(add) project NCF after royalty, bonus and decommissioning</t>
  </si>
  <si>
    <t>RRT closing balance</t>
  </si>
  <si>
    <t>Resource Rent Tax payable</t>
  </si>
  <si>
    <t>NCF after royalty and CIT if deductible</t>
  </si>
  <si>
    <t>Cumulative IRR</t>
  </si>
  <si>
    <t>Dividend Withholding Tax and Government Equity</t>
  </si>
  <si>
    <t>Project NCF after royalty, bonus and decommissioning</t>
  </si>
  <si>
    <t>Lender net cash flows</t>
  </si>
  <si>
    <t>Distributable cash</t>
  </si>
  <si>
    <t>State participation</t>
  </si>
  <si>
    <t>Contractor NCF after DWT and state participation</t>
  </si>
  <si>
    <t>Less: Resource Rent Tax</t>
  </si>
  <si>
    <t>Less: State participation</t>
  </si>
  <si>
    <t xml:space="preserve">Results: Nominal </t>
  </si>
  <si>
    <t>State owned company (SOC) participation in joint venture</t>
  </si>
  <si>
    <t>FARI TERMS OF USE</t>
  </si>
  <si>
    <t>Owner</t>
  </si>
  <si>
    <t>© IMF Fiscal Affairs Department. All rights reserved</t>
  </si>
  <si>
    <t>Mining model</t>
  </si>
  <si>
    <t>Petroleum model</t>
  </si>
  <si>
    <t>Authors</t>
  </si>
  <si>
    <t>Contact authors</t>
  </si>
  <si>
    <t>Oana Luca, Diego Mesa Puyo, Nate Vernon</t>
  </si>
  <si>
    <t>Sheets</t>
  </si>
  <si>
    <t>Checks</t>
  </si>
  <si>
    <t>Navigation</t>
  </si>
  <si>
    <t>oluca@imf.org, dmesapuyo@imf.org, nvernon@img.org</t>
  </si>
  <si>
    <t>Petroleum</t>
  </si>
  <si>
    <t>Mining</t>
  </si>
  <si>
    <t>Project Data</t>
  </si>
  <si>
    <t>Sheet</t>
  </si>
  <si>
    <t>Location</t>
  </si>
  <si>
    <t>Results - Project Life</t>
  </si>
  <si>
    <t>Results - Annual</t>
  </si>
  <si>
    <t>Overall model check</t>
  </si>
  <si>
    <t>ReadMe Sheet</t>
  </si>
  <si>
    <r>
      <rPr>
        <b/>
        <u/>
        <sz val="11.5"/>
        <color theme="0"/>
        <rFont val="Arial"/>
        <family val="2"/>
      </rPr>
      <t>QUICK USER GUIDE:</t>
    </r>
    <r>
      <rPr>
        <b/>
        <sz val="11.5"/>
        <color theme="0"/>
        <rFont val="Arial"/>
        <family val="2"/>
      </rPr>
      <t xml:space="preserve"> </t>
    </r>
    <r>
      <rPr>
        <sz val="11.5"/>
        <color theme="0"/>
        <rFont val="Arial"/>
        <family val="2"/>
      </rPr>
      <t>this set of instructions is inteded as a brief step-by-step explanation of how the model is set up, and how to operate it. This model is accompanied by a technical note and manual, which should be read before using the model.</t>
    </r>
  </si>
  <si>
    <t>Surcharge on Cash Flows rate</t>
  </si>
  <si>
    <t>Surcharge on Cash Flows</t>
  </si>
  <si>
    <t>Surcharge on Cash Flows payable</t>
  </si>
  <si>
    <t>Less: Surcharge on Cash Flows</t>
  </si>
  <si>
    <t>Development costs - tangibles and replacement capex (depreciation)</t>
  </si>
  <si>
    <t>Replacement capital costs (depreciable)</t>
  </si>
  <si>
    <t>Development costs - tangibles and replacement capital depreciation (years)</t>
  </si>
  <si>
    <t>Development costs - tangibles and replacement capital costs</t>
  </si>
  <si>
    <t>(deduct) depreciable capital expenditure</t>
  </si>
  <si>
    <t>Development and replacement capital costs (depreciable, deferred)</t>
  </si>
  <si>
    <t>Development costs and replacement capital depreciation (years)</t>
  </si>
  <si>
    <t>Depreciation of development and replacement capital costs with uplift (if applicable)</t>
  </si>
  <si>
    <t>(deduct) replacement capital</t>
  </si>
  <si>
    <t>Development and replacement capital costs (depreciable)</t>
  </si>
  <si>
    <t>Development and replacement capital costs (depreciated)</t>
  </si>
  <si>
    <t>Less: Replacement capital costs</t>
  </si>
  <si>
    <t>Payback Period: Real</t>
  </si>
  <si>
    <t>Cumulative contractor post-tax cash flow</t>
  </si>
  <si>
    <t>Payback period NPV0</t>
  </si>
  <si>
    <t>Discount index</t>
  </si>
  <si>
    <t>Development and replacement capital cost depreciation period</t>
  </si>
  <si>
    <t>Royalty + CIT + SCF</t>
  </si>
  <si>
    <t>Cost petroleum to contractor</t>
  </si>
  <si>
    <t>Profit petroleum to contractor</t>
  </si>
  <si>
    <t>Profit petroleum to SOC</t>
  </si>
  <si>
    <t>$/ounce</t>
  </si>
  <si>
    <t>Marginal Effective Tax Rate (METR)</t>
  </si>
  <si>
    <t>Contractor post-tax IRR with breakeven price</t>
  </si>
  <si>
    <r>
      <t>Project pre-tax IRR with breakeven price</t>
    </r>
    <r>
      <rPr>
        <b/>
        <sz val="10"/>
        <color theme="1"/>
        <rFont val="Arial"/>
        <family val="2"/>
      </rPr>
      <t xml:space="preserve"> (denominator)</t>
    </r>
  </si>
  <si>
    <r>
      <t>Difference between pre-tax and post-tax IRR with breakeven price</t>
    </r>
    <r>
      <rPr>
        <b/>
        <sz val="10"/>
        <color theme="1"/>
        <rFont val="Arial"/>
        <family val="2"/>
      </rPr>
      <t xml:space="preserve"> (numerator)</t>
    </r>
  </si>
  <si>
    <r>
      <t>Government revenue</t>
    </r>
    <r>
      <rPr>
        <b/>
        <sz val="10"/>
        <color theme="1"/>
        <rFont val="Arial"/>
        <family val="2"/>
      </rPr>
      <t xml:space="preserve"> (numerator)</t>
    </r>
  </si>
  <si>
    <r>
      <t>Total benefits</t>
    </r>
    <r>
      <rPr>
        <b/>
        <sz val="10"/>
        <color theme="1"/>
        <rFont val="Arial"/>
        <family val="2"/>
      </rPr>
      <t xml:space="preserve"> (denominator)</t>
    </r>
  </si>
  <si>
    <t>Annual government revenue - regime comparison</t>
  </si>
  <si>
    <t>Average Effective Tax Rate (AETR) - regime comparison</t>
  </si>
  <si>
    <t>Discount rate</t>
  </si>
  <si>
    <r>
      <t xml:space="preserve">Project pre-tax cash flow </t>
    </r>
    <r>
      <rPr>
        <b/>
        <sz val="10"/>
        <color theme="1"/>
        <rFont val="Arial"/>
        <family val="2"/>
      </rPr>
      <t>(denominator)</t>
    </r>
  </si>
  <si>
    <t>Gold price</t>
  </si>
  <si>
    <t>Government Share of Total Benefits</t>
  </si>
  <si>
    <t>Government Share of Total Benefits - regime comparison</t>
  </si>
  <si>
    <t>Breakeven price and METR stored results - regime comparison</t>
  </si>
  <si>
    <t>INPUTS</t>
  </si>
  <si>
    <t>SNAPSHOT RESULTS</t>
  </si>
  <si>
    <t>$/bbl</t>
  </si>
  <si>
    <t>Government revenue by fiscal mechanism - regime comparison</t>
  </si>
  <si>
    <t xml:space="preserve">Save the original price here and restore it after the goal seek analysis in the input cell F35 in the Economic Assumptions </t>
  </si>
  <si>
    <t xml:space="preserve">Save the original price here and restore it after the goal seek analysis in the input cell F55 in the Economic Assumptions </t>
  </si>
  <si>
    <t>Sensitivities</t>
  </si>
  <si>
    <t xml:space="preserve">Total  </t>
  </si>
  <si>
    <t xml:space="preserve">Total </t>
  </si>
  <si>
    <t>Undepreciated balance at the end of the project</t>
  </si>
  <si>
    <t>Cumulative development and replacement capital costs (depreciable)</t>
  </si>
  <si>
    <t>Cumulative depreciation</t>
  </si>
  <si>
    <t>Cumulative development - tangibles and replacement capital costs (depreciable)</t>
  </si>
  <si>
    <t>Cost petroleum to state owned company (SOC)</t>
  </si>
  <si>
    <t>(add) proceeds from sale of undepreciated assets</t>
  </si>
  <si>
    <t>Proceeds from the sale of undepreciated assets</t>
  </si>
  <si>
    <t>Depreciation switch</t>
  </si>
  <si>
    <t>Contractor's undepreciated balance at the end of the project</t>
  </si>
  <si>
    <t>SOC's undepreciated balance at the end of the project (grossed up)</t>
  </si>
  <si>
    <t>Contractor's proceeds from the sale of undepreciated assets</t>
  </si>
  <si>
    <t>SOC's proceeds from the sale of undepreciated assets</t>
  </si>
  <si>
    <t>Joint venture proceeds from the sale of undepreciated assets</t>
  </si>
  <si>
    <t>Joint venture's proceeds from the sale of undepreciated assets</t>
  </si>
  <si>
    <t>Pre-tax IRR at different prices</t>
  </si>
  <si>
    <t>gross</t>
  </si>
  <si>
    <t>SGO SENEGAL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</si>
</sst>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9">
    <numFmt numFmtId="43" formatCode="_-* #,##0.00_-;\-* #,##0.00_-;_-* &quot;-&quot;??_-;_-@_-"/>
    <numFmt numFmtId="164" formatCode="&quot;$&quot;#,##0_);\(&quot;$&quot;#,##0\)"/>
    <numFmt numFmtId="165" formatCode="_(&quot;$&quot;* #,##0_);_(&quot;$&quot;* \(#,##0\);_(&quot;$&quot;* &quot;-&quot;_);_(@_)"/>
    <numFmt numFmtId="166" formatCode="_(* #,##0_);_(* \(#,##0\);_(* &quot;-&quot;_);_(@_)"/>
    <numFmt numFmtId="167" formatCode="_(&quot;$&quot;* #,##0.00_);_(&quot;$&quot;* \(#,##0.00\);_(&quot;$&quot;* &quot;-&quot;??_);_(@_)"/>
    <numFmt numFmtId="168" formatCode="_(* #,##0.00_);_(* \(#,##0.00\);_(* &quot;-&quot;??_);_(@_)"/>
    <numFmt numFmtId="169" formatCode="#,##0_);[Red]\(#,##0\);\-"/>
    <numFmt numFmtId="170" formatCode="#,##0;\-#,##0;\-"/>
    <numFmt numFmtId="171" formatCode="#,###;#,###;\-"/>
    <numFmt numFmtId="172" formatCode="0.0%"/>
    <numFmt numFmtId="173" formatCode="#,##0.0_);[Red]\(#,##0.0\);\-"/>
    <numFmt numFmtId="174" formatCode="#,###.00;#,###.00;\-"/>
    <numFmt numFmtId="175" formatCode="#,##0.00;\-#,##0.00;\-"/>
    <numFmt numFmtId="176" formatCode="#,##0.00_);[Red]\(#,##0.00\);\-"/>
    <numFmt numFmtId="177" formatCode="[$-409]mmmm\-yy;@"/>
    <numFmt numFmtId="178" formatCode="_-* #,##0.00\ [$€-1]_-;\-* #,##0.00\ [$€-1]_-;_-* &quot;-&quot;??\ [$€-1]_-"/>
    <numFmt numFmtId="179" formatCode="\$#,##0.00\ ;\(\$#,##0.00\)"/>
    <numFmt numFmtId="180" formatCode="0.000000"/>
    <numFmt numFmtId="181" formatCode="General_)"/>
    <numFmt numFmtId="182" formatCode="0.0;;"/>
    <numFmt numFmtId="183" formatCode="d\-mmm\-yy_);d\-mmm\-yy_);&quot;-&quot;_)"/>
    <numFmt numFmtId="184" formatCode="&quot;   &quot;@"/>
    <numFmt numFmtId="185" formatCode="#,##0_);\(#,##0\);&quot;-&quot;_)"/>
    <numFmt numFmtId="186" formatCode="#,##0;\(#,##0\);&quot;-&quot;"/>
    <numFmt numFmtId="187" formatCode="0.00%;\(0.00%\);&quot;-&quot;"/>
    <numFmt numFmtId="188" formatCode="0.000&quot;x&quot;_);\(#,##0\)&quot;x&quot;;&quot;-&quot;_)"/>
    <numFmt numFmtId="189" formatCode="&quot;      &quot;@"/>
    <numFmt numFmtId="190" formatCode="0.00%_);\(0.00%\);&quot;-&quot;_)"/>
    <numFmt numFmtId="191" formatCode="0.000&quot;x&quot;_);\(0.000\)&quot;x&quot;;&quot;-&quot;_)"/>
    <numFmt numFmtId="192" formatCode="&quot;         &quot;@"/>
    <numFmt numFmtId="193" formatCode="&quot;            &quot;@"/>
    <numFmt numFmtId="194" formatCode="&quot;               &quot;@"/>
    <numFmt numFmtId="195" formatCode="#,##0_);[Red]\(#,##0\);&quot;-  &quot;"/>
    <numFmt numFmtId="196" formatCode="0.0"/>
    <numFmt numFmtId="197" formatCode="&quot;$&quot;#,##0_);[Red]\(&quot;$&quot;#,##0\);&quot;$&quot;0_);@_)"/>
    <numFmt numFmtId="198" formatCode="#,###,_);\(#,###,\);\-_);@\ "/>
    <numFmt numFmtId="199" formatCode="#,##0_);\(#,##0\);\-_);@\ "/>
    <numFmt numFmtId="200" formatCode="#,##0.0_);\(#,##0.0\);\-_);@\ "/>
    <numFmt numFmtId="201" formatCode="#,##0.00_);\(#,##0.00\);\-_);@\ "/>
    <numFmt numFmtId="202" formatCode="#,##0_)\ \ ;[Red]\(#,##0\)\ \ "/>
    <numFmt numFmtId="203" formatCode="#,##0;[Red]\(#,##0\)"/>
    <numFmt numFmtId="204" formatCode="#,##0.0"/>
    <numFmt numFmtId="205" formatCode="#,##0.000"/>
    <numFmt numFmtId="206" formatCode="#,##0.0000"/>
    <numFmt numFmtId="207" formatCode="0.000_)"/>
    <numFmt numFmtId="208" formatCode="#,##0.0_);\(#,##0.0\)"/>
    <numFmt numFmtId="209" formatCode="#,##0;\(#,##0\)"/>
    <numFmt numFmtId="210" formatCode="#,##0.0;\(#,##0.0\)"/>
    <numFmt numFmtId="211" formatCode="_ * #,##0.00_ ;_ * \-#,##0.00_ ;_ * &quot;-&quot;??_ ;_ @_ "/>
    <numFmt numFmtId="212" formatCode="#,##0_)"/>
    <numFmt numFmtId="213" formatCode="0.0_W"/>
    <numFmt numFmtId="214" formatCode="_-* #,##0.00\ _D_M_-;\-* #,##0.00\ _D_M_-;_-* &quot;-&quot;??\ _D_M_-;_-@_-"/>
    <numFmt numFmtId="215" formatCode="#,##0.0\ ;\(#,##0.0\);&quot;-&quot;??"/>
    <numFmt numFmtId="216" formatCode="_([$€-2]* #,##0.00_);_([$€-2]* \(#,##0.00\);_([$€-2]* &quot;-&quot;??_)"/>
    <numFmt numFmtId="217" formatCode="_-* #,##0.00\ &quot;€&quot;_-;\-* #,##0.00\ &quot;€&quot;_-;_-* &quot;-&quot;??\ &quot;€&quot;_-;_-@_-"/>
    <numFmt numFmtId="218" formatCode="#.##0,"/>
    <numFmt numFmtId="219" formatCode="#,#00"/>
    <numFmt numFmtId="220" formatCode="#,"/>
    <numFmt numFmtId="221" formatCode=";;;"/>
    <numFmt numFmtId="222" formatCode="0_)"/>
    <numFmt numFmtId="223" formatCode="_-* #,##0.00\ _€_-;\-* #,##0.00\ _€_-;_-* &quot;-&quot;??\ _€_-;_-@_-"/>
    <numFmt numFmtId="224" formatCode="&quot;Cr$&quot;#,##0_);[Red]\(&quot;Cr$&quot;#,##0\)"/>
    <numFmt numFmtId="225" formatCode="&quot;Cr$&quot;#,##0.00_);[Red]\(&quot;Cr$&quot;#,##0.00\)"/>
    <numFmt numFmtId="226" formatCode="\$#,"/>
    <numFmt numFmtId="227" formatCode="&quot;$&quot;#,#00"/>
    <numFmt numFmtId="228" formatCode="&quot;$&quot;#,"/>
    <numFmt numFmtId="229" formatCode="#,##0.00_);\-#,##0.00_);\-_)"/>
    <numFmt numFmtId="230" formatCode="0.0_)"/>
    <numFmt numFmtId="231" formatCode="[&gt;=0.05]#,##0.0;[&lt;=-0.05]\-#,##0.0;?0.0"/>
    <numFmt numFmtId="232" formatCode="[&gt;=0.05]\(#,##0.0\);[&lt;=-0.05]\(\-#,##0.0\);\(\-\-\);\(@\)"/>
    <numFmt numFmtId="233" formatCode="%#,#00"/>
    <numFmt numFmtId="234" formatCode="[Black][&gt;0.5]#,##0;[Black][&lt;-0.5]\-#,##0;;"/>
    <numFmt numFmtId="235" formatCode="[Black]#,##0.0;[Black]\-#,##0.0;;"/>
    <numFmt numFmtId="236" formatCode="[Black][&gt;0.05]#,##0.0;[Black][&lt;-0.05]\-#,##0.0;;"/>
    <numFmt numFmtId="237" formatCode="#.##000"/>
    <numFmt numFmtId="238" formatCode="dd\-mmm\-yy_)"/>
    <numFmt numFmtId="239" formatCode="#,##0.0____"/>
    <numFmt numFmtId="240" formatCode="#,##0."/>
    <numFmt numFmtId="241" formatCode="#,##0.000000"/>
    <numFmt numFmtId="242" formatCode="#,##0.0_);\-#,##0.0_);\-_)"/>
    <numFmt numFmtId="243" formatCode="###0.00_)"/>
    <numFmt numFmtId="244" formatCode="0_%_);\(0\)_%;0_%_);@_%_)"/>
    <numFmt numFmtId="245" formatCode="_-* #,##0\ &quot;DM&quot;_-;\-* #,##0\ &quot;DM&quot;_-;_-* &quot;-&quot;\ &quot;DM&quot;_-;_-@_-"/>
    <numFmt numFmtId="246" formatCode="_-* #,##0.00\ &quot;DM&quot;_-;\-* #,##0.00\ &quot;DM&quot;_-;_-* &quot;-&quot;??\ &quot;DM&quot;_-;_-@_-"/>
    <numFmt numFmtId="247" formatCode="General\ \ \ \ \ \ "/>
    <numFmt numFmtId="248" formatCode="0.0\ \ \ \ \ \ \ \ "/>
    <numFmt numFmtId="249" formatCode="mmmm\ yyyy"/>
    <numFmt numFmtId="250" formatCode="#,##0.0;\-#,##0.0;\-"/>
    <numFmt numFmtId="251" formatCode="[$-F800]dddd\,\ mmmm\ dd\,\ yyyy"/>
  </numFmts>
  <fonts count="224">
    <font>
      <sz val="11"/>
      <color theme="1"/>
      <name val="Calibri"/>
      <family val="2"/>
      <scheme val="minor"/>
    </font>
    <font>
      <sz val="11"/>
      <color theme="1"/>
      <name val="Calibri"/>
      <family val="2"/>
      <scheme val="minor"/>
    </font>
    <font>
      <b/>
      <sz val="10"/>
      <color theme="1"/>
      <name val="Arial"/>
      <family val="2"/>
    </font>
    <font>
      <sz val="10"/>
      <name val="Arial"/>
      <family val="2"/>
    </font>
    <font>
      <b/>
      <sz val="10"/>
      <color theme="0"/>
      <name val="Arial"/>
      <family val="2"/>
    </font>
    <font>
      <sz val="10"/>
      <color theme="4"/>
      <name val="Arial"/>
      <family val="2"/>
    </font>
    <font>
      <b/>
      <sz val="10"/>
      <color rgb="FFFF0000"/>
      <name val="Arial"/>
      <family val="2"/>
    </font>
    <font>
      <sz val="10"/>
      <color theme="1"/>
      <name val="Arial"/>
      <family val="2"/>
    </font>
    <font>
      <sz val="10"/>
      <color rgb="FF0070C0"/>
      <name val="Arial"/>
      <family val="2"/>
    </font>
    <font>
      <sz val="10"/>
      <color rgb="FF000099"/>
      <name val="Arial"/>
      <family val="2"/>
    </font>
    <font>
      <b/>
      <sz val="10"/>
      <name val="Arial"/>
      <family val="2"/>
    </font>
    <font>
      <sz val="10"/>
      <color rgb="FF333333"/>
      <name val="Arial"/>
      <family val="2"/>
    </font>
    <font>
      <sz val="10"/>
      <color theme="4" tint="-0.249977111117893"/>
      <name val="Arial"/>
      <family val="2"/>
    </font>
    <font>
      <sz val="6"/>
      <name val="Arial"/>
      <family val="2"/>
    </font>
    <font>
      <b/>
      <i/>
      <sz val="10"/>
      <color theme="1"/>
      <name val="Arial"/>
      <family val="2"/>
    </font>
    <font>
      <u/>
      <sz val="10"/>
      <color theme="1"/>
      <name val="Arial"/>
      <family val="2"/>
    </font>
    <font>
      <b/>
      <u/>
      <sz val="10"/>
      <color theme="1"/>
      <name val="Arial"/>
      <family val="2"/>
    </font>
    <font>
      <sz val="8"/>
      <color theme="1"/>
      <name val="Arial"/>
      <family val="2"/>
    </font>
    <font>
      <sz val="10"/>
      <color theme="0"/>
      <name val="Arial"/>
      <family val="2"/>
    </font>
    <font>
      <sz val="10"/>
      <color theme="0" tint="-0.499984740745262"/>
      <name val="Arial"/>
      <family val="2"/>
    </font>
    <font>
      <sz val="10"/>
      <color theme="0" tint="-0.14999847407452621"/>
      <name val="Arial"/>
      <family val="2"/>
    </font>
    <font>
      <sz val="12"/>
      <color indexed="8"/>
      <name val="TimesNewRomanPS"/>
      <family val="1"/>
    </font>
    <font>
      <sz val="10"/>
      <name val="Verdana"/>
      <family val="2"/>
    </font>
    <font>
      <sz val="10"/>
      <color indexed="12"/>
      <name val="Times New Roman"/>
      <family val="1"/>
    </font>
    <font>
      <sz val="10"/>
      <color indexed="57"/>
      <name val="Times New Roman"/>
      <family val="1"/>
    </font>
    <font>
      <b/>
      <sz val="10"/>
      <color indexed="33"/>
      <name val="Times New Roman"/>
      <family val="1"/>
    </font>
    <font>
      <sz val="12"/>
      <color indexed="24"/>
      <name val="Modern"/>
      <family val="3"/>
      <charset val="255"/>
    </font>
    <font>
      <b/>
      <sz val="18"/>
      <color indexed="24"/>
      <name val="Modern"/>
      <family val="3"/>
      <charset val="255"/>
    </font>
    <font>
      <b/>
      <sz val="12"/>
      <color indexed="24"/>
      <name val="Modern"/>
      <family val="3"/>
      <charset val="255"/>
    </font>
    <font>
      <sz val="12"/>
      <name val="??"/>
      <charset val="134"/>
    </font>
    <font>
      <sz val="10"/>
      <name val="Arial Cyr"/>
      <family val="2"/>
      <charset val="204"/>
    </font>
    <font>
      <sz val="10"/>
      <name val="Helv"/>
      <family val="2"/>
    </font>
    <font>
      <sz val="10"/>
      <name val="Geneva"/>
      <family val="2"/>
    </font>
    <font>
      <sz val="10"/>
      <name val="Geneva"/>
    </font>
    <font>
      <sz val="10"/>
      <name val="Times New Roman"/>
      <family val="1"/>
    </font>
    <font>
      <sz val="10"/>
      <name val="Arial"/>
      <family val="2"/>
      <charset val="238"/>
    </font>
    <font>
      <sz val="8"/>
      <name val="Arial"/>
      <family val="2"/>
    </font>
    <font>
      <sz val="7"/>
      <name val="Arial"/>
      <family val="2"/>
    </font>
    <font>
      <b/>
      <sz val="8"/>
      <name val="Arial"/>
      <family val="2"/>
    </font>
    <font>
      <sz val="12"/>
      <name val="Times New Roman"/>
      <family val="1"/>
    </font>
    <font>
      <sz val="9"/>
      <name val="Times New Roman"/>
      <family val="1"/>
    </font>
    <font>
      <sz val="10"/>
      <color indexed="12"/>
      <name val="Arial"/>
      <family val="2"/>
    </font>
    <font>
      <b/>
      <u/>
      <sz val="14"/>
      <name val="Arial"/>
      <family val="2"/>
    </font>
    <font>
      <b/>
      <u/>
      <sz val="12"/>
      <name val="Arial"/>
      <family val="2"/>
    </font>
    <font>
      <b/>
      <u/>
      <sz val="10"/>
      <name val="Arial"/>
      <family val="2"/>
    </font>
    <font>
      <u/>
      <sz val="10"/>
      <name val="Arial"/>
      <family val="2"/>
    </font>
    <font>
      <sz val="11"/>
      <color indexed="8"/>
      <name val="Calibri"/>
      <family val="2"/>
    </font>
    <font>
      <sz val="11"/>
      <color indexed="9"/>
      <name val="Calibri"/>
      <family val="2"/>
    </font>
    <font>
      <sz val="10"/>
      <name val="Arial Cyr"/>
      <family val="2"/>
    </font>
    <font>
      <b/>
      <sz val="9"/>
      <name val="Times New Roman"/>
      <family val="1"/>
    </font>
    <font>
      <sz val="9"/>
      <color indexed="8"/>
      <name val="Times New Roman"/>
      <family val="1"/>
    </font>
    <font>
      <sz val="12"/>
      <color indexed="8"/>
      <name val="Times New Roman"/>
      <family val="1"/>
    </font>
    <font>
      <sz val="8"/>
      <color indexed="12"/>
      <name val="Helv"/>
    </font>
    <font>
      <b/>
      <sz val="11"/>
      <color indexed="63"/>
      <name val="Calibri"/>
      <family val="2"/>
    </font>
    <font>
      <sz val="12"/>
      <color indexed="12"/>
      <name val="Times New Roman"/>
      <family val="1"/>
    </font>
    <font>
      <sz val="10"/>
      <color indexed="10"/>
      <name val="Times New Roman"/>
      <family val="1"/>
    </font>
    <font>
      <sz val="10"/>
      <color indexed="50"/>
      <name val="MS Sans Serif"/>
      <family val="2"/>
    </font>
    <font>
      <b/>
      <sz val="11"/>
      <color indexed="52"/>
      <name val="Calibri"/>
      <family val="2"/>
    </font>
    <font>
      <sz val="10"/>
      <name val="Helvetica"/>
      <family val="2"/>
    </font>
    <font>
      <sz val="12"/>
      <name val="Arial"/>
      <family val="2"/>
    </font>
    <font>
      <sz val="10"/>
      <color indexed="12"/>
      <name val="Helvetica"/>
      <family val="2"/>
    </font>
    <font>
      <sz val="10"/>
      <color indexed="20"/>
      <name val="Arial"/>
      <family val="2"/>
    </font>
    <font>
      <sz val="16"/>
      <name val="Arial"/>
      <family val="2"/>
    </font>
    <font>
      <sz val="14"/>
      <color indexed="50"/>
      <name val="Arial"/>
      <family val="2"/>
    </font>
    <font>
      <b/>
      <sz val="8.5"/>
      <color indexed="50"/>
      <name val="Arial"/>
      <family val="2"/>
    </font>
    <font>
      <sz val="8"/>
      <color indexed="8"/>
      <name val="Arial"/>
      <family val="2"/>
    </font>
    <font>
      <b/>
      <sz val="7"/>
      <color indexed="9"/>
      <name val="Arial"/>
      <family val="2"/>
    </font>
    <font>
      <b/>
      <sz val="7"/>
      <name val="Arial"/>
      <family val="2"/>
    </font>
    <font>
      <sz val="7"/>
      <color indexed="8"/>
      <name val="Arial"/>
      <family val="2"/>
    </font>
    <font>
      <sz val="6.5"/>
      <name val="Arial"/>
      <family val="2"/>
    </font>
    <font>
      <sz val="1"/>
      <color indexed="8"/>
      <name val="Courier"/>
      <family val="3"/>
    </font>
    <font>
      <i/>
      <sz val="1"/>
      <color indexed="8"/>
      <name val="Courier"/>
      <family val="3"/>
    </font>
    <font>
      <sz val="10"/>
      <color indexed="9"/>
      <name val="Times New Roman"/>
      <family val="1"/>
    </font>
    <font>
      <b/>
      <sz val="12"/>
      <name val="Arial Rounded MT Bold"/>
      <family val="2"/>
    </font>
    <font>
      <i/>
      <sz val="12"/>
      <name val="Arial"/>
      <family val="2"/>
    </font>
    <font>
      <b/>
      <sz val="10"/>
      <color indexed="10"/>
      <name val="Times New Roman"/>
      <family val="1"/>
    </font>
    <font>
      <sz val="10"/>
      <color indexed="8"/>
      <name val="Verdana"/>
      <family val="2"/>
    </font>
    <font>
      <i/>
      <sz val="10"/>
      <color indexed="8"/>
      <name val="Verdana"/>
      <family val="2"/>
    </font>
    <font>
      <b/>
      <sz val="10"/>
      <color indexed="8"/>
      <name val="Verdana"/>
      <family val="2"/>
    </font>
    <font>
      <sz val="11"/>
      <color indexed="8"/>
      <name val="Verdana"/>
      <family val="2"/>
    </font>
    <font>
      <b/>
      <sz val="11"/>
      <color indexed="8"/>
      <name val="Verdana"/>
      <family val="2"/>
    </font>
    <font>
      <b/>
      <sz val="13"/>
      <color indexed="9"/>
      <name val="Verdana"/>
      <family val="2"/>
    </font>
    <font>
      <sz val="10"/>
      <color indexed="54"/>
      <name val="Verdana"/>
      <family val="2"/>
    </font>
    <font>
      <sz val="11"/>
      <color indexed="8"/>
      <name val="Arial"/>
      <family val="2"/>
    </font>
    <font>
      <sz val="12"/>
      <name val="Helv"/>
      <family val="2"/>
    </font>
    <font>
      <b/>
      <sz val="9"/>
      <color indexed="18"/>
      <name val="Arial"/>
      <family val="2"/>
    </font>
    <font>
      <sz val="11"/>
      <name val="Tms Rmn"/>
    </font>
    <font>
      <sz val="10"/>
      <name val="MS Sans Serif"/>
      <family val="2"/>
    </font>
    <font>
      <sz val="10"/>
      <name val="Calibri"/>
      <family val="2"/>
      <scheme val="minor"/>
    </font>
    <font>
      <sz val="10"/>
      <color indexed="8"/>
      <name val="Calibri"/>
      <family val="2"/>
    </font>
    <font>
      <sz val="10"/>
      <color theme="1"/>
      <name val="Calibri"/>
      <family val="2"/>
      <scheme val="minor"/>
    </font>
    <font>
      <sz val="10"/>
      <name val="System"/>
      <family val="2"/>
    </font>
    <font>
      <b/>
      <sz val="12"/>
      <name val="Helv"/>
      <family val="2"/>
    </font>
    <font>
      <sz val="9"/>
      <name val="Helv"/>
      <family val="2"/>
    </font>
    <font>
      <vertAlign val="superscript"/>
      <sz val="12"/>
      <name val="Helv"/>
      <family val="2"/>
    </font>
    <font>
      <sz val="9"/>
      <name val="Tms Rmn"/>
    </font>
    <font>
      <sz val="11"/>
      <color indexed="62"/>
      <name val="Calibri"/>
      <family val="2"/>
    </font>
    <font>
      <b/>
      <sz val="10"/>
      <color indexed="8"/>
      <name val="Times New Roman"/>
      <family val="1"/>
    </font>
    <font>
      <b/>
      <sz val="11"/>
      <color indexed="8"/>
      <name val="Calibri"/>
      <family val="2"/>
    </font>
    <font>
      <i/>
      <sz val="11"/>
      <color indexed="23"/>
      <name val="Calibri"/>
      <family val="2"/>
    </font>
    <font>
      <b/>
      <sz val="10"/>
      <color indexed="9"/>
      <name val="Arial"/>
      <family val="2"/>
    </font>
    <font>
      <sz val="12"/>
      <name val="Helv"/>
    </font>
    <font>
      <u/>
      <sz val="7.5"/>
      <color indexed="36"/>
      <name val="Arial"/>
      <family val="2"/>
    </font>
    <font>
      <b/>
      <i/>
      <sz val="10"/>
      <name val="Arial"/>
      <family val="2"/>
    </font>
    <font>
      <sz val="9"/>
      <name val="Helvetica"/>
      <family val="2"/>
    </font>
    <font>
      <sz val="10"/>
      <color indexed="8"/>
      <name val="Arial"/>
      <family val="2"/>
    </font>
    <font>
      <sz val="10"/>
      <color indexed="17"/>
      <name val="Times New Roman"/>
      <family val="1"/>
    </font>
    <font>
      <sz val="11"/>
      <color indexed="17"/>
      <name val="Calibri"/>
      <family val="2"/>
    </font>
    <font>
      <b/>
      <sz val="18"/>
      <name val="Arial"/>
      <family val="2"/>
    </font>
    <font>
      <b/>
      <sz val="12"/>
      <name val="Arial"/>
      <family val="2"/>
    </font>
    <font>
      <b/>
      <sz val="11"/>
      <color indexed="8"/>
      <name val="Times New Roman"/>
      <family val="1"/>
    </font>
    <font>
      <b/>
      <sz val="1"/>
      <color indexed="8"/>
      <name val="Courier"/>
      <family val="3"/>
    </font>
    <font>
      <b/>
      <sz val="12"/>
      <name val="Times New Roman"/>
      <family val="1"/>
    </font>
    <font>
      <b/>
      <sz val="9"/>
      <name val="Helv"/>
      <family val="2"/>
    </font>
    <font>
      <sz val="8.5"/>
      <name val="Helv"/>
      <family val="2"/>
    </font>
    <font>
      <b/>
      <sz val="10"/>
      <name val="Helv"/>
      <family val="2"/>
    </font>
    <font>
      <sz val="13"/>
      <name val="Arial"/>
      <family val="2"/>
    </font>
    <font>
      <u/>
      <sz val="10"/>
      <color indexed="12"/>
      <name val="Courier"/>
      <family val="3"/>
    </font>
    <font>
      <u/>
      <sz val="11"/>
      <color theme="10"/>
      <name val="Calibri"/>
      <family val="2"/>
    </font>
    <font>
      <u/>
      <sz val="10"/>
      <color indexed="36"/>
      <name val="Courier"/>
      <family val="3"/>
    </font>
    <font>
      <u/>
      <sz val="5"/>
      <color indexed="12"/>
      <name val="Courier"/>
      <family val="3"/>
    </font>
    <font>
      <u/>
      <sz val="7.5"/>
      <color indexed="12"/>
      <name val="Arial"/>
      <family val="2"/>
    </font>
    <font>
      <u/>
      <sz val="12"/>
      <color indexed="12"/>
      <name val="Times New Roman"/>
      <family val="1"/>
    </font>
    <font>
      <u/>
      <sz val="10"/>
      <color indexed="12"/>
      <name val="Times New Roman"/>
      <family val="1"/>
    </font>
    <font>
      <u/>
      <sz val="9.35"/>
      <color theme="10"/>
      <name val="Calibri"/>
      <family val="2"/>
    </font>
    <font>
      <u/>
      <sz val="10"/>
      <color indexed="36"/>
      <name val="Arial"/>
      <family val="2"/>
    </font>
    <font>
      <sz val="10"/>
      <color indexed="8"/>
      <name val="Helv"/>
      <family val="2"/>
    </font>
    <font>
      <sz val="10"/>
      <color indexed="18"/>
      <name val="Times New Roman"/>
      <family val="1"/>
    </font>
    <font>
      <b/>
      <sz val="10"/>
      <color indexed="12"/>
      <name val="Arial"/>
      <family val="2"/>
    </font>
    <font>
      <b/>
      <sz val="12"/>
      <color indexed="8"/>
      <name val="Times New Roman"/>
      <family val="1"/>
    </font>
    <font>
      <u/>
      <sz val="7.5"/>
      <color indexed="12"/>
      <name val="Times"/>
      <family val="1"/>
    </font>
    <font>
      <u/>
      <sz val="7.5"/>
      <color indexed="36"/>
      <name val="Times"/>
      <family val="1"/>
    </font>
    <font>
      <sz val="8"/>
      <color indexed="8"/>
      <name val="Helv"/>
    </font>
    <font>
      <u/>
      <sz val="10"/>
      <name val="Times New Roman"/>
      <family val="1"/>
    </font>
    <font>
      <sz val="12"/>
      <name val="Arial MT"/>
      <family val="2"/>
    </font>
    <font>
      <sz val="10"/>
      <color indexed="19"/>
      <name val="Times New Roman"/>
      <family val="1"/>
    </font>
    <font>
      <i/>
      <sz val="10"/>
      <name val="Arial"/>
      <family val="2"/>
    </font>
    <font>
      <sz val="10"/>
      <name val="Tms Rmn"/>
    </font>
    <font>
      <sz val="12"/>
      <name val="Tms Rmn"/>
    </font>
    <font>
      <sz val="10"/>
      <name val="Calibri"/>
      <family val="2"/>
    </font>
    <font>
      <sz val="10"/>
      <name val="Courier"/>
      <family val="3"/>
    </font>
    <font>
      <sz val="10"/>
      <color theme="1"/>
      <name val="Arial"/>
      <family val="2"/>
      <charset val="238"/>
    </font>
    <font>
      <sz val="8.25"/>
      <name val="Microsoft Sans Serif"/>
      <family val="2"/>
    </font>
    <font>
      <sz val="8"/>
      <name val="Helvetica"/>
      <family val="2"/>
    </font>
    <font>
      <sz val="11"/>
      <color theme="1"/>
      <name val="Calibri"/>
      <family val="2"/>
      <charset val="238"/>
      <scheme val="minor"/>
    </font>
    <font>
      <i/>
      <sz val="10"/>
      <name val="Helv"/>
      <family val="2"/>
    </font>
    <font>
      <sz val="11"/>
      <name val="Times New Roman"/>
      <family val="1"/>
    </font>
    <font>
      <b/>
      <sz val="10"/>
      <color indexed="9"/>
      <name val="Times New Roman"/>
      <family val="1"/>
    </font>
    <font>
      <b/>
      <sz val="10"/>
      <name val="MS Sans Serif"/>
      <family val="2"/>
    </font>
    <font>
      <sz val="10"/>
      <name val="Helv"/>
    </font>
    <font>
      <sz val="10"/>
      <color indexed="10"/>
      <name val="MS Sans Serif"/>
      <family val="2"/>
    </font>
    <font>
      <sz val="10"/>
      <color rgb="FF3211FB"/>
      <name val="Arial"/>
      <family val="2"/>
    </font>
    <font>
      <b/>
      <sz val="10"/>
      <color rgb="FF3211FB"/>
      <name val="Arial"/>
      <family val="2"/>
    </font>
    <font>
      <sz val="10"/>
      <name val="NewtonCTT"/>
      <family val="2"/>
    </font>
    <font>
      <b/>
      <sz val="11"/>
      <color indexed="18"/>
      <name val="Arial"/>
      <family val="2"/>
    </font>
    <font>
      <b/>
      <i/>
      <sz val="11"/>
      <color indexed="18"/>
      <name val="Arial"/>
      <family val="2"/>
    </font>
    <font>
      <sz val="9"/>
      <name val="Arial"/>
      <family val="2"/>
    </font>
    <font>
      <b/>
      <sz val="10"/>
      <color indexed="8"/>
      <name val="Arial"/>
      <family val="2"/>
    </font>
    <font>
      <sz val="12"/>
      <color indexed="9"/>
      <name val="MS Sans Serif"/>
      <family val="2"/>
    </font>
    <font>
      <sz val="11"/>
      <color indexed="9"/>
      <name val="Arial"/>
      <family val="2"/>
    </font>
    <font>
      <sz val="11"/>
      <name val="Arial"/>
      <family val="2"/>
    </font>
    <font>
      <b/>
      <sz val="11"/>
      <color indexed="9"/>
      <name val="Arial"/>
      <family val="2"/>
    </font>
    <font>
      <b/>
      <sz val="11"/>
      <color indexed="18"/>
      <name val="Arial Narrow"/>
      <family val="2"/>
    </font>
    <font>
      <b/>
      <sz val="11"/>
      <color indexed="9"/>
      <name val="Arial Narrow"/>
      <family val="2"/>
    </font>
    <font>
      <sz val="11"/>
      <color indexed="18"/>
      <name val="Arial"/>
      <family val="2"/>
    </font>
    <font>
      <sz val="10"/>
      <color indexed="56"/>
      <name val="Arial"/>
      <family val="2"/>
    </font>
    <font>
      <sz val="10"/>
      <color indexed="18"/>
      <name val="Arial"/>
      <family val="2"/>
    </font>
    <font>
      <sz val="10"/>
      <color indexed="9"/>
      <name val="Arial"/>
      <family val="2"/>
    </font>
    <font>
      <sz val="12"/>
      <color indexed="56"/>
      <name val="Arial"/>
      <family val="2"/>
    </font>
    <font>
      <i/>
      <sz val="12"/>
      <color indexed="56"/>
      <name val="Arial"/>
      <family val="2"/>
    </font>
    <font>
      <sz val="11"/>
      <color indexed="56"/>
      <name val="Arial"/>
      <family val="2"/>
    </font>
    <font>
      <i/>
      <sz val="11"/>
      <color indexed="56"/>
      <name val="Arial"/>
      <family val="2"/>
    </font>
    <font>
      <b/>
      <sz val="11"/>
      <color indexed="56"/>
      <name val="Arial"/>
      <family val="2"/>
    </font>
    <font>
      <b/>
      <i/>
      <sz val="11"/>
      <color indexed="56"/>
      <name val="Arial"/>
      <family val="2"/>
    </font>
    <font>
      <sz val="18"/>
      <color indexed="18"/>
      <name val="Arial"/>
      <family val="2"/>
    </font>
    <font>
      <sz val="11"/>
      <color indexed="10"/>
      <name val="Arial"/>
      <family val="2"/>
    </font>
    <font>
      <sz val="11"/>
      <color indexed="20"/>
      <name val="Calibri"/>
      <family val="2"/>
    </font>
    <font>
      <b/>
      <sz val="14"/>
      <color indexed="12"/>
      <name val="Arial"/>
      <family val="2"/>
    </font>
    <font>
      <sz val="10"/>
      <color indexed="17"/>
      <name val="Arial"/>
      <family val="2"/>
    </font>
    <font>
      <b/>
      <sz val="18"/>
      <color indexed="8"/>
      <name val="Cambria"/>
      <family val="1"/>
    </font>
    <font>
      <sz val="8"/>
      <name val="Helv"/>
      <family val="2"/>
    </font>
    <font>
      <b/>
      <sz val="10"/>
      <color indexed="63"/>
      <name val="Arial"/>
      <family val="2"/>
    </font>
    <font>
      <sz val="8"/>
      <color indexed="9"/>
      <name val="Arial"/>
      <family val="2"/>
    </font>
    <font>
      <b/>
      <sz val="12"/>
      <color indexed="18"/>
      <name val="Arial"/>
      <family val="2"/>
    </font>
    <font>
      <b/>
      <sz val="9"/>
      <name val="Palatino"/>
      <family val="1"/>
    </font>
    <font>
      <sz val="9"/>
      <name val="Helvetica-Black"/>
      <family val="2"/>
    </font>
    <font>
      <sz val="7"/>
      <name val="Palatino"/>
      <family val="1"/>
    </font>
    <font>
      <b/>
      <sz val="14"/>
      <name val="Helv"/>
      <family val="2"/>
    </font>
    <font>
      <sz val="8"/>
      <name val="Helv"/>
    </font>
    <font>
      <b/>
      <sz val="18"/>
      <color indexed="56"/>
      <name val="Cambria"/>
      <family val="1"/>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0"/>
      <name val="Times New Roman"/>
      <family val="1"/>
    </font>
    <font>
      <b/>
      <i/>
      <sz val="10"/>
      <name val="Times New Roman"/>
      <family val="1"/>
    </font>
    <font>
      <vertAlign val="superscript"/>
      <sz val="9"/>
      <color indexed="8"/>
      <name val="Times New Roman"/>
      <family val="1"/>
    </font>
    <font>
      <b/>
      <sz val="10"/>
      <name val="Helvetica"/>
      <family val="2"/>
    </font>
    <font>
      <b/>
      <sz val="11"/>
      <color indexed="9"/>
      <name val="Calibri"/>
      <family val="2"/>
    </font>
    <font>
      <sz val="12"/>
      <name val="宋体"/>
      <charset val="134"/>
    </font>
    <font>
      <sz val="6"/>
      <color theme="1"/>
      <name val="Arial"/>
      <family val="2"/>
    </font>
    <font>
      <i/>
      <sz val="10"/>
      <color theme="1"/>
      <name val="Arial"/>
      <family val="2"/>
    </font>
    <font>
      <sz val="8"/>
      <color theme="1"/>
      <name val="Calibri"/>
      <family val="2"/>
      <scheme val="minor"/>
    </font>
    <font>
      <sz val="11"/>
      <color theme="1"/>
      <name val="Arial"/>
      <family val="2"/>
    </font>
    <font>
      <sz val="11"/>
      <color indexed="12"/>
      <name val="Arial"/>
      <family val="2"/>
    </font>
    <font>
      <b/>
      <sz val="11"/>
      <name val="Arial"/>
      <family val="2"/>
    </font>
    <font>
      <u/>
      <sz val="11"/>
      <name val="Arial"/>
      <family val="2"/>
    </font>
    <font>
      <b/>
      <sz val="11"/>
      <color theme="1"/>
      <name val="Arial"/>
      <family val="2"/>
    </font>
    <font>
      <sz val="9"/>
      <color indexed="81"/>
      <name val="Tahoma"/>
      <family val="2"/>
    </font>
    <font>
      <b/>
      <sz val="11"/>
      <color theme="0"/>
      <name val="Arial"/>
      <family val="2"/>
    </font>
    <font>
      <sz val="11"/>
      <color theme="0"/>
      <name val="Arial"/>
      <family val="2"/>
    </font>
    <font>
      <b/>
      <sz val="11.5"/>
      <color theme="0"/>
      <name val="Arial"/>
      <family val="2"/>
    </font>
    <font>
      <sz val="11.5"/>
      <color theme="0"/>
      <name val="Arial"/>
      <family val="2"/>
    </font>
    <font>
      <b/>
      <u/>
      <sz val="11.5"/>
      <color theme="0"/>
      <name val="Arial"/>
      <family val="2"/>
    </font>
    <font>
      <sz val="10"/>
      <color theme="0" tint="-0.249977111117893"/>
      <name val="Arial"/>
      <family val="2"/>
    </font>
    <font>
      <b/>
      <sz val="6"/>
      <color theme="1"/>
      <name val="Arial"/>
      <family val="2"/>
    </font>
    <font>
      <b/>
      <sz val="18"/>
      <color theme="0"/>
      <name val="Arial"/>
      <family val="2"/>
    </font>
    <font>
      <u/>
      <sz val="9.35"/>
      <color theme="10"/>
      <name val="Arial"/>
      <family val="2"/>
    </font>
    <font>
      <u/>
      <sz val="11"/>
      <color theme="10"/>
      <name val="Arial"/>
      <family val="2"/>
    </font>
    <font>
      <b/>
      <sz val="16"/>
      <name val="Arial"/>
      <family val="2"/>
    </font>
    <font>
      <b/>
      <u/>
      <sz val="10"/>
      <color rgb="FF008000"/>
      <name val="Arial"/>
      <family val="2"/>
    </font>
    <font>
      <b/>
      <u/>
      <sz val="10"/>
      <color rgb="FFFF0000"/>
      <name val="Arial"/>
      <family val="2"/>
    </font>
    <font>
      <b/>
      <sz val="10"/>
      <color rgb="FF0070C0"/>
      <name val="Arial"/>
      <family val="2"/>
    </font>
  </fonts>
  <fills count="72">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rgb="FFFFFF66"/>
        <bgColor indexed="64"/>
      </patternFill>
    </fill>
    <fill>
      <patternFill patternType="solid">
        <fgColor indexed="9"/>
        <bgColor indexed="9"/>
      </patternFill>
    </fill>
    <fill>
      <patternFill patternType="solid">
        <fgColor indexed="41"/>
        <bgColor indexed="64"/>
      </patternFill>
    </fill>
    <fill>
      <patternFill patternType="solid">
        <fgColor indexed="43"/>
        <bgColor indexed="64"/>
      </patternFill>
    </fill>
    <fill>
      <patternFill patternType="solid">
        <fgColor indexed="3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solid">
        <fgColor indexed="27"/>
        <bgColor indexed="64"/>
      </patternFill>
    </fill>
    <fill>
      <patternFill patternType="solid">
        <fgColor indexed="42"/>
        <bgColor indexed="64"/>
      </patternFill>
    </fill>
    <fill>
      <patternFill patternType="solid">
        <fgColor indexed="47"/>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indexed="24"/>
        <bgColor indexed="64"/>
      </patternFill>
    </fill>
    <fill>
      <patternFill patternType="lightUp">
        <fgColor indexed="9"/>
        <bgColor indexed="27"/>
      </patternFill>
    </fill>
    <fill>
      <patternFill patternType="lightUp">
        <fgColor indexed="9"/>
        <bgColor indexed="26"/>
      </patternFill>
    </fill>
    <fill>
      <patternFill patternType="solid">
        <fgColor indexed="10"/>
        <bgColor indexed="64"/>
      </patternFill>
    </fill>
    <fill>
      <patternFill patternType="solid">
        <fgColor indexed="22"/>
        <bgColor indexed="9"/>
      </patternFill>
    </fill>
    <fill>
      <patternFill patternType="solid">
        <fgColor indexed="43"/>
        <bgColor indexed="43"/>
      </patternFill>
    </fill>
    <fill>
      <patternFill patternType="solid">
        <fgColor indexed="26"/>
      </patternFill>
    </fill>
    <fill>
      <patternFill patternType="solid">
        <fgColor indexed="8"/>
        <bgColor indexed="8"/>
      </patternFill>
    </fill>
    <fill>
      <patternFill patternType="mediumGray">
        <fgColor indexed="22"/>
      </patternFill>
    </fill>
    <fill>
      <patternFill patternType="solid">
        <fgColor rgb="FFCCFFCC"/>
        <bgColor auto="1"/>
      </patternFill>
    </fill>
    <fill>
      <patternFill patternType="solid">
        <fgColor rgb="FFCCFFCC"/>
      </patternFill>
    </fill>
    <fill>
      <patternFill patternType="solid">
        <fgColor rgb="FFFFFF99"/>
        <bgColor indexed="64"/>
      </patternFill>
    </fill>
    <fill>
      <patternFill patternType="solid">
        <fgColor indexed="43"/>
      </patternFill>
    </fill>
    <fill>
      <patternFill patternType="solid">
        <fgColor indexed="54"/>
        <bgColor indexed="64"/>
      </patternFill>
    </fill>
    <fill>
      <patternFill patternType="solid">
        <fgColor indexed="21"/>
        <bgColor indexed="64"/>
      </patternFill>
    </fill>
    <fill>
      <patternFill patternType="solid">
        <fgColor indexed="50"/>
      </patternFill>
    </fill>
    <fill>
      <patternFill patternType="lightUp">
        <fgColor indexed="54"/>
        <bgColor indexed="41"/>
      </patternFill>
    </fill>
    <fill>
      <patternFill patternType="solid">
        <fgColor indexed="44"/>
        <bgColor indexed="64"/>
      </patternFill>
    </fill>
    <fill>
      <patternFill patternType="solid">
        <fgColor indexed="54"/>
      </patternFill>
    </fill>
    <fill>
      <patternFill patternType="solid">
        <fgColor indexed="40"/>
      </patternFill>
    </fill>
    <fill>
      <patternFill patternType="solid">
        <fgColor indexed="41"/>
      </patternFill>
    </fill>
    <fill>
      <patternFill patternType="solid">
        <fgColor indexed="9"/>
      </patternFill>
    </fill>
    <fill>
      <patternFill patternType="solid">
        <fgColor indexed="55"/>
        <bgColor indexed="64"/>
      </patternFill>
    </fill>
    <fill>
      <patternFill patternType="solid">
        <fgColor indexed="62"/>
        <bgColor indexed="64"/>
      </patternFill>
    </fill>
    <fill>
      <patternFill patternType="solid">
        <fgColor indexed="22"/>
        <bgColor indexed="55"/>
      </patternFill>
    </fill>
    <fill>
      <patternFill patternType="solid">
        <fgColor indexed="55"/>
      </patternFill>
    </fill>
    <fill>
      <patternFill patternType="solid">
        <fgColor rgb="FF00B050"/>
        <bgColor indexed="64"/>
      </patternFill>
    </fill>
    <fill>
      <patternFill patternType="solid">
        <fgColor theme="0" tint="-0.14999847407452621"/>
        <bgColor indexed="64"/>
      </patternFill>
    </fill>
    <fill>
      <patternFill patternType="solid">
        <fgColor rgb="FF0070C0"/>
        <bgColor indexed="64"/>
      </patternFill>
    </fill>
    <fill>
      <patternFill patternType="solid">
        <fgColor theme="4" tint="0.7999816888943144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style="double">
        <color indexed="64"/>
      </bottom>
      <diagonal/>
    </border>
    <border>
      <left/>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auto="1"/>
      </right>
      <top style="thin">
        <color auto="1"/>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8"/>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bottom style="thin">
        <color indexed="50"/>
      </bottom>
      <diagonal/>
    </border>
    <border>
      <left style="thin">
        <color indexed="62"/>
      </left>
      <right style="thin">
        <color indexed="62"/>
      </right>
      <top style="thin">
        <color indexed="62"/>
      </top>
      <bottom style="thin">
        <color indexed="62"/>
      </bottom>
      <diagonal/>
    </border>
    <border>
      <left/>
      <right/>
      <top style="medium">
        <color auto="1"/>
      </top>
      <bottom/>
      <diagonal/>
    </border>
    <border>
      <left style="thin">
        <color auto="1"/>
      </left>
      <right style="thin">
        <color auto="1"/>
      </right>
      <top style="thin">
        <color auto="1"/>
      </top>
      <bottom style="thin">
        <color auto="1"/>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bottom style="thin">
        <color indexed="22"/>
      </bottom>
      <diagonal/>
    </border>
    <border>
      <left style="medium">
        <color indexed="64"/>
      </left>
      <right style="medium">
        <color indexed="64"/>
      </right>
      <top style="thin">
        <color indexed="64"/>
      </top>
      <bottom style="medium">
        <color indexed="64"/>
      </bottom>
      <diagonal/>
    </border>
    <border>
      <left/>
      <right/>
      <top style="thin">
        <color indexed="62"/>
      </top>
      <bottom style="double">
        <color indexed="62"/>
      </bottom>
      <diagonal/>
    </border>
    <border>
      <left/>
      <right/>
      <top/>
      <bottom style="medium">
        <color indexed="31"/>
      </bottom>
      <diagonal/>
    </border>
    <border>
      <left/>
      <right/>
      <top/>
      <bottom style="hair">
        <color indexed="64"/>
      </bottom>
      <diagonal/>
    </border>
    <border>
      <left/>
      <right style="thin">
        <color indexed="64"/>
      </right>
      <top/>
      <bottom style="medium">
        <color indexed="64"/>
      </bottom>
      <diagonal/>
    </border>
    <border>
      <left style="thin">
        <color indexed="31"/>
      </left>
      <right style="thin">
        <color indexed="62"/>
      </right>
      <top style="thin">
        <color indexed="31"/>
      </top>
      <bottom style="thin">
        <color indexed="62"/>
      </bottom>
      <diagonal/>
    </border>
    <border>
      <left style="double">
        <color indexed="11"/>
      </left>
      <right style="double">
        <color indexed="11"/>
      </right>
      <top style="double">
        <color indexed="11"/>
      </top>
      <bottom style="double">
        <color indexed="11"/>
      </bottom>
      <diagonal/>
    </border>
    <border>
      <left style="double">
        <color indexed="8"/>
      </left>
      <right/>
      <top/>
      <bottom/>
      <diagonal/>
    </border>
    <border>
      <left style="thin">
        <color indexed="22"/>
      </left>
      <right style="thin">
        <color indexed="22"/>
      </right>
      <top style="thin">
        <color indexed="22"/>
      </top>
      <bottom style="thin">
        <color indexed="22"/>
      </bottom>
      <diagonal/>
    </border>
    <border>
      <left style="thin">
        <color indexed="30"/>
      </left>
      <right style="thin">
        <color indexed="30"/>
      </right>
      <top style="thin">
        <color indexed="30"/>
      </top>
      <bottom style="thin">
        <color indexed="30"/>
      </bottom>
      <diagonal/>
    </border>
    <border>
      <left style="double">
        <color indexed="64"/>
      </left>
      <right style="thin">
        <color indexed="64"/>
      </right>
      <top style="thin">
        <color indexed="64"/>
      </top>
      <bottom style="thin">
        <color indexed="64"/>
      </bottom>
      <diagonal/>
    </border>
    <border>
      <left/>
      <right/>
      <top/>
      <bottom style="thick">
        <color indexed="44"/>
      </bottom>
      <diagonal/>
    </border>
    <border>
      <left style="thin">
        <color indexed="48"/>
      </left>
      <right style="thin">
        <color indexed="48"/>
      </right>
      <top style="thin">
        <color indexed="48"/>
      </top>
      <bottom style="thin">
        <color indexed="48"/>
      </bottom>
      <diagonal/>
    </border>
    <border>
      <left/>
      <right style="medium">
        <color indexed="64"/>
      </right>
      <top/>
      <bottom/>
      <diagonal/>
    </border>
    <border>
      <left/>
      <right/>
      <top style="thick">
        <color indexed="48"/>
      </top>
      <bottom/>
      <diagonal/>
    </border>
    <border>
      <left/>
      <right/>
      <top style="thin">
        <color indexed="64"/>
      </top>
      <bottom style="thick">
        <color indexed="64"/>
      </bottom>
      <diagonal/>
    </border>
    <border>
      <left/>
      <right/>
      <top/>
      <bottom style="hair">
        <color indexed="8"/>
      </bottom>
      <diagonal/>
    </border>
    <border>
      <left style="double">
        <color indexed="64"/>
      </left>
      <right style="thin">
        <color indexed="64"/>
      </right>
      <top style="double">
        <color indexed="64"/>
      </top>
      <bottom style="thin">
        <color indexed="64"/>
      </bottom>
      <diagonal/>
    </border>
    <border>
      <left/>
      <right/>
      <top style="double">
        <color indexed="8"/>
      </top>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8"/>
      </left>
      <right/>
      <top/>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auto="1"/>
      </top>
      <bottom style="thin">
        <color auto="1"/>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1185">
    <xf numFmtId="169" fontId="0" fillId="0" borderId="0"/>
    <xf numFmtId="9" fontId="1" fillId="0" borderId="0" applyFont="0" applyFill="0" applyBorder="0" applyAlignment="0" applyProtection="0"/>
    <xf numFmtId="0" fontId="1" fillId="0" borderId="0"/>
    <xf numFmtId="177" fontId="21" fillId="5" borderId="21"/>
    <xf numFmtId="0" fontId="22" fillId="0" borderId="0"/>
    <xf numFmtId="178" fontId="22" fillId="0" borderId="0"/>
    <xf numFmtId="177" fontId="23" fillId="6" borderId="22" applyNumberFormat="0"/>
    <xf numFmtId="177" fontId="24" fillId="7" borderId="0" applyNumberFormat="0" applyProtection="0"/>
    <xf numFmtId="177" fontId="25" fillId="0" borderId="0"/>
    <xf numFmtId="177" fontId="3" fillId="0" borderId="0"/>
    <xf numFmtId="178" fontId="26" fillId="0" borderId="0" applyProtection="0"/>
    <xf numFmtId="178" fontId="26" fillId="0" borderId="0"/>
    <xf numFmtId="178" fontId="26" fillId="0" borderId="14" applyProtection="0"/>
    <xf numFmtId="2" fontId="26" fillId="0" borderId="0" applyProtection="0"/>
    <xf numFmtId="4" fontId="26" fillId="0" borderId="0" applyProtection="0"/>
    <xf numFmtId="178" fontId="27" fillId="0" borderId="0" applyProtection="0"/>
    <xf numFmtId="178" fontId="28" fillId="0" borderId="0" applyProtection="0"/>
    <xf numFmtId="179" fontId="26" fillId="0" borderId="0" applyProtection="0"/>
    <xf numFmtId="178" fontId="26" fillId="0" borderId="0"/>
    <xf numFmtId="178" fontId="29" fillId="0" borderId="0"/>
    <xf numFmtId="177" fontId="30" fillId="0" borderId="0"/>
    <xf numFmtId="177" fontId="31" fillId="0" borderId="0"/>
    <xf numFmtId="177" fontId="3" fillId="0" borderId="0"/>
    <xf numFmtId="177" fontId="3" fillId="0" borderId="0"/>
    <xf numFmtId="177" fontId="3" fillId="0" borderId="0"/>
    <xf numFmtId="177"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180" fontId="3" fillId="0" borderId="0">
      <alignment horizontal="left" wrapText="1"/>
    </xf>
    <xf numFmtId="180" fontId="3" fillId="0" borderId="0">
      <alignment horizontal="left" wrapText="1"/>
    </xf>
    <xf numFmtId="0" fontId="32" fillId="0" borderId="0"/>
    <xf numFmtId="0" fontId="32" fillId="0" borderId="0"/>
    <xf numFmtId="0" fontId="33" fillId="0" borderId="0"/>
    <xf numFmtId="178" fontId="32" fillId="0" borderId="0"/>
    <xf numFmtId="0" fontId="32" fillId="0" borderId="0"/>
    <xf numFmtId="0" fontId="3" fillId="0" borderId="0"/>
    <xf numFmtId="0" fontId="3" fillId="0" borderId="0"/>
    <xf numFmtId="177" fontId="31" fillId="0" borderId="0"/>
    <xf numFmtId="177" fontId="31" fillId="0" borderId="0"/>
    <xf numFmtId="181" fontId="3" fillId="0" borderId="0"/>
    <xf numFmtId="0" fontId="34" fillId="0" borderId="0"/>
    <xf numFmtId="0" fontId="35" fillId="0" borderId="0">
      <alignment vertical="center"/>
    </xf>
    <xf numFmtId="0" fontId="35" fillId="0" borderId="0">
      <alignment vertical="center"/>
    </xf>
    <xf numFmtId="177" fontId="36" fillId="0" borderId="3" applyNumberFormat="0" applyFont="0" applyAlignment="0">
      <alignment vertical="center"/>
    </xf>
    <xf numFmtId="177" fontId="37" fillId="0" borderId="0" applyFill="0" applyBorder="0">
      <alignment vertical="center"/>
    </xf>
    <xf numFmtId="182" fontId="38" fillId="0" borderId="0" applyFill="0" applyBorder="0">
      <alignment horizontal="right" vertical="center"/>
    </xf>
    <xf numFmtId="182" fontId="36" fillId="0" borderId="0" applyFill="0" applyBorder="0">
      <alignment horizontal="right" vertical="center"/>
    </xf>
    <xf numFmtId="172" fontId="36" fillId="0" borderId="0" applyFill="0" applyBorder="0">
      <alignment horizontal="right" vertical="center"/>
    </xf>
    <xf numFmtId="177" fontId="38" fillId="0" borderId="3" applyFill="0" applyBorder="0">
      <alignment vertical="center"/>
    </xf>
    <xf numFmtId="0" fontId="39" fillId="0" borderId="0"/>
    <xf numFmtId="0" fontId="39" fillId="0" borderId="0"/>
    <xf numFmtId="0" fontId="39" fillId="0" borderId="0"/>
    <xf numFmtId="183" fontId="3" fillId="7" borderId="0"/>
    <xf numFmtId="184" fontId="34" fillId="0" borderId="0" applyFont="0" applyFill="0" applyBorder="0" applyAlignment="0" applyProtection="0"/>
    <xf numFmtId="184" fontId="40" fillId="0" borderId="0" applyFont="0" applyFill="0" applyBorder="0" applyAlignment="0" applyProtection="0"/>
    <xf numFmtId="185" fontId="3" fillId="8" borderId="0"/>
    <xf numFmtId="186" fontId="3" fillId="7" borderId="0"/>
    <xf numFmtId="187" fontId="3" fillId="7" borderId="0"/>
    <xf numFmtId="188" fontId="3" fillId="7" borderId="0">
      <alignment horizontal="right"/>
    </xf>
    <xf numFmtId="186" fontId="41" fillId="7" borderId="0"/>
    <xf numFmtId="186" fontId="42" fillId="0" borderId="0"/>
    <xf numFmtId="186" fontId="43" fillId="0" borderId="0"/>
    <xf numFmtId="186" fontId="44" fillId="0" borderId="0"/>
    <xf numFmtId="186" fontId="45" fillId="0" borderId="0"/>
    <xf numFmtId="183" fontId="3" fillId="0" borderId="0"/>
    <xf numFmtId="189" fontId="34" fillId="0" borderId="0" applyFont="0" applyFill="0" applyBorder="0" applyAlignment="0" applyProtection="0"/>
    <xf numFmtId="189" fontId="40" fillId="0" borderId="0" applyFont="0" applyFill="0" applyBorder="0" applyAlignment="0" applyProtection="0"/>
    <xf numFmtId="190" fontId="3" fillId="0" borderId="0">
      <alignment horizontal="right"/>
    </xf>
    <xf numFmtId="191" fontId="3" fillId="0" borderId="0">
      <alignment horizontal="center"/>
    </xf>
    <xf numFmtId="185" fontId="41" fillId="0" borderId="0"/>
    <xf numFmtId="177" fontId="46" fillId="9" borderId="0" applyNumberFormat="0" applyBorder="0" applyAlignment="0" applyProtection="0"/>
    <xf numFmtId="177" fontId="46" fillId="10" borderId="0" applyNumberFormat="0" applyBorder="0" applyAlignment="0" applyProtection="0"/>
    <xf numFmtId="177" fontId="46" fillId="11" borderId="0" applyNumberFormat="0" applyBorder="0" applyAlignment="0" applyProtection="0"/>
    <xf numFmtId="177" fontId="46" fillId="12" borderId="0" applyNumberFormat="0" applyBorder="0" applyAlignment="0" applyProtection="0"/>
    <xf numFmtId="177" fontId="46" fillId="13" borderId="0" applyNumberFormat="0" applyBorder="0" applyAlignment="0" applyProtection="0"/>
    <xf numFmtId="177" fontId="46" fillId="14" borderId="0" applyNumberFormat="0" applyBorder="0" applyAlignment="0" applyProtection="0"/>
    <xf numFmtId="177" fontId="3" fillId="0" borderId="0" applyNumberFormat="0" applyFont="0" applyFill="0" applyBorder="0" applyProtection="0">
      <alignment horizontal="left" vertical="center" indent="2"/>
    </xf>
    <xf numFmtId="192" fontId="34" fillId="0" borderId="0" applyFont="0" applyFill="0" applyBorder="0" applyAlignment="0" applyProtection="0"/>
    <xf numFmtId="192" fontId="40" fillId="0" borderId="0" applyFont="0" applyFill="0" applyBorder="0" applyAlignment="0" applyProtection="0"/>
    <xf numFmtId="193" fontId="34" fillId="0" borderId="0" applyFont="0" applyFill="0" applyBorder="0" applyAlignment="0" applyProtection="0"/>
    <xf numFmtId="193" fontId="40" fillId="0" borderId="0" applyFont="0" applyFill="0" applyBorder="0" applyAlignment="0" applyProtection="0"/>
    <xf numFmtId="177" fontId="46" fillId="15" borderId="0" applyNumberFormat="0" applyBorder="0" applyAlignment="0" applyProtection="0"/>
    <xf numFmtId="177" fontId="46" fillId="16" borderId="0" applyNumberFormat="0" applyBorder="0" applyAlignment="0" applyProtection="0"/>
    <xf numFmtId="177" fontId="46" fillId="17" borderId="0" applyNumberFormat="0" applyBorder="0" applyAlignment="0" applyProtection="0"/>
    <xf numFmtId="177" fontId="46" fillId="12" borderId="0" applyNumberFormat="0" applyBorder="0" applyAlignment="0" applyProtection="0"/>
    <xf numFmtId="177" fontId="46" fillId="15" borderId="0" applyNumberFormat="0" applyBorder="0" applyAlignment="0" applyProtection="0"/>
    <xf numFmtId="177" fontId="46" fillId="18" borderId="0" applyNumberFormat="0" applyBorder="0" applyAlignment="0" applyProtection="0"/>
    <xf numFmtId="194" fontId="40" fillId="0" borderId="0" applyFont="0" applyFill="0" applyBorder="0" applyAlignment="0" applyProtection="0"/>
    <xf numFmtId="177" fontId="3" fillId="0" borderId="0" applyNumberFormat="0" applyFont="0" applyFill="0" applyBorder="0" applyProtection="0">
      <alignment horizontal="left" vertical="center" indent="5"/>
    </xf>
    <xf numFmtId="177" fontId="47" fillId="19" borderId="0" applyNumberFormat="0" applyBorder="0" applyAlignment="0" applyProtection="0"/>
    <xf numFmtId="177" fontId="47" fillId="16" borderId="0" applyNumberFormat="0" applyBorder="0" applyAlignment="0" applyProtection="0"/>
    <xf numFmtId="177" fontId="47" fillId="17" borderId="0" applyNumberFormat="0" applyBorder="0" applyAlignment="0" applyProtection="0"/>
    <xf numFmtId="177" fontId="47" fillId="20" borderId="0" applyNumberFormat="0" applyBorder="0" applyAlignment="0" applyProtection="0"/>
    <xf numFmtId="177" fontId="47" fillId="21" borderId="0" applyNumberFormat="0" applyBorder="0" applyAlignment="0" applyProtection="0"/>
    <xf numFmtId="177" fontId="47" fillId="22" borderId="0" applyNumberFormat="0" applyBorder="0" applyAlignment="0" applyProtection="0"/>
    <xf numFmtId="177" fontId="3" fillId="0" borderId="0" applyNumberFormat="0" applyFill="0" applyBorder="0" applyAlignment="0" applyProtection="0"/>
    <xf numFmtId="177" fontId="46" fillId="23" borderId="0" applyNumberFormat="0" applyBorder="0" applyAlignment="0" applyProtection="0"/>
    <xf numFmtId="177" fontId="46" fillId="23" borderId="0" applyNumberFormat="0" applyBorder="0" applyAlignment="0" applyProtection="0"/>
    <xf numFmtId="177" fontId="47" fillId="24" borderId="0" applyNumberFormat="0" applyBorder="0" applyAlignment="0" applyProtection="0"/>
    <xf numFmtId="177" fontId="46" fillId="25" borderId="0" applyNumberFormat="0" applyBorder="0" applyAlignment="0" applyProtection="0"/>
    <xf numFmtId="177" fontId="46" fillId="26" borderId="0" applyNumberFormat="0" applyBorder="0" applyAlignment="0" applyProtection="0"/>
    <xf numFmtId="177" fontId="47" fillId="27" borderId="0" applyNumberFormat="0" applyBorder="0" applyAlignment="0" applyProtection="0"/>
    <xf numFmtId="177" fontId="46" fillId="25" borderId="0" applyNumberFormat="0" applyBorder="0" applyAlignment="0" applyProtection="0"/>
    <xf numFmtId="177" fontId="46" fillId="28" borderId="0" applyNumberFormat="0" applyBorder="0" applyAlignment="0" applyProtection="0"/>
    <xf numFmtId="177" fontId="47" fillId="26" borderId="0" applyNumberFormat="0" applyBorder="0" applyAlignment="0" applyProtection="0"/>
    <xf numFmtId="177" fontId="46" fillId="23" borderId="0" applyNumberFormat="0" applyBorder="0" applyAlignment="0" applyProtection="0"/>
    <xf numFmtId="177" fontId="46" fillId="26" borderId="0" applyNumberFormat="0" applyBorder="0" applyAlignment="0" applyProtection="0"/>
    <xf numFmtId="177" fontId="47" fillId="26" borderId="0" applyNumberFormat="0" applyBorder="0" applyAlignment="0" applyProtection="0"/>
    <xf numFmtId="177" fontId="46" fillId="29" borderId="0" applyNumberFormat="0" applyBorder="0" applyAlignment="0" applyProtection="0"/>
    <xf numFmtId="177" fontId="46" fillId="23" borderId="0" applyNumberFormat="0" applyBorder="0" applyAlignment="0" applyProtection="0"/>
    <xf numFmtId="177" fontId="47" fillId="24" borderId="0" applyNumberFormat="0" applyBorder="0" applyAlignment="0" applyProtection="0"/>
    <xf numFmtId="177" fontId="46" fillId="25" borderId="0" applyNumberFormat="0" applyBorder="0" applyAlignment="0" applyProtection="0"/>
    <xf numFmtId="177" fontId="46" fillId="30" borderId="0" applyNumberFormat="0" applyBorder="0" applyAlignment="0" applyProtection="0"/>
    <xf numFmtId="177" fontId="47" fillId="30" borderId="0" applyNumberFormat="0" applyBorder="0" applyAlignment="0" applyProtection="0"/>
    <xf numFmtId="177" fontId="41" fillId="0" borderId="0" applyNumberFormat="0" applyFill="0" applyBorder="0" applyAlignment="0">
      <protection locked="0"/>
    </xf>
    <xf numFmtId="177" fontId="48" fillId="0" borderId="0"/>
    <xf numFmtId="177" fontId="49" fillId="31" borderId="0" applyBorder="0" applyAlignment="0"/>
    <xf numFmtId="177" fontId="40" fillId="31" borderId="0" applyBorder="0">
      <alignment horizontal="right" vertical="center"/>
    </xf>
    <xf numFmtId="4" fontId="40" fillId="32" borderId="0" applyBorder="0">
      <alignment horizontal="right" vertical="center"/>
    </xf>
    <xf numFmtId="4" fontId="40" fillId="32" borderId="0" applyBorder="0">
      <alignment horizontal="right" vertical="center"/>
    </xf>
    <xf numFmtId="177" fontId="50" fillId="32" borderId="1">
      <alignment horizontal="right" vertical="center"/>
    </xf>
    <xf numFmtId="177" fontId="51" fillId="32" borderId="1">
      <alignment horizontal="right" vertical="center"/>
    </xf>
    <xf numFmtId="177" fontId="50" fillId="33" borderId="1">
      <alignment horizontal="right" vertical="center"/>
    </xf>
    <xf numFmtId="177" fontId="50" fillId="33" borderId="1">
      <alignment horizontal="right" vertical="center"/>
    </xf>
    <xf numFmtId="177" fontId="50" fillId="33" borderId="23">
      <alignment horizontal="right" vertical="center"/>
    </xf>
    <xf numFmtId="177" fontId="50" fillId="33" borderId="24">
      <alignment horizontal="right" vertical="center"/>
    </xf>
    <xf numFmtId="177" fontId="50" fillId="33" borderId="25">
      <alignment horizontal="right" vertical="center"/>
    </xf>
    <xf numFmtId="177" fontId="47" fillId="34" borderId="0" applyNumberFormat="0" applyBorder="0" applyAlignment="0" applyProtection="0"/>
    <xf numFmtId="177" fontId="47" fillId="35" borderId="0" applyNumberFormat="0" applyBorder="0" applyAlignment="0" applyProtection="0"/>
    <xf numFmtId="177" fontId="47" fillId="36" borderId="0" applyNumberFormat="0" applyBorder="0" applyAlignment="0" applyProtection="0"/>
    <xf numFmtId="177" fontId="47" fillId="20" borderId="0" applyNumberFormat="0" applyBorder="0" applyAlignment="0" applyProtection="0"/>
    <xf numFmtId="177" fontId="47" fillId="21" borderId="0" applyNumberFormat="0" applyBorder="0" applyAlignment="0" applyProtection="0"/>
    <xf numFmtId="177" fontId="47" fillId="37" borderId="0" applyNumberFormat="0" applyBorder="0" applyAlignment="0" applyProtection="0"/>
    <xf numFmtId="195" fontId="34" fillId="0" borderId="0"/>
    <xf numFmtId="177" fontId="3" fillId="0" borderId="0" applyNumberFormat="0" applyFill="0" applyBorder="0" applyAlignment="0" applyProtection="0"/>
    <xf numFmtId="0" fontId="52" fillId="0" borderId="19">
      <protection hidden="1"/>
    </xf>
    <xf numFmtId="0" fontId="32" fillId="38" borderId="19" applyNumberFormat="0" applyFont="0" applyBorder="0" applyAlignment="0" applyProtection="0">
      <protection hidden="1"/>
    </xf>
    <xf numFmtId="177" fontId="53" fillId="38" borderId="26" applyNumberFormat="0" applyAlignment="0" applyProtection="0"/>
    <xf numFmtId="172" fontId="41" fillId="0" borderId="0" applyNumberFormat="0" applyFill="0" applyBorder="0" applyAlignment="0" applyProtection="0">
      <alignment vertical="center"/>
    </xf>
    <xf numFmtId="172" fontId="41" fillId="0" borderId="0" applyNumberFormat="0" applyFill="0" applyBorder="0" applyAlignment="0" applyProtection="0">
      <alignment vertical="center"/>
    </xf>
    <xf numFmtId="172" fontId="41" fillId="0" borderId="0" applyNumberFormat="0" applyFill="0" applyBorder="0" applyAlignment="0" applyProtection="0">
      <alignment vertical="center"/>
    </xf>
    <xf numFmtId="0" fontId="54" fillId="0" borderId="0" applyNumberFormat="0" applyFill="0" applyBorder="0" applyAlignment="0" applyProtection="0"/>
    <xf numFmtId="0" fontId="54" fillId="0" borderId="0" applyNumberFormat="0" applyFill="0" applyBorder="0" applyAlignment="0" applyProtection="0"/>
    <xf numFmtId="0" fontId="55" fillId="5" borderId="0" applyNumberFormat="0" applyBorder="0" applyAlignment="0" applyProtection="0"/>
    <xf numFmtId="177" fontId="56" fillId="7" borderId="0"/>
    <xf numFmtId="177" fontId="57" fillId="38" borderId="27" applyNumberFormat="0" applyAlignment="0" applyProtection="0"/>
    <xf numFmtId="177" fontId="3" fillId="15" borderId="0" applyNumberFormat="0" applyBorder="0" applyAlignment="0">
      <protection locked="0"/>
    </xf>
    <xf numFmtId="177" fontId="58" fillId="0" borderId="0" applyNumberFormat="0" applyFill="0" applyBorder="0" applyAlignment="0"/>
    <xf numFmtId="196" fontId="59" fillId="39" borderId="0">
      <alignment horizontal="center"/>
    </xf>
    <xf numFmtId="177" fontId="60" fillId="0" borderId="0" applyNumberFormat="0" applyFill="0" applyBorder="0" applyAlignment="0">
      <protection locked="0"/>
    </xf>
    <xf numFmtId="197" fontId="34" fillId="0" borderId="0"/>
    <xf numFmtId="4" fontId="49" fillId="0" borderId="20" applyFill="0" applyBorder="0" applyProtection="0">
      <alignment horizontal="right" vertical="center"/>
    </xf>
    <xf numFmtId="177" fontId="61" fillId="40" borderId="0">
      <alignment horizontal="center"/>
    </xf>
    <xf numFmtId="198" fontId="3" fillId="0" borderId="0"/>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8" fontId="10" fillId="0" borderId="3"/>
    <xf numFmtId="199" fontId="3" fillId="0" borderId="0"/>
    <xf numFmtId="199" fontId="41" fillId="0" borderId="0"/>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199" fontId="10" fillId="0" borderId="3"/>
    <xf numFmtId="200" fontId="41" fillId="0" borderId="0"/>
    <xf numFmtId="201" fontId="3" fillId="0" borderId="0"/>
    <xf numFmtId="201" fontId="41" fillId="0" borderId="0"/>
    <xf numFmtId="43" fontId="10" fillId="0" borderId="0"/>
    <xf numFmtId="202" fontId="39" fillId="0" borderId="0"/>
    <xf numFmtId="177" fontId="62" fillId="0" borderId="0"/>
    <xf numFmtId="0" fontId="63" fillId="0" borderId="0"/>
    <xf numFmtId="0" fontId="13" fillId="0" borderId="0">
      <alignment horizontal="right"/>
    </xf>
    <xf numFmtId="0" fontId="64" fillId="0" borderId="0"/>
    <xf numFmtId="0" fontId="65" fillId="0" borderId="0"/>
    <xf numFmtId="0" fontId="66" fillId="0" borderId="0"/>
    <xf numFmtId="0" fontId="67" fillId="0" borderId="28" applyNumberFormat="0" applyAlignment="0"/>
    <xf numFmtId="0" fontId="37" fillId="0" borderId="0" applyAlignment="0">
      <alignment horizontal="left"/>
    </xf>
    <xf numFmtId="0" fontId="37" fillId="0" borderId="0">
      <alignment horizontal="right"/>
    </xf>
    <xf numFmtId="172" fontId="37" fillId="0" borderId="0">
      <alignment horizontal="right"/>
    </xf>
    <xf numFmtId="196" fontId="68" fillId="0" borderId="0">
      <alignment horizontal="right"/>
    </xf>
    <xf numFmtId="0" fontId="69" fillId="0" borderId="0"/>
    <xf numFmtId="2" fontId="70" fillId="0" borderId="0">
      <protection locked="0"/>
    </xf>
    <xf numFmtId="2" fontId="71" fillId="0" borderId="0">
      <protection locked="0"/>
    </xf>
    <xf numFmtId="0" fontId="70" fillId="0" borderId="0">
      <protection locked="0"/>
    </xf>
    <xf numFmtId="0" fontId="70" fillId="0" borderId="0">
      <protection locked="0"/>
    </xf>
    <xf numFmtId="0" fontId="72" fillId="15" borderId="29" applyNumberFormat="0" applyAlignment="0" applyProtection="0"/>
    <xf numFmtId="0" fontId="72" fillId="15" borderId="29" applyNumberFormat="0" applyAlignment="0" applyProtection="0"/>
    <xf numFmtId="0" fontId="72" fillId="15" borderId="29" applyNumberFormat="0" applyAlignment="0" applyProtection="0"/>
    <xf numFmtId="0" fontId="72" fillId="15" borderId="29" applyNumberFormat="0" applyAlignment="0" applyProtection="0"/>
    <xf numFmtId="0" fontId="72" fillId="15" borderId="29" applyNumberFormat="0" applyAlignment="0" applyProtection="0"/>
    <xf numFmtId="0" fontId="72" fillId="15" borderId="29" applyNumberFormat="0" applyAlignment="0" applyProtection="0"/>
    <xf numFmtId="0" fontId="72" fillId="15" borderId="29" applyNumberFormat="0" applyAlignment="0" applyProtection="0"/>
    <xf numFmtId="178" fontId="72" fillId="15" borderId="29" applyNumberFormat="0" applyAlignment="0" applyProtection="0"/>
    <xf numFmtId="0" fontId="72" fillId="15" borderId="29" applyNumberFormat="0" applyAlignment="0" applyProtection="0"/>
    <xf numFmtId="0" fontId="72" fillId="15" borderId="29" applyNumberFormat="0" applyAlignment="0" applyProtection="0"/>
    <xf numFmtId="178" fontId="72" fillId="15" borderId="29" applyNumberFormat="0" applyAlignment="0" applyProtection="0"/>
    <xf numFmtId="177" fontId="73" fillId="0" borderId="30">
      <alignment horizontal="centerContinuous"/>
    </xf>
    <xf numFmtId="177" fontId="74" fillId="0" borderId="13">
      <alignment horizontal="centerContinuous" vertical="center"/>
    </xf>
    <xf numFmtId="0" fontId="75" fillId="0" borderId="0" applyNumberFormat="0" applyFill="0" applyBorder="0" applyAlignment="0" applyProtection="0"/>
    <xf numFmtId="203" fontId="3" fillId="0" borderId="0"/>
    <xf numFmtId="0" fontId="76" fillId="41" borderId="31">
      <alignment horizontal="right" vertical="center"/>
    </xf>
    <xf numFmtId="0" fontId="76" fillId="41" borderId="31">
      <alignment horizontal="right" vertical="center"/>
    </xf>
    <xf numFmtId="0" fontId="76" fillId="41" borderId="31">
      <alignment horizontal="right" vertical="center"/>
    </xf>
    <xf numFmtId="0" fontId="76" fillId="41" borderId="31">
      <alignment horizontal="right" vertical="center"/>
    </xf>
    <xf numFmtId="3" fontId="76" fillId="41" borderId="31">
      <alignment horizontal="right" vertical="center" indent="1"/>
    </xf>
    <xf numFmtId="204" fontId="76" fillId="41" borderId="31">
      <alignment horizontal="right" vertical="center" indent="1"/>
    </xf>
    <xf numFmtId="4" fontId="76" fillId="41" borderId="31">
      <alignment horizontal="right" vertical="center" indent="1"/>
    </xf>
    <xf numFmtId="205" fontId="76" fillId="41" borderId="31">
      <alignment horizontal="right" vertical="center" indent="1"/>
    </xf>
    <xf numFmtId="206" fontId="76" fillId="41" borderId="31">
      <alignment horizontal="right" vertical="center" indent="1"/>
    </xf>
    <xf numFmtId="0" fontId="77" fillId="41" borderId="31">
      <alignment horizontal="right" vertical="center"/>
    </xf>
    <xf numFmtId="0" fontId="77" fillId="41" borderId="31">
      <alignment horizontal="right" vertical="center"/>
    </xf>
    <xf numFmtId="0" fontId="77" fillId="41" borderId="31">
      <alignment horizontal="right" vertical="center"/>
    </xf>
    <xf numFmtId="0" fontId="77" fillId="41" borderId="31">
      <alignment horizontal="right" vertical="center"/>
    </xf>
    <xf numFmtId="3" fontId="77" fillId="41" borderId="31">
      <alignment horizontal="right" vertical="center" indent="1"/>
    </xf>
    <xf numFmtId="204" fontId="77" fillId="41" borderId="31">
      <alignment horizontal="right" vertical="center" indent="1"/>
    </xf>
    <xf numFmtId="4" fontId="77" fillId="41" borderId="31">
      <alignment horizontal="right" vertical="center" indent="1"/>
    </xf>
    <xf numFmtId="205" fontId="77" fillId="41" borderId="31">
      <alignment horizontal="right" vertical="center" indent="1"/>
    </xf>
    <xf numFmtId="206" fontId="77" fillId="41" borderId="31">
      <alignment horizontal="right" vertical="center" indent="1"/>
    </xf>
    <xf numFmtId="0" fontId="3" fillId="41" borderId="22"/>
    <xf numFmtId="0" fontId="78" fillId="33" borderId="31">
      <alignment horizontal="center" vertical="center"/>
    </xf>
    <xf numFmtId="0" fontId="78" fillId="33" borderId="31">
      <alignment horizontal="center" vertical="center"/>
    </xf>
    <xf numFmtId="0" fontId="78" fillId="33" borderId="31">
      <alignment horizontal="center" vertical="center"/>
    </xf>
    <xf numFmtId="0" fontId="78" fillId="33" borderId="31">
      <alignment horizontal="center" vertical="center"/>
    </xf>
    <xf numFmtId="0" fontId="76" fillId="41" borderId="31">
      <alignment horizontal="right" vertical="center"/>
    </xf>
    <xf numFmtId="0" fontId="76" fillId="41" borderId="31">
      <alignment horizontal="right" vertical="center"/>
    </xf>
    <xf numFmtId="0" fontId="76" fillId="41" borderId="31">
      <alignment horizontal="right" vertical="center"/>
    </xf>
    <xf numFmtId="0" fontId="76" fillId="41" borderId="31">
      <alignment horizontal="right" vertical="center"/>
    </xf>
    <xf numFmtId="3" fontId="76" fillId="41" borderId="31">
      <alignment horizontal="right" vertical="center" indent="1"/>
    </xf>
    <xf numFmtId="204" fontId="76" fillId="41" borderId="31">
      <alignment horizontal="right" vertical="center" indent="1"/>
    </xf>
    <xf numFmtId="4" fontId="76" fillId="41" borderId="31">
      <alignment horizontal="right" vertical="center" indent="1"/>
    </xf>
    <xf numFmtId="205" fontId="76" fillId="41" borderId="31">
      <alignment horizontal="right" vertical="center" indent="1"/>
    </xf>
    <xf numFmtId="206" fontId="76" fillId="41" borderId="31">
      <alignment horizontal="right" vertical="center" indent="1"/>
    </xf>
    <xf numFmtId="0" fontId="3" fillId="41" borderId="0"/>
    <xf numFmtId="0" fontId="79" fillId="41" borderId="31">
      <alignment horizontal="left" vertical="center"/>
    </xf>
    <xf numFmtId="0" fontId="79" fillId="41" borderId="31">
      <alignment horizontal="left" vertical="center"/>
    </xf>
    <xf numFmtId="0" fontId="79" fillId="41" borderId="31">
      <alignment horizontal="left" vertical="center"/>
    </xf>
    <xf numFmtId="0" fontId="79" fillId="41" borderId="31">
      <alignment horizontal="left" vertical="center"/>
    </xf>
    <xf numFmtId="0" fontId="79" fillId="41" borderId="32">
      <alignment vertical="center"/>
    </xf>
    <xf numFmtId="0" fontId="80" fillId="41" borderId="33">
      <alignment vertical="center"/>
    </xf>
    <xf numFmtId="0" fontId="79" fillId="41" borderId="31"/>
    <xf numFmtId="0" fontId="79" fillId="41" borderId="31"/>
    <xf numFmtId="0" fontId="79" fillId="41" borderId="31"/>
    <xf numFmtId="0" fontId="79" fillId="41" borderId="31"/>
    <xf numFmtId="0" fontId="77" fillId="41" borderId="31">
      <alignment horizontal="right" vertical="center"/>
    </xf>
    <xf numFmtId="0" fontId="77" fillId="41" borderId="31">
      <alignment horizontal="right" vertical="center"/>
    </xf>
    <xf numFmtId="0" fontId="77" fillId="41" borderId="31">
      <alignment horizontal="right" vertical="center"/>
    </xf>
    <xf numFmtId="0" fontId="77" fillId="41" borderId="31">
      <alignment horizontal="right" vertical="center"/>
    </xf>
    <xf numFmtId="3" fontId="77" fillId="41" borderId="31">
      <alignment horizontal="right" vertical="center" indent="1"/>
    </xf>
    <xf numFmtId="204" fontId="77" fillId="41" borderId="31">
      <alignment horizontal="right" vertical="center" indent="1"/>
    </xf>
    <xf numFmtId="4" fontId="77" fillId="41" borderId="31">
      <alignment horizontal="right" vertical="center" indent="1"/>
    </xf>
    <xf numFmtId="205" fontId="77" fillId="41" borderId="31">
      <alignment horizontal="right" vertical="center" indent="1"/>
    </xf>
    <xf numFmtId="206" fontId="77" fillId="41" borderId="31">
      <alignment horizontal="right" vertical="center" indent="1"/>
    </xf>
    <xf numFmtId="0" fontId="81" fillId="42" borderId="31">
      <alignment horizontal="left" vertical="center"/>
    </xf>
    <xf numFmtId="0" fontId="81" fillId="42" borderId="31">
      <alignment horizontal="left" vertical="center"/>
    </xf>
    <xf numFmtId="0" fontId="81" fillId="42" borderId="31">
      <alignment horizontal="left" vertical="center"/>
    </xf>
    <xf numFmtId="0" fontId="81" fillId="42" borderId="31">
      <alignment horizontal="left" vertical="center"/>
    </xf>
    <xf numFmtId="0" fontId="81" fillId="42" borderId="31">
      <alignment horizontal="left" vertical="center"/>
    </xf>
    <xf numFmtId="0" fontId="81" fillId="42" borderId="31">
      <alignment horizontal="left" vertical="center"/>
    </xf>
    <xf numFmtId="0" fontId="81" fillId="42" borderId="31">
      <alignment horizontal="left" vertical="center"/>
    </xf>
    <xf numFmtId="0" fontId="81" fillId="42" borderId="31">
      <alignment horizontal="left" vertical="center"/>
    </xf>
    <xf numFmtId="0" fontId="82" fillId="41" borderId="31">
      <alignment horizontal="left" vertical="center"/>
    </xf>
    <xf numFmtId="0" fontId="82" fillId="41" borderId="31">
      <alignment horizontal="left" vertical="center"/>
    </xf>
    <xf numFmtId="0" fontId="82" fillId="41" borderId="31">
      <alignment horizontal="left" vertical="center"/>
    </xf>
    <xf numFmtId="0" fontId="82" fillId="41" borderId="31">
      <alignment horizontal="left" vertical="center"/>
    </xf>
    <xf numFmtId="0" fontId="83" fillId="41" borderId="22"/>
    <xf numFmtId="0" fontId="78" fillId="39" borderId="31">
      <alignment horizontal="left" vertical="center"/>
    </xf>
    <xf numFmtId="0" fontId="78" fillId="39" borderId="31">
      <alignment horizontal="left" vertical="center"/>
    </xf>
    <xf numFmtId="0" fontId="78" fillId="39" borderId="31">
      <alignment horizontal="left" vertical="center"/>
    </xf>
    <xf numFmtId="0" fontId="78" fillId="39" borderId="31">
      <alignment horizontal="left" vertical="center"/>
    </xf>
    <xf numFmtId="177" fontId="84" fillId="0" borderId="0">
      <alignment horizontal="center" vertical="center" wrapText="1"/>
    </xf>
    <xf numFmtId="1" fontId="85" fillId="0" borderId="34">
      <alignment vertical="top"/>
    </xf>
    <xf numFmtId="3" fontId="36" fillId="0" borderId="0">
      <alignment vertical="top" wrapText="1"/>
    </xf>
    <xf numFmtId="207" fontId="86" fillId="0" borderId="0"/>
    <xf numFmtId="207" fontId="86" fillId="0" borderId="0"/>
    <xf numFmtId="207" fontId="86" fillId="0" borderId="0"/>
    <xf numFmtId="207" fontId="86" fillId="0" borderId="0"/>
    <xf numFmtId="207" fontId="86" fillId="0" borderId="0"/>
    <xf numFmtId="207" fontId="86" fillId="0" borderId="0"/>
    <xf numFmtId="207" fontId="86" fillId="0" borderId="0"/>
    <xf numFmtId="207" fontId="86" fillId="0" borderId="0"/>
    <xf numFmtId="208" fontId="3" fillId="0" borderId="0" applyFont="0" applyFill="0" applyBorder="0" applyAlignment="0" applyProtection="0"/>
    <xf numFmtId="209" fontId="87" fillId="0" borderId="0" applyFont="0" applyFill="0" applyBorder="0" applyAlignment="0" applyProtection="0"/>
    <xf numFmtId="210" fontId="87" fillId="0" borderId="0" applyFill="0" applyBorder="0" applyAlignment="0" applyProtection="0"/>
    <xf numFmtId="168" fontId="34" fillId="0" borderId="0" applyFont="0" applyFill="0" applyBorder="0" applyAlignment="0" applyProtection="0"/>
    <xf numFmtId="168" fontId="3" fillId="0" borderId="0" applyFont="0" applyFill="0" applyBorder="0" applyAlignment="0" applyProtection="0"/>
    <xf numFmtId="168" fontId="3" fillId="0" borderId="0" applyFont="0" applyFill="0" applyBorder="0" applyAlignment="0" applyProtection="0"/>
    <xf numFmtId="168" fontId="3"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39" fillId="0" borderId="0" applyFont="0" applyFill="0" applyBorder="0" applyAlignment="0" applyProtection="0"/>
    <xf numFmtId="168" fontId="88" fillId="0" borderId="0" applyFont="0" applyFill="0" applyBorder="0" applyAlignment="0" applyProtection="0"/>
    <xf numFmtId="168" fontId="1"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68" fontId="3" fillId="0" borderId="0" applyFont="0" applyFill="0" applyBorder="0" applyAlignment="0" applyProtection="0"/>
    <xf numFmtId="211" fontId="89" fillId="0" borderId="0" applyFont="0" applyFill="0" applyBorder="0" applyAlignment="0" applyProtection="0"/>
    <xf numFmtId="211" fontId="89" fillId="0" borderId="0" applyFont="0" applyFill="0" applyBorder="0" applyAlignment="0" applyProtection="0"/>
    <xf numFmtId="211" fontId="90"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34" fillId="0" borderId="0" applyFont="0" applyFill="0" applyBorder="0" applyAlignment="0" applyProtection="0"/>
    <xf numFmtId="168" fontId="34" fillId="0" borderId="0" applyFont="0" applyFill="0" applyBorder="0" applyAlignment="0" applyProtection="0"/>
    <xf numFmtId="168" fontId="34" fillId="0" borderId="0" applyFont="0" applyFill="0" applyBorder="0" applyAlignment="0" applyProtection="0"/>
    <xf numFmtId="168" fontId="34" fillId="0" borderId="0" applyFont="0" applyFill="0" applyBorder="0" applyAlignment="0" applyProtection="0"/>
    <xf numFmtId="168" fontId="34" fillId="0" borderId="0" applyFont="0" applyFill="0" applyBorder="0" applyAlignment="0" applyProtection="0"/>
    <xf numFmtId="168" fontId="34" fillId="0" borderId="0" applyFont="0" applyFill="0" applyBorder="0" applyAlignment="0" applyProtection="0"/>
    <xf numFmtId="3" fontId="91" fillId="0" borderId="0" applyFont="0" applyFill="0" applyBorder="0" applyAlignment="0" applyProtection="0">
      <alignment vertical="top"/>
    </xf>
    <xf numFmtId="3" fontId="3" fillId="0" borderId="0" applyFont="0" applyFill="0" applyBorder="0" applyAlignment="0" applyProtection="0"/>
    <xf numFmtId="0" fontId="91" fillId="0" borderId="0" applyFont="0" applyFill="0" applyBorder="0" applyAlignment="0" applyProtection="0">
      <alignment vertical="top"/>
    </xf>
    <xf numFmtId="0" fontId="10" fillId="0" borderId="15">
      <alignment horizontal="center"/>
    </xf>
    <xf numFmtId="177" fontId="50" fillId="0" borderId="0" applyNumberFormat="0">
      <alignment horizontal="right"/>
    </xf>
    <xf numFmtId="177" fontId="92" fillId="0" borderId="0">
      <alignment horizontal="left" vertical="center" wrapText="1"/>
    </xf>
    <xf numFmtId="167" fontId="3" fillId="0" borderId="0" applyFont="0" applyFill="0" applyBorder="0" applyAlignment="0" applyProtection="0"/>
    <xf numFmtId="167" fontId="3" fillId="0" borderId="0" applyFont="0" applyFill="0" applyBorder="0" applyAlignment="0" applyProtection="0"/>
    <xf numFmtId="167" fontId="1" fillId="0" borderId="0" applyFont="0" applyFill="0" applyBorder="0" applyAlignment="0" applyProtection="0"/>
    <xf numFmtId="167" fontId="3" fillId="0" borderId="0" applyFont="0" applyFill="0" applyBorder="0" applyAlignment="0" applyProtection="0"/>
    <xf numFmtId="164" fontId="91" fillId="0" borderId="0" applyFont="0" applyFill="0" applyBorder="0" applyAlignment="0" applyProtection="0">
      <alignment vertical="top"/>
    </xf>
    <xf numFmtId="164" fontId="3" fillId="0" borderId="0" applyFont="0" applyFill="0" applyBorder="0" applyAlignment="0" applyProtection="0"/>
    <xf numFmtId="177" fontId="40" fillId="33" borderId="35">
      <alignment horizontal="left" vertical="center" wrapText="1" indent="2"/>
    </xf>
    <xf numFmtId="177" fontId="40" fillId="0" borderId="35">
      <alignment horizontal="left" vertical="center" wrapText="1" indent="2"/>
    </xf>
    <xf numFmtId="177" fontId="40" fillId="32" borderId="24">
      <alignment horizontal="left" vertical="center"/>
    </xf>
    <xf numFmtId="2" fontId="70" fillId="0" borderId="0">
      <protection locked="0"/>
    </xf>
    <xf numFmtId="212" fontId="93" fillId="0" borderId="36">
      <alignment horizontal="right" vertical="center"/>
    </xf>
    <xf numFmtId="49" fontId="94" fillId="0" borderId="36">
      <alignment horizontal="left" vertical="center"/>
    </xf>
    <xf numFmtId="3" fontId="93" fillId="0" borderId="36" applyAlignment="0">
      <alignment horizontal="right" vertical="center"/>
    </xf>
    <xf numFmtId="213" fontId="31" fillId="0" borderId="36">
      <alignment horizontal="right"/>
    </xf>
    <xf numFmtId="0" fontId="91" fillId="0" borderId="0" applyFont="0" applyFill="0" applyBorder="0" applyAlignment="0" applyProtection="0">
      <alignment vertical="top"/>
    </xf>
    <xf numFmtId="0" fontId="3" fillId="0" borderId="0" applyFont="0" applyFill="0" applyBorder="0" applyAlignment="0" applyProtection="0"/>
    <xf numFmtId="214" fontId="3" fillId="0" borderId="0" applyFont="0" applyFill="0" applyBorder="0" applyAlignment="0" applyProtection="0"/>
    <xf numFmtId="196" fontId="95" fillId="0" borderId="0"/>
    <xf numFmtId="177" fontId="50" fillId="0" borderId="37">
      <alignment horizontal="left" vertical="top" wrapText="1"/>
    </xf>
    <xf numFmtId="215" fontId="39" fillId="0" borderId="0" applyFont="0" applyFill="0" applyBorder="0" applyAlignment="0" applyProtection="0"/>
    <xf numFmtId="177" fontId="96" fillId="14" borderId="27" applyNumberFormat="0" applyAlignment="0" applyProtection="0"/>
    <xf numFmtId="0" fontId="97" fillId="43" borderId="0" applyNumberFormat="0" applyBorder="0" applyAlignment="0" applyProtection="0"/>
    <xf numFmtId="0" fontId="97" fillId="44" borderId="0" applyNumberFormat="0" applyBorder="0" applyAlignment="0" applyProtection="0"/>
    <xf numFmtId="0" fontId="97" fillId="44" borderId="0" applyNumberFormat="0" applyBorder="0" applyAlignment="0" applyProtection="0"/>
    <xf numFmtId="177" fontId="3" fillId="0" borderId="15"/>
    <xf numFmtId="177" fontId="98" fillId="0" borderId="38" applyNumberFormat="0" applyFill="0" applyAlignment="0" applyProtection="0"/>
    <xf numFmtId="177" fontId="99" fillId="0" borderId="0" applyNumberFormat="0" applyFill="0" applyBorder="0" applyAlignment="0" applyProtection="0"/>
    <xf numFmtId="177" fontId="100" fillId="45" borderId="0">
      <alignment horizontal="center"/>
    </xf>
    <xf numFmtId="216" fontId="34" fillId="0" borderId="0" applyFont="0" applyFill="0" applyBorder="0" applyAlignment="0" applyProtection="0"/>
    <xf numFmtId="178"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217" fontId="3" fillId="0" borderId="0" applyFont="0" applyFill="0" applyBorder="0" applyAlignment="0" applyProtection="0"/>
    <xf numFmtId="217" fontId="3" fillId="0" borderId="0" applyFont="0" applyFill="0" applyBorder="0" applyAlignment="0" applyProtection="0"/>
    <xf numFmtId="181" fontId="101" fillId="0" borderId="0"/>
    <xf numFmtId="204" fontId="3" fillId="0" borderId="0" applyFont="0" applyFill="0" applyBorder="0" applyAlignment="0" applyProtection="0"/>
    <xf numFmtId="218" fontId="70" fillId="0" borderId="0">
      <protection locked="0"/>
    </xf>
    <xf numFmtId="204" fontId="3" fillId="0" borderId="0" applyFont="0" applyFill="0" applyBorder="0" applyAlignment="0" applyProtection="0"/>
    <xf numFmtId="218" fontId="70" fillId="0" borderId="0">
      <protection locked="0"/>
    </xf>
    <xf numFmtId="204" fontId="3" fillId="0" borderId="0" applyFont="0" applyFill="0" applyBorder="0" applyAlignment="0" applyProtection="0"/>
    <xf numFmtId="204" fontId="3" fillId="0" borderId="0" applyFont="0" applyFill="0" applyBorder="0" applyAlignment="0" applyProtection="0"/>
    <xf numFmtId="204" fontId="3" fillId="0" borderId="0" applyFont="0" applyFill="0" applyBorder="0" applyAlignment="0" applyProtection="0"/>
    <xf numFmtId="204" fontId="3" fillId="0" borderId="0" applyFont="0" applyFill="0" applyBorder="0" applyAlignment="0" applyProtection="0"/>
    <xf numFmtId="204" fontId="3" fillId="0" borderId="0" applyFont="0" applyFill="0" applyBorder="0" applyAlignment="0" applyProtection="0"/>
    <xf numFmtId="0" fontId="87" fillId="0" borderId="0"/>
    <xf numFmtId="0" fontId="70" fillId="0" borderId="0">
      <protection locked="0"/>
    </xf>
    <xf numFmtId="219" fontId="70" fillId="0" borderId="0">
      <protection locked="0"/>
    </xf>
    <xf numFmtId="2" fontId="91" fillId="0" borderId="0" applyFont="0" applyFill="0" applyBorder="0" applyAlignment="0" applyProtection="0">
      <alignment vertical="top"/>
    </xf>
    <xf numFmtId="2" fontId="3" fillId="0" borderId="0" applyFont="0" applyFill="0" applyBorder="0" applyAlignment="0" applyProtection="0"/>
    <xf numFmtId="219" fontId="70" fillId="0" borderId="0">
      <protection locked="0"/>
    </xf>
    <xf numFmtId="0" fontId="102" fillId="0" borderId="0" applyNumberFormat="0" applyFill="0" applyBorder="0" applyAlignment="0" applyProtection="0">
      <alignment vertical="top"/>
      <protection locked="0"/>
    </xf>
    <xf numFmtId="177" fontId="103" fillId="0" borderId="0"/>
    <xf numFmtId="204" fontId="36" fillId="0" borderId="0"/>
    <xf numFmtId="3" fontId="104" fillId="0" borderId="0"/>
    <xf numFmtId="177" fontId="105" fillId="0" borderId="0">
      <alignment horizontal="center"/>
    </xf>
    <xf numFmtId="0" fontId="106" fillId="28" borderId="0" applyNumberFormat="0" applyBorder="0" applyAlignment="0" applyProtection="0"/>
    <xf numFmtId="37" fontId="34" fillId="0" borderId="0" applyNumberFormat="0" applyFont="0" applyFill="0"/>
    <xf numFmtId="38" fontId="36" fillId="39" borderId="0" applyNumberFormat="0" applyBorder="0" applyAlignment="0" applyProtection="0"/>
    <xf numFmtId="177" fontId="107" fillId="11" borderId="0" applyNumberFormat="0" applyBorder="0" applyAlignment="0" applyProtection="0"/>
    <xf numFmtId="177" fontId="73" fillId="0" borderId="30">
      <alignment horizontal="center" wrapText="1"/>
    </xf>
    <xf numFmtId="0" fontId="108" fillId="0" borderId="0" applyNumberFormat="0" applyFill="0" applyBorder="0" applyAlignment="0" applyProtection="0"/>
    <xf numFmtId="0" fontId="109" fillId="0" borderId="0" applyNumberFormat="0" applyFill="0" applyBorder="0" applyAlignment="0" applyProtection="0"/>
    <xf numFmtId="0" fontId="110" fillId="0" borderId="39" applyNumberFormat="0" applyFill="0" applyAlignment="0" applyProtection="0"/>
    <xf numFmtId="0" fontId="110" fillId="0" borderId="0" applyNumberFormat="0" applyFill="0" applyBorder="0" applyAlignment="0" applyProtection="0"/>
    <xf numFmtId="220" fontId="111" fillId="0" borderId="0">
      <protection locked="0"/>
    </xf>
    <xf numFmtId="220" fontId="111" fillId="0" borderId="0">
      <protection locked="0"/>
    </xf>
    <xf numFmtId="177" fontId="112" fillId="0" borderId="0" applyNumberFormat="0" applyFill="0" applyBorder="0" applyAlignment="0" applyProtection="0"/>
    <xf numFmtId="177" fontId="113" fillId="0" borderId="36">
      <alignment horizontal="left"/>
    </xf>
    <xf numFmtId="177" fontId="113" fillId="0" borderId="40">
      <alignment horizontal="right" vertical="center"/>
    </xf>
    <xf numFmtId="177" fontId="113" fillId="0" borderId="40">
      <alignment horizontal="right" vertical="center"/>
    </xf>
    <xf numFmtId="177" fontId="113" fillId="0" borderId="40">
      <alignment horizontal="right" vertical="center"/>
    </xf>
    <xf numFmtId="177" fontId="114" fillId="0" borderId="36">
      <alignment horizontal="left" vertical="center"/>
    </xf>
    <xf numFmtId="177" fontId="31" fillId="0" borderId="36">
      <alignment horizontal="left" vertical="center"/>
    </xf>
    <xf numFmtId="177" fontId="115" fillId="0" borderId="36">
      <alignment horizontal="left"/>
    </xf>
    <xf numFmtId="177" fontId="115" fillId="46" borderId="0">
      <alignment horizontal="centerContinuous" wrapText="1"/>
    </xf>
    <xf numFmtId="49" fontId="115" fillId="46" borderId="13">
      <alignment horizontal="left" vertical="center"/>
    </xf>
    <xf numFmtId="177" fontId="115" fillId="46" borderId="0">
      <alignment horizontal="centerContinuous" vertical="center" wrapText="1"/>
    </xf>
    <xf numFmtId="221" fontId="116" fillId="0" borderId="41" applyBorder="0"/>
    <xf numFmtId="0" fontId="117" fillId="0" borderId="0" applyNumberFormat="0" applyFill="0" applyBorder="0" applyAlignment="0" applyProtection="0">
      <alignment vertical="top"/>
      <protection locked="0"/>
    </xf>
    <xf numFmtId="0" fontId="118" fillId="0" borderId="0" applyNumberFormat="0" applyFill="0" applyBorder="0" applyAlignment="0" applyProtection="0">
      <alignment vertical="top"/>
      <protection locked="0"/>
    </xf>
    <xf numFmtId="0" fontId="119"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2" fillId="0" borderId="0" applyNumberFormat="0" applyFill="0" applyBorder="0" applyAlignment="0" applyProtection="0">
      <alignment vertical="top"/>
      <protection locked="0"/>
    </xf>
    <xf numFmtId="0" fontId="123" fillId="0" borderId="0" applyNumberFormat="0" applyFill="0" applyBorder="0" applyAlignment="0" applyProtection="0">
      <alignment vertical="top"/>
      <protection locked="0"/>
    </xf>
    <xf numFmtId="0" fontId="118" fillId="0" borderId="0" applyNumberFormat="0" applyFill="0" applyBorder="0" applyAlignment="0" applyProtection="0">
      <alignment vertical="top"/>
      <protection locked="0"/>
    </xf>
    <xf numFmtId="0" fontId="121" fillId="0" borderId="0" applyNumberFormat="0" applyFill="0" applyBorder="0" applyAlignment="0" applyProtection="0">
      <alignment vertical="top"/>
      <protection locked="0"/>
    </xf>
    <xf numFmtId="0" fontId="124" fillId="0" borderId="0" applyNumberFormat="0" applyFill="0" applyBorder="0" applyAlignment="0" applyProtection="0">
      <alignment vertical="top"/>
      <protection locked="0"/>
    </xf>
    <xf numFmtId="0" fontId="125" fillId="0" borderId="0" applyNumberFormat="0" applyFill="0" applyBorder="0" applyAlignment="0" applyProtection="0">
      <alignment vertical="top"/>
      <protection locked="0"/>
    </xf>
    <xf numFmtId="204" fontId="34" fillId="0" borderId="0" applyFont="0" applyFill="0" applyBorder="0" applyAlignment="0" applyProtection="0"/>
    <xf numFmtId="204" fontId="40" fillId="0" borderId="0" applyFont="0" applyFill="0" applyBorder="0" applyAlignment="0" applyProtection="0"/>
    <xf numFmtId="3" fontId="34" fillId="0" borderId="0" applyFont="0" applyFill="0" applyBorder="0" applyAlignment="0" applyProtection="0"/>
    <xf numFmtId="3" fontId="40" fillId="0" borderId="0" applyFont="0" applyFill="0" applyBorder="0" applyAlignment="0" applyProtection="0"/>
    <xf numFmtId="177" fontId="126" fillId="0" borderId="0">
      <alignment horizontal="left" indent="1"/>
    </xf>
    <xf numFmtId="10" fontId="36" fillId="41" borderId="31" applyNumberFormat="0" applyBorder="0" applyAlignment="0" applyProtection="0"/>
    <xf numFmtId="10" fontId="36" fillId="41" borderId="31" applyNumberFormat="0" applyBorder="0" applyAlignment="0" applyProtection="0"/>
    <xf numFmtId="10" fontId="36" fillId="41" borderId="31" applyNumberFormat="0" applyBorder="0" applyAlignment="0" applyProtection="0"/>
    <xf numFmtId="10" fontId="36" fillId="41" borderId="31" applyNumberFormat="0" applyBorder="0" applyAlignment="0" applyProtection="0"/>
    <xf numFmtId="0" fontId="127" fillId="13" borderId="42" applyNumberFormat="0" applyAlignment="0" applyProtection="0"/>
    <xf numFmtId="0" fontId="127" fillId="13" borderId="42" applyNumberFormat="0" applyAlignment="0" applyProtection="0"/>
    <xf numFmtId="0" fontId="127" fillId="13" borderId="42" applyNumberFormat="0" applyAlignment="0" applyProtection="0"/>
    <xf numFmtId="0" fontId="127" fillId="13" borderId="42" applyNumberFormat="0" applyAlignment="0" applyProtection="0"/>
    <xf numFmtId="0" fontId="127" fillId="13" borderId="42" applyNumberFormat="0" applyAlignment="0" applyProtection="0"/>
    <xf numFmtId="0" fontId="127" fillId="13" borderId="42" applyNumberFormat="0" applyAlignment="0" applyProtection="0"/>
    <xf numFmtId="178" fontId="127" fillId="13" borderId="42" applyNumberFormat="0" applyAlignment="0" applyProtection="0"/>
    <xf numFmtId="0" fontId="127" fillId="13" borderId="42" applyNumberFormat="0" applyAlignment="0" applyProtection="0"/>
    <xf numFmtId="178" fontId="127" fillId="13" borderId="42" applyNumberFormat="0" applyAlignment="0" applyProtection="0"/>
    <xf numFmtId="177" fontId="128" fillId="31" borderId="0">
      <alignment horizontal="center"/>
    </xf>
    <xf numFmtId="4" fontId="40" fillId="0" borderId="0" applyBorder="0">
      <alignment horizontal="right" vertical="center"/>
    </xf>
    <xf numFmtId="177" fontId="40" fillId="0" borderId="1">
      <alignment horizontal="right" vertical="center"/>
    </xf>
    <xf numFmtId="1" fontId="129" fillId="32" borderId="0" applyBorder="0">
      <alignment horizontal="right" vertical="center"/>
    </xf>
    <xf numFmtId="15" fontId="3" fillId="0" borderId="0"/>
    <xf numFmtId="0" fontId="130" fillId="0" borderId="0" applyNumberFormat="0" applyFill="0" applyBorder="0" applyAlignment="0" applyProtection="0">
      <alignment vertical="top"/>
      <protection locked="0"/>
    </xf>
    <xf numFmtId="0" fontId="131" fillId="0" borderId="0" applyNumberFormat="0" applyFill="0" applyBorder="0" applyAlignment="0" applyProtection="0">
      <alignment vertical="top"/>
      <protection locked="0"/>
    </xf>
    <xf numFmtId="0" fontId="34" fillId="47" borderId="43" applyNumberFormat="0" applyFont="0" applyAlignment="0" applyProtection="0"/>
    <xf numFmtId="0" fontId="132" fillId="0" borderId="19">
      <alignment horizontal="left"/>
      <protection locked="0"/>
    </xf>
    <xf numFmtId="1" fontId="34" fillId="0" borderId="0" applyNumberFormat="0" applyAlignment="0">
      <alignment horizontal="center"/>
    </xf>
    <xf numFmtId="222" fontId="133" fillId="0" borderId="0" applyNumberFormat="0">
      <alignment horizontal="centerContinuous"/>
    </xf>
    <xf numFmtId="166" fontId="34" fillId="0" borderId="0" applyFont="0" applyFill="0" applyBorder="0" applyAlignment="0" applyProtection="0"/>
    <xf numFmtId="168" fontId="46" fillId="0" borderId="0" applyFont="0" applyFill="0" applyBorder="0" applyAlignment="0" applyProtection="0"/>
    <xf numFmtId="168" fontId="46" fillId="0" borderId="0" applyFont="0" applyFill="0" applyBorder="0" applyAlignment="0" applyProtection="0"/>
    <xf numFmtId="168" fontId="46" fillId="0" borderId="0" applyFont="0" applyFill="0" applyBorder="0" applyAlignment="0" applyProtection="0"/>
    <xf numFmtId="40" fontId="33" fillId="0" borderId="0" applyFont="0" applyFill="0" applyBorder="0" applyAlignment="0" applyProtection="0"/>
    <xf numFmtId="168" fontId="1" fillId="0" borderId="0" applyFont="0" applyFill="0" applyBorder="0" applyAlignment="0" applyProtection="0"/>
    <xf numFmtId="168" fontId="3" fillId="0" borderId="0" applyFont="0" applyFill="0" applyBorder="0" applyAlignment="0" applyProtection="0"/>
    <xf numFmtId="40" fontId="32" fillId="0" borderId="0" applyFont="0" applyFill="0" applyBorder="0" applyAlignment="0" applyProtection="0"/>
    <xf numFmtId="40" fontId="32" fillId="0" borderId="0" applyFont="0" applyFill="0" applyBorder="0" applyAlignment="0" applyProtection="0"/>
    <xf numFmtId="168" fontId="3" fillId="0" borderId="0" applyFont="0" applyFill="0" applyBorder="0" applyAlignment="0" applyProtection="0"/>
    <xf numFmtId="168" fontId="46" fillId="0" borderId="0" applyFont="0" applyFill="0" applyBorder="0" applyAlignment="0" applyProtection="0"/>
    <xf numFmtId="168" fontId="46" fillId="0" borderId="0" applyFont="0" applyFill="0" applyBorder="0" applyAlignment="0" applyProtection="0"/>
    <xf numFmtId="168" fontId="3" fillId="0" borderId="0" applyFont="0" applyFill="0" applyBorder="0" applyAlignment="0" applyProtection="0"/>
    <xf numFmtId="168" fontId="3" fillId="0" borderId="0" applyFont="0" applyFill="0" applyBorder="0" applyAlignment="0" applyProtection="0"/>
    <xf numFmtId="168" fontId="3" fillId="0" borderId="0" applyFont="0" applyFill="0" applyBorder="0" applyAlignment="0" applyProtection="0"/>
    <xf numFmtId="223" fontId="1" fillId="0" borderId="0" applyFont="0" applyFill="0" applyBorder="0" applyAlignment="0" applyProtection="0"/>
    <xf numFmtId="223" fontId="1" fillId="0" borderId="0" applyFont="0" applyFill="0" applyBorder="0" applyAlignment="0" applyProtection="0"/>
    <xf numFmtId="223" fontId="46" fillId="0" borderId="0" applyFont="0" applyFill="0" applyBorder="0" applyAlignment="0" applyProtection="0"/>
    <xf numFmtId="168" fontId="1" fillId="0" borderId="0" applyFont="0" applyFill="0" applyBorder="0" applyAlignment="0" applyProtection="0"/>
    <xf numFmtId="43" fontId="3" fillId="0" borderId="0" applyFont="0" applyFill="0" applyBorder="0" applyAlignment="0" applyProtection="0"/>
    <xf numFmtId="168" fontId="34" fillId="0" borderId="0" applyFont="0" applyFill="0" applyBorder="0" applyAlignment="0" applyProtection="0"/>
    <xf numFmtId="224" fontId="87" fillId="0" borderId="0" applyFont="0" applyFill="0" applyBorder="0" applyAlignment="0" applyProtection="0"/>
    <xf numFmtId="225" fontId="87" fillId="0" borderId="0" applyFont="0" applyFill="0" applyBorder="0" applyAlignment="0" applyProtection="0"/>
    <xf numFmtId="226" fontId="70" fillId="0" borderId="0">
      <protection locked="0"/>
    </xf>
    <xf numFmtId="165" fontId="34" fillId="0" borderId="0" applyFont="0" applyFill="0" applyBorder="0" applyAlignment="0" applyProtection="0"/>
    <xf numFmtId="167" fontId="34" fillId="0" borderId="0" applyFont="0" applyFill="0" applyBorder="0" applyAlignment="0" applyProtection="0"/>
    <xf numFmtId="227" fontId="70" fillId="0" borderId="0">
      <protection locked="0"/>
    </xf>
    <xf numFmtId="228" fontId="70" fillId="0" borderId="0">
      <protection locked="0"/>
    </xf>
    <xf numFmtId="17" fontId="109" fillId="0" borderId="0">
      <alignment horizontal="center"/>
    </xf>
    <xf numFmtId="177" fontId="134" fillId="0" borderId="44"/>
    <xf numFmtId="0" fontId="135" fillId="25" borderId="0" applyNumberFormat="0" applyBorder="0" applyAlignment="0" applyProtection="0"/>
    <xf numFmtId="177" fontId="136" fillId="0" borderId="0">
      <alignment horizontal="center"/>
    </xf>
    <xf numFmtId="0" fontId="59" fillId="0" borderId="0"/>
    <xf numFmtId="0" fontId="137" fillId="0" borderId="0"/>
    <xf numFmtId="0" fontId="138" fillId="0" borderId="0"/>
    <xf numFmtId="0" fontId="101" fillId="0" borderId="0"/>
    <xf numFmtId="0" fontId="101" fillId="0" borderId="0"/>
    <xf numFmtId="229" fontId="36" fillId="0" borderId="0"/>
    <xf numFmtId="0" fontId="3" fillId="0" borderId="0"/>
    <xf numFmtId="170" fontId="88" fillId="0" borderId="0">
      <alignment vertical="center"/>
    </xf>
    <xf numFmtId="170" fontId="139" fillId="0" borderId="0">
      <alignment vertical="center"/>
    </xf>
    <xf numFmtId="0" fontId="3" fillId="0" borderId="0"/>
    <xf numFmtId="0" fontId="3" fillId="0" borderId="0"/>
    <xf numFmtId="0" fontId="3" fillId="0" borderId="0"/>
    <xf numFmtId="204" fontId="88" fillId="0" borderId="0">
      <alignment vertical="center"/>
    </xf>
    <xf numFmtId="170" fontId="3" fillId="0" borderId="0">
      <alignment vertical="center"/>
    </xf>
    <xf numFmtId="170" fontId="3" fillId="0" borderId="0">
      <alignment vertical="center"/>
    </xf>
    <xf numFmtId="170" fontId="139" fillId="0" borderId="0">
      <alignment vertical="center"/>
    </xf>
    <xf numFmtId="170" fontId="3" fillId="0" borderId="0">
      <alignment vertical="center"/>
    </xf>
    <xf numFmtId="170" fontId="3" fillId="0" borderId="0">
      <alignment vertical="center"/>
    </xf>
    <xf numFmtId="170" fontId="3" fillId="0" borderId="0">
      <alignment vertical="center"/>
    </xf>
    <xf numFmtId="170" fontId="3" fillId="0" borderId="0">
      <alignment vertical="center"/>
    </xf>
    <xf numFmtId="170" fontId="88" fillId="0" borderId="0">
      <alignment vertical="center"/>
    </xf>
    <xf numFmtId="169" fontId="1" fillId="0" borderId="0"/>
    <xf numFmtId="0" fontId="3" fillId="0" borderId="0"/>
    <xf numFmtId="0" fontId="3" fillId="0" borderId="0"/>
    <xf numFmtId="230" fontId="140" fillId="0" borderId="0"/>
    <xf numFmtId="0" fontId="141" fillId="0" borderId="0"/>
    <xf numFmtId="0" fontId="141" fillId="0" borderId="0"/>
    <xf numFmtId="0" fontId="1" fillId="0" borderId="0"/>
    <xf numFmtId="0" fontId="141" fillId="0" borderId="0"/>
    <xf numFmtId="0" fontId="141" fillId="0" borderId="0"/>
    <xf numFmtId="0" fontId="141" fillId="0" borderId="0"/>
    <xf numFmtId="0" fontId="141" fillId="0" borderId="0"/>
    <xf numFmtId="0" fontId="141" fillId="0" borderId="0"/>
    <xf numFmtId="0" fontId="141" fillId="0" borderId="0"/>
    <xf numFmtId="0" fontId="1" fillId="0" borderId="0"/>
    <xf numFmtId="0" fontId="34" fillId="0" borderId="0">
      <alignment vertical="top"/>
    </xf>
    <xf numFmtId="0" fontId="1" fillId="0" borderId="0"/>
    <xf numFmtId="0" fontId="34" fillId="0" borderId="0"/>
    <xf numFmtId="204" fontId="88" fillId="0" borderId="0">
      <alignment vertical="center"/>
    </xf>
    <xf numFmtId="0" fontId="34" fillId="0" borderId="0"/>
    <xf numFmtId="0" fontId="33" fillId="0" borderId="0"/>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3" fillId="0" borderId="0">
      <alignment vertical="center"/>
    </xf>
    <xf numFmtId="178" fontId="46" fillId="0" borderId="0"/>
    <xf numFmtId="170" fontId="3" fillId="0" borderId="0">
      <alignment vertical="center"/>
    </xf>
    <xf numFmtId="170" fontId="3" fillId="0" borderId="0">
      <alignment vertical="center"/>
    </xf>
    <xf numFmtId="170" fontId="3" fillId="0" borderId="0">
      <alignment vertical="center"/>
    </xf>
    <xf numFmtId="170" fontId="3" fillId="0" borderId="0">
      <alignment vertical="center"/>
    </xf>
    <xf numFmtId="170" fontId="3" fillId="0" borderId="0">
      <alignment vertical="center"/>
    </xf>
    <xf numFmtId="170" fontId="3" fillId="0" borderId="0">
      <alignment vertical="center"/>
    </xf>
    <xf numFmtId="170" fontId="3" fillId="0" borderId="0">
      <alignment vertical="center"/>
    </xf>
    <xf numFmtId="170" fontId="34" fillId="0" borderId="0">
      <alignment vertical="center"/>
    </xf>
    <xf numFmtId="170" fontId="34" fillId="0" borderId="0">
      <alignment vertical="center"/>
    </xf>
    <xf numFmtId="170" fontId="34" fillId="0" borderId="0">
      <alignment vertical="center"/>
    </xf>
    <xf numFmtId="169"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70" fontId="34" fillId="0" borderId="0">
      <alignment vertical="center"/>
    </xf>
    <xf numFmtId="170" fontId="34" fillId="0" borderId="0">
      <alignment vertical="center"/>
    </xf>
    <xf numFmtId="170" fontId="34" fillId="0" borderId="0">
      <alignment vertical="center"/>
    </xf>
    <xf numFmtId="170" fontId="34" fillId="0" borderId="0">
      <alignment vertical="center"/>
    </xf>
    <xf numFmtId="170" fontId="34" fillId="0" borderId="0">
      <alignment vertical="center"/>
    </xf>
    <xf numFmtId="170" fontId="34"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88" fillId="0" borderId="0">
      <alignment vertical="center"/>
    </xf>
    <xf numFmtId="170" fontId="34" fillId="0" borderId="0">
      <alignment vertical="center"/>
    </xf>
    <xf numFmtId="0" fontId="1" fillId="0" borderId="0"/>
    <xf numFmtId="170" fontId="13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42" fillId="0" borderId="0">
      <protection locked="0"/>
    </xf>
    <xf numFmtId="0" fontId="1" fillId="0" borderId="0"/>
    <xf numFmtId="169" fontId="1" fillId="0" borderId="0"/>
    <xf numFmtId="0" fontId="1" fillId="0" borderId="0"/>
    <xf numFmtId="0" fontId="1" fillId="0" borderId="0"/>
    <xf numFmtId="0" fontId="1" fillId="0" borderId="0"/>
    <xf numFmtId="178" fontId="46" fillId="0" borderId="0"/>
    <xf numFmtId="0" fontId="3" fillId="0" borderId="0" applyNumberFormat="0" applyFont="0" applyFill="0" applyBorder="0" applyAlignment="0" applyProtection="0">
      <alignment vertical="top"/>
    </xf>
    <xf numFmtId="0" fontId="1" fillId="0" borderId="0"/>
    <xf numFmtId="0" fontId="1" fillId="0" borderId="0"/>
    <xf numFmtId="0" fontId="1" fillId="0" borderId="0"/>
    <xf numFmtId="0" fontId="46" fillId="0" borderId="0" applyFill="0" applyProtection="0"/>
    <xf numFmtId="0" fontId="1" fillId="0" borderId="0"/>
    <xf numFmtId="0" fontId="1" fillId="0" borderId="0"/>
    <xf numFmtId="170" fontId="34"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170" fontId="34" fillId="0" borderId="0">
      <alignment vertical="center"/>
    </xf>
    <xf numFmtId="0" fontId="59" fillId="0" borderId="0"/>
    <xf numFmtId="0" fontId="46" fillId="0" borderId="0" applyFill="0" applyProtection="0"/>
    <xf numFmtId="0" fontId="59" fillId="0" borderId="0"/>
    <xf numFmtId="0" fontId="59" fillId="0" borderId="0"/>
    <xf numFmtId="0" fontId="59" fillId="0" borderId="0"/>
    <xf numFmtId="0" fontId="46" fillId="0" borderId="0" applyFill="0" applyProtection="0"/>
    <xf numFmtId="0" fontId="34" fillId="0" borderId="0"/>
    <xf numFmtId="37" fontId="140" fillId="0" borderId="0"/>
    <xf numFmtId="0" fontId="46" fillId="0" borderId="0" applyFill="0" applyProtection="0"/>
    <xf numFmtId="0" fontId="46" fillId="0" borderId="0" applyFill="0" applyProtection="0"/>
    <xf numFmtId="0" fontId="3" fillId="0" borderId="0"/>
    <xf numFmtId="0" fontId="34" fillId="0" borderId="0"/>
    <xf numFmtId="0" fontId="46" fillId="0" borderId="0" applyFill="0" applyProtection="0"/>
    <xf numFmtId="0" fontId="3" fillId="0" borderId="0"/>
    <xf numFmtId="0" fontId="1" fillId="0" borderId="0"/>
    <xf numFmtId="0" fontId="3" fillId="0" borderId="0"/>
    <xf numFmtId="0" fontId="46" fillId="0" borderId="0" applyFill="0" applyProtection="0"/>
    <xf numFmtId="4" fontId="40" fillId="0" borderId="1" applyFill="0" applyBorder="0" applyProtection="0">
      <alignment horizontal="right" vertical="center"/>
    </xf>
    <xf numFmtId="49" fontId="49" fillId="0" borderId="1" applyNumberFormat="0" applyFill="0" applyBorder="0" applyProtection="0">
      <alignment horizontal="left" vertical="center"/>
    </xf>
    <xf numFmtId="177" fontId="40" fillId="0" borderId="1" applyNumberFormat="0" applyFill="0" applyAlignment="0" applyProtection="0"/>
    <xf numFmtId="177" fontId="143" fillId="39" borderId="0" applyNumberFormat="0" applyFont="0" applyBorder="0" applyAlignment="0" applyProtection="0"/>
    <xf numFmtId="231" fontId="34" fillId="0" borderId="0" applyFill="0" applyBorder="0" applyAlignment="0" applyProtection="0">
      <alignment horizontal="right"/>
    </xf>
    <xf numFmtId="177" fontId="22" fillId="0" borderId="0"/>
    <xf numFmtId="0" fontId="144" fillId="0" borderId="0"/>
    <xf numFmtId="0" fontId="3" fillId="48" borderId="45" applyNumberFormat="0" applyFont="0" applyAlignment="0" applyProtection="0"/>
    <xf numFmtId="0" fontId="3" fillId="48" borderId="45" applyNumberFormat="0" applyFont="0" applyAlignment="0" applyProtection="0"/>
    <xf numFmtId="0" fontId="3" fillId="48" borderId="45" applyNumberFormat="0" applyFont="0" applyAlignment="0" applyProtection="0"/>
    <xf numFmtId="0" fontId="34" fillId="25" borderId="45" applyNumberFormat="0" applyFont="0" applyAlignment="0" applyProtection="0"/>
    <xf numFmtId="0" fontId="34" fillId="25" borderId="45" applyNumberFormat="0" applyFont="0" applyAlignment="0" applyProtection="0"/>
    <xf numFmtId="0" fontId="34" fillId="25" borderId="45" applyNumberFormat="0" applyFont="0" applyAlignment="0" applyProtection="0"/>
    <xf numFmtId="0" fontId="34" fillId="25" borderId="45" applyNumberFormat="0" applyFont="0" applyAlignment="0" applyProtection="0"/>
    <xf numFmtId="0" fontId="34" fillId="25" borderId="45" applyNumberFormat="0" applyFont="0" applyAlignment="0" applyProtection="0"/>
    <xf numFmtId="0" fontId="34" fillId="25" borderId="45" applyNumberFormat="0" applyFont="0" applyAlignment="0" applyProtection="0"/>
    <xf numFmtId="178" fontId="34" fillId="25" borderId="45" applyNumberFormat="0" applyFont="0" applyAlignment="0" applyProtection="0"/>
    <xf numFmtId="0" fontId="34" fillId="25" borderId="45" applyNumberFormat="0" applyFont="0" applyAlignment="0" applyProtection="0"/>
    <xf numFmtId="178" fontId="34" fillId="25" borderId="45" applyNumberFormat="0" applyFont="0" applyAlignment="0" applyProtection="0"/>
    <xf numFmtId="0" fontId="3" fillId="48" borderId="45" applyNumberFormat="0" applyFont="0" applyAlignment="0" applyProtection="0"/>
    <xf numFmtId="177" fontId="145" fillId="0" borderId="19"/>
    <xf numFmtId="177" fontId="46" fillId="48" borderId="45" applyNumberFormat="0" applyFont="0" applyAlignment="0" applyProtection="0"/>
    <xf numFmtId="232" fontId="146" fillId="0" borderId="0" applyFill="0" applyBorder="0" applyProtection="0">
      <alignment horizontal="right"/>
    </xf>
    <xf numFmtId="0" fontId="147" fillId="49" borderId="46" applyNumberFormat="0" applyAlignment="0" applyProtection="0"/>
    <xf numFmtId="0" fontId="147" fillId="49" borderId="46" applyNumberFormat="0" applyAlignment="0" applyProtection="0"/>
    <xf numFmtId="0" fontId="147" fillId="49" borderId="46" applyNumberFormat="0" applyAlignment="0" applyProtection="0"/>
    <xf numFmtId="0" fontId="147" fillId="49" borderId="46" applyNumberFormat="0" applyAlignment="0" applyProtection="0"/>
    <xf numFmtId="0" fontId="147" fillId="49" borderId="46" applyNumberFormat="0" applyAlignment="0" applyProtection="0"/>
    <xf numFmtId="0" fontId="147" fillId="49" borderId="46" applyNumberFormat="0" applyAlignment="0" applyProtection="0"/>
    <xf numFmtId="178" fontId="147" fillId="49" borderId="46" applyNumberFormat="0" applyAlignment="0" applyProtection="0"/>
    <xf numFmtId="0" fontId="147" fillId="49" borderId="46" applyNumberFormat="0" applyAlignment="0" applyProtection="0"/>
    <xf numFmtId="178" fontId="147" fillId="49" borderId="46" applyNumberFormat="0" applyAlignment="0" applyProtection="0"/>
    <xf numFmtId="10"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233" fontId="70" fillId="0" borderId="0">
      <protection locked="0"/>
    </xf>
    <xf numFmtId="233"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4" fontId="70" fillId="0" borderId="0">
      <protection locked="0"/>
    </xf>
    <xf numFmtId="233" fontId="70" fillId="0" borderId="0">
      <protection locked="0"/>
    </xf>
    <xf numFmtId="233" fontId="70" fillId="0" borderId="0">
      <protection locked="0"/>
    </xf>
    <xf numFmtId="233" fontId="70" fillId="0" borderId="0">
      <protection locked="0"/>
    </xf>
    <xf numFmtId="233" fontId="70" fillId="0" borderId="0">
      <protection locked="0"/>
    </xf>
    <xf numFmtId="233" fontId="70" fillId="0" borderId="0">
      <protection locked="0"/>
    </xf>
    <xf numFmtId="233" fontId="70" fillId="0" borderId="0">
      <protection locked="0"/>
    </xf>
    <xf numFmtId="233" fontId="70" fillId="0" borderId="0">
      <protection locked="0"/>
    </xf>
    <xf numFmtId="9" fontId="89" fillId="0" borderId="0" applyFont="0" applyFill="0" applyBorder="0" applyAlignment="0" applyProtection="0"/>
    <xf numFmtId="9" fontId="90" fillId="0" borderId="0" applyFont="0" applyFill="0" applyBorder="0" applyAlignment="0" applyProtection="0"/>
    <xf numFmtId="9" fontId="141" fillId="0" borderId="0" applyFont="0" applyFill="0" applyBorder="0" applyAlignment="0" applyProtection="0"/>
    <xf numFmtId="10" fontId="3" fillId="0" borderId="0"/>
    <xf numFmtId="10" fontId="41" fillId="0" borderId="0"/>
    <xf numFmtId="9" fontId="1" fillId="0" borderId="0" applyFont="0" applyFill="0" applyBorder="0" applyAlignment="0" applyProtection="0"/>
    <xf numFmtId="9" fontId="1" fillId="0" borderId="0" applyFont="0" applyFill="0" applyBorder="0" applyAlignment="0" applyProtection="0"/>
    <xf numFmtId="9" fontId="3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3" fillId="0" borderId="0" applyFont="0" applyFill="0" applyBorder="0" applyAlignment="0" applyProtection="0">
      <alignment vertical="top"/>
    </xf>
    <xf numFmtId="235" fontId="34" fillId="0" borderId="0" applyFont="0" applyFill="0" applyBorder="0" applyAlignment="0" applyProtection="0"/>
    <xf numFmtId="236" fontId="40" fillId="0" borderId="0" applyFont="0" applyFill="0" applyBorder="0" applyAlignment="0" applyProtection="0"/>
    <xf numFmtId="234" fontId="40" fillId="0" borderId="0" applyFont="0" applyFill="0" applyBorder="0" applyAlignment="0" applyProtection="0"/>
    <xf numFmtId="233" fontId="70" fillId="0" borderId="0">
      <protection locked="0"/>
    </xf>
    <xf numFmtId="237" fontId="70" fillId="0" borderId="0">
      <protection locked="0"/>
    </xf>
    <xf numFmtId="238" fontId="3" fillId="0" borderId="0" applyFont="0" applyFill="0" applyBorder="0" applyAlignment="0" applyProtection="0"/>
    <xf numFmtId="233" fontId="70" fillId="0" borderId="0">
      <protection locked="0"/>
    </xf>
    <xf numFmtId="9" fontId="7" fillId="0" borderId="0" applyFont="0" applyFill="0" applyBorder="0" applyAlignment="0" applyProtection="0"/>
    <xf numFmtId="9" fontId="3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9" fillId="0" borderId="0" applyFont="0" applyFill="0" applyBorder="0" applyAlignment="0" applyProtection="0"/>
    <xf numFmtId="9" fontId="39"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239" fontId="34" fillId="0" borderId="0" applyFill="0" applyBorder="0" applyAlignment="0">
      <alignment horizontal="centerContinuous"/>
    </xf>
    <xf numFmtId="9" fontId="3" fillId="0" borderId="0" applyFont="0" applyFill="0" applyBorder="0" applyAlignment="0" applyProtection="0"/>
    <xf numFmtId="0" fontId="87" fillId="0" borderId="0" applyNumberFormat="0" applyFont="0" applyFill="0" applyBorder="0" applyAlignment="0" applyProtection="0">
      <alignment horizontal="left"/>
    </xf>
    <xf numFmtId="0" fontId="148" fillId="0" borderId="15">
      <alignment horizontal="center"/>
    </xf>
    <xf numFmtId="0" fontId="87" fillId="50" borderId="0" applyNumberFormat="0" applyFont="0" applyBorder="0" applyAlignment="0" applyProtection="0"/>
    <xf numFmtId="0" fontId="40" fillId="0" borderId="0"/>
    <xf numFmtId="237" fontId="70" fillId="0" borderId="0">
      <protection locked="0"/>
    </xf>
    <xf numFmtId="218" fontId="70" fillId="0" borderId="0">
      <protection locked="0"/>
    </xf>
    <xf numFmtId="0" fontId="149" fillId="0" borderId="0"/>
    <xf numFmtId="240" fontId="70" fillId="0" borderId="0">
      <protection locked="0"/>
    </xf>
    <xf numFmtId="177" fontId="3" fillId="0" borderId="0">
      <alignment horizontal="center"/>
    </xf>
    <xf numFmtId="0" fontId="150" fillId="0" borderId="19" applyNumberFormat="0" applyFill="0" applyBorder="0" applyAlignment="0" applyProtection="0">
      <protection hidden="1"/>
    </xf>
    <xf numFmtId="3" fontId="93" fillId="0" borderId="0">
      <alignment horizontal="left" vertical="center"/>
    </xf>
    <xf numFmtId="177" fontId="84" fillId="0" borderId="0">
      <alignment horizontal="left" vertical="center"/>
    </xf>
    <xf numFmtId="0" fontId="151" fillId="51" borderId="1">
      <alignment horizontal="center"/>
    </xf>
    <xf numFmtId="0" fontId="151" fillId="51" borderId="1">
      <alignment horizontal="center"/>
    </xf>
    <xf numFmtId="0" fontId="151" fillId="51" borderId="1">
      <alignment horizontal="center"/>
    </xf>
    <xf numFmtId="0" fontId="151" fillId="52" borderId="1">
      <alignment horizontal="center"/>
    </xf>
    <xf numFmtId="0" fontId="151" fillId="51" borderId="1">
      <alignment horizontal="center"/>
    </xf>
    <xf numFmtId="0" fontId="151" fillId="52" borderId="1">
      <alignment horizontal="center"/>
    </xf>
    <xf numFmtId="0" fontId="151" fillId="51" borderId="1">
      <alignment horizontal="center"/>
    </xf>
    <xf numFmtId="0" fontId="151" fillId="52" borderId="1">
      <alignment horizontal="center"/>
    </xf>
    <xf numFmtId="0" fontId="151" fillId="51" borderId="1">
      <alignment horizontal="center"/>
    </xf>
    <xf numFmtId="0" fontId="151" fillId="52" borderId="1">
      <alignment horizontal="center"/>
    </xf>
    <xf numFmtId="0" fontId="151" fillId="52" borderId="1">
      <alignment horizontal="center"/>
    </xf>
    <xf numFmtId="178" fontId="41" fillId="11" borderId="1">
      <alignment horizontal="center"/>
    </xf>
    <xf numFmtId="0" fontId="151" fillId="51" borderId="1">
      <alignment horizontal="center"/>
    </xf>
    <xf numFmtId="0" fontId="151" fillId="51" borderId="1">
      <alignment horizontal="center"/>
    </xf>
    <xf numFmtId="0" fontId="151" fillId="52" borderId="1">
      <alignment horizontal="center"/>
    </xf>
    <xf numFmtId="0" fontId="151" fillId="52" borderId="1">
      <alignment horizontal="center"/>
    </xf>
    <xf numFmtId="178" fontId="41" fillId="11" borderId="1">
      <alignment horizontal="center"/>
    </xf>
    <xf numFmtId="0" fontId="151" fillId="52" borderId="1">
      <alignment horizontal="center"/>
    </xf>
    <xf numFmtId="178" fontId="41" fillId="11" borderId="1">
      <alignment horizontal="center"/>
    </xf>
    <xf numFmtId="0" fontId="3" fillId="53" borderId="1">
      <alignment horizontal="center"/>
    </xf>
    <xf numFmtId="0" fontId="3" fillId="53" borderId="1">
      <alignment horizontal="center"/>
    </xf>
    <xf numFmtId="0" fontId="3" fillId="53" borderId="1">
      <alignment horizontal="center"/>
    </xf>
    <xf numFmtId="0" fontId="3" fillId="53" borderId="1">
      <alignment horizontal="center"/>
    </xf>
    <xf numFmtId="0" fontId="3" fillId="53" borderId="1">
      <alignment horizontal="center"/>
    </xf>
    <xf numFmtId="0" fontId="3" fillId="53" borderId="1">
      <alignment horizontal="center"/>
    </xf>
    <xf numFmtId="178" fontId="3" fillId="7" borderId="1">
      <alignment horizontal="center"/>
    </xf>
    <xf numFmtId="0" fontId="3" fillId="53" borderId="1">
      <alignment horizontal="center"/>
    </xf>
    <xf numFmtId="0" fontId="3" fillId="53" borderId="1">
      <alignment horizontal="center"/>
    </xf>
    <xf numFmtId="178" fontId="3" fillId="7" borderId="1">
      <alignment horizontal="center"/>
    </xf>
    <xf numFmtId="178" fontId="3" fillId="7" borderId="1">
      <alignment horizontal="center"/>
    </xf>
    <xf numFmtId="0" fontId="3" fillId="0" borderId="1"/>
    <xf numFmtId="0" fontId="3" fillId="0" borderId="1"/>
    <xf numFmtId="0" fontId="3" fillId="0" borderId="1"/>
    <xf numFmtId="0" fontId="3" fillId="0" borderId="1"/>
    <xf numFmtId="0" fontId="3" fillId="0" borderId="1"/>
    <xf numFmtId="0" fontId="3" fillId="0" borderId="1"/>
    <xf numFmtId="178" fontId="3" fillId="0" borderId="1"/>
    <xf numFmtId="0" fontId="3" fillId="0" borderId="1"/>
    <xf numFmtId="0" fontId="3" fillId="0" borderId="1"/>
    <xf numFmtId="178" fontId="3" fillId="0" borderId="1"/>
    <xf numFmtId="0" fontId="152" fillId="0" borderId="0">
      <alignment horizontal="center"/>
    </xf>
    <xf numFmtId="0" fontId="38" fillId="39" borderId="47" applyBorder="0"/>
    <xf numFmtId="177" fontId="153" fillId="0" borderId="0"/>
    <xf numFmtId="4" fontId="154" fillId="7" borderId="48" applyNumberFormat="0" applyProtection="0">
      <alignment vertical="center"/>
    </xf>
    <xf numFmtId="4" fontId="155" fillId="7" borderId="48" applyNumberFormat="0" applyProtection="0">
      <alignment vertical="center"/>
    </xf>
    <xf numFmtId="4" fontId="156" fillId="0" borderId="0" applyNumberFormat="0" applyProtection="0">
      <alignment horizontal="left" vertical="center" indent="1"/>
    </xf>
    <xf numFmtId="0" fontId="157" fillId="54" borderId="49" applyNumberFormat="0" applyProtection="0">
      <alignment horizontal="left" vertical="top" indent="1"/>
    </xf>
    <xf numFmtId="4" fontId="158" fillId="55" borderId="48" applyNumberFormat="0" applyProtection="0">
      <alignment horizontal="left" vertical="center" indent="1"/>
    </xf>
    <xf numFmtId="4" fontId="159" fillId="45" borderId="48" applyNumberFormat="0" applyProtection="0">
      <alignment vertical="center"/>
    </xf>
    <xf numFmtId="4" fontId="105" fillId="10" borderId="49" applyNumberFormat="0" applyProtection="0">
      <alignment horizontal="right" vertical="center"/>
    </xf>
    <xf numFmtId="4" fontId="105" fillId="16" borderId="49" applyNumberFormat="0" applyProtection="0">
      <alignment horizontal="right" vertical="center"/>
    </xf>
    <xf numFmtId="4" fontId="105" fillId="35" borderId="49" applyNumberFormat="0" applyProtection="0">
      <alignment horizontal="right" vertical="center"/>
    </xf>
    <xf numFmtId="4" fontId="160" fillId="33" borderId="48" applyNumberFormat="0" applyProtection="0">
      <alignment vertical="center"/>
    </xf>
    <xf numFmtId="4" fontId="105" fillId="18" borderId="49" applyNumberFormat="0" applyProtection="0">
      <alignment horizontal="right" vertical="center"/>
    </xf>
    <xf numFmtId="4" fontId="105" fillId="22" borderId="49" applyNumberFormat="0" applyProtection="0">
      <alignment horizontal="right" vertical="center"/>
    </xf>
    <xf numFmtId="4" fontId="105" fillId="37" borderId="49" applyNumberFormat="0" applyProtection="0">
      <alignment horizontal="right" vertical="center"/>
    </xf>
    <xf numFmtId="4" fontId="159" fillId="56" borderId="48" applyNumberFormat="0" applyProtection="0">
      <alignment vertical="center"/>
    </xf>
    <xf numFmtId="4" fontId="105" fillId="36" borderId="49" applyNumberFormat="0" applyProtection="0">
      <alignment horizontal="right" vertical="center"/>
    </xf>
    <xf numFmtId="4" fontId="105" fillId="57" borderId="49" applyNumberFormat="0" applyProtection="0">
      <alignment horizontal="right" vertical="center"/>
    </xf>
    <xf numFmtId="4" fontId="105" fillId="17" borderId="49" applyNumberFormat="0" applyProtection="0">
      <alignment horizontal="right" vertical="center"/>
    </xf>
    <xf numFmtId="4" fontId="161" fillId="45" borderId="48" applyNumberFormat="0" applyProtection="0">
      <alignment vertical="center"/>
    </xf>
    <xf numFmtId="4" fontId="162" fillId="58" borderId="48" applyNumberFormat="0" applyProtection="0">
      <alignment horizontal="left" vertical="center" indent="1"/>
    </xf>
    <xf numFmtId="4" fontId="162" fillId="6" borderId="48" applyNumberFormat="0" applyProtection="0">
      <alignment horizontal="left" vertical="center" indent="1"/>
    </xf>
    <xf numFmtId="4" fontId="163" fillId="55" borderId="48" applyNumberFormat="0" applyProtection="0">
      <alignment horizontal="left" vertical="center" indent="1"/>
    </xf>
    <xf numFmtId="4" fontId="164" fillId="59" borderId="48" applyNumberFormat="0" applyProtection="0">
      <alignment vertical="center"/>
    </xf>
    <xf numFmtId="4" fontId="165" fillId="41" borderId="48" applyNumberFormat="0" applyProtection="0">
      <alignment horizontal="left" vertical="center" indent="1"/>
    </xf>
    <xf numFmtId="4" fontId="166" fillId="6" borderId="48" applyNumberFormat="0" applyProtection="0">
      <alignment horizontal="left" vertical="center" indent="1"/>
    </xf>
    <xf numFmtId="4" fontId="167" fillId="55" borderId="48" applyNumberFormat="0" applyProtection="0">
      <alignment horizontal="left" vertical="center" indent="1"/>
    </xf>
    <xf numFmtId="0" fontId="35" fillId="60" borderId="49" applyNumberFormat="0" applyProtection="0">
      <alignment horizontal="left" vertical="center" indent="1"/>
    </xf>
    <xf numFmtId="0" fontId="35" fillId="60" borderId="49" applyNumberFormat="0" applyProtection="0">
      <alignment horizontal="left" vertical="top" indent="1"/>
    </xf>
    <xf numFmtId="0" fontId="35" fillId="61" borderId="49" applyNumberFormat="0" applyProtection="0">
      <alignment horizontal="left" vertical="center" indent="1"/>
    </xf>
    <xf numFmtId="0" fontId="35" fillId="61" borderId="49" applyNumberFormat="0" applyProtection="0">
      <alignment horizontal="left" vertical="top" indent="1"/>
    </xf>
    <xf numFmtId="0" fontId="35" fillId="15" borderId="49" applyNumberFormat="0" applyProtection="0">
      <alignment horizontal="left" vertical="center" indent="1"/>
    </xf>
    <xf numFmtId="0" fontId="35" fillId="15" borderId="49" applyNumberFormat="0" applyProtection="0">
      <alignment horizontal="left" vertical="top" indent="1"/>
    </xf>
    <xf numFmtId="0" fontId="35" fillId="62" borderId="49" applyNumberFormat="0" applyProtection="0">
      <alignment horizontal="left" vertical="center" indent="1"/>
    </xf>
    <xf numFmtId="0" fontId="35" fillId="62" borderId="49" applyNumberFormat="0" applyProtection="0">
      <alignment horizontal="left" vertical="top" indent="1"/>
    </xf>
    <xf numFmtId="0" fontId="35" fillId="63" borderId="1" applyNumberFormat="0">
      <protection locked="0"/>
    </xf>
    <xf numFmtId="4" fontId="168" fillId="41" borderId="48" applyNumberFormat="0" applyProtection="0">
      <alignment vertical="center"/>
    </xf>
    <xf numFmtId="4" fontId="169" fillId="41" borderId="48" applyNumberFormat="0" applyProtection="0">
      <alignment vertical="center"/>
    </xf>
    <xf numFmtId="4" fontId="162" fillId="6" borderId="48" applyNumberFormat="0" applyProtection="0">
      <alignment horizontal="left" vertical="center" indent="1"/>
    </xf>
    <xf numFmtId="0" fontId="105" fillId="48" borderId="49" applyNumberFormat="0" applyProtection="0">
      <alignment horizontal="left" vertical="top" indent="1"/>
    </xf>
    <xf numFmtId="4" fontId="170" fillId="41" borderId="48" applyNumberFormat="0" applyProtection="0">
      <alignment vertical="center"/>
    </xf>
    <xf numFmtId="4" fontId="171" fillId="41" borderId="48" applyNumberFormat="0" applyProtection="0">
      <alignment vertical="center"/>
    </xf>
    <xf numFmtId="4" fontId="36" fillId="0" borderId="0" applyNumberFormat="0" applyProtection="0">
      <alignment horizontal="left" vertical="center" indent="1"/>
    </xf>
    <xf numFmtId="0" fontId="105" fillId="61" borderId="49" applyNumberFormat="0" applyProtection="0">
      <alignment horizontal="left" vertical="top" indent="1"/>
    </xf>
    <xf numFmtId="4" fontId="172" fillId="41" borderId="48" applyNumberFormat="0" applyProtection="0">
      <alignment vertical="center"/>
    </xf>
    <xf numFmtId="4" fontId="173" fillId="41" borderId="48" applyNumberFormat="0" applyProtection="0">
      <alignment vertical="center"/>
    </xf>
    <xf numFmtId="4" fontId="162" fillId="40" borderId="48" applyNumberFormat="0" applyProtection="0">
      <alignment horizontal="left" vertical="center" indent="1"/>
    </xf>
    <xf numFmtId="4" fontId="174" fillId="59" borderId="48" applyNumberFormat="0" applyProtection="0">
      <alignment horizontal="left" indent="1"/>
    </xf>
    <xf numFmtId="4" fontId="175" fillId="41" borderId="48" applyNumberFormat="0" applyProtection="0">
      <alignment vertical="center"/>
    </xf>
    <xf numFmtId="177" fontId="176" fillId="10" borderId="0" applyNumberFormat="0" applyBorder="0" applyAlignment="0" applyProtection="0"/>
    <xf numFmtId="38" fontId="87" fillId="0" borderId="50"/>
    <xf numFmtId="241" fontId="3" fillId="0" borderId="0">
      <protection locked="0"/>
    </xf>
    <xf numFmtId="38" fontId="87" fillId="0" borderId="0" applyFont="0" applyFill="0" applyBorder="0" applyAlignment="0" applyProtection="0"/>
    <xf numFmtId="40" fontId="87" fillId="0" borderId="0" applyFont="0" applyFill="0" applyBorder="0" applyAlignment="0" applyProtection="0"/>
    <xf numFmtId="177" fontId="40" fillId="64" borderId="1"/>
    <xf numFmtId="0" fontId="177" fillId="32" borderId="51" applyNumberFormat="0" applyFont="0" applyBorder="0" applyAlignment="0"/>
    <xf numFmtId="177" fontId="178" fillId="40" borderId="0">
      <alignment horizontal="center"/>
    </xf>
    <xf numFmtId="0" fontId="179" fillId="0" borderId="0" applyNumberFormat="0" applyFill="0" applyBorder="0" applyAlignment="0" applyProtection="0"/>
    <xf numFmtId="177" fontId="180" fillId="0" borderId="0">
      <alignment horizontal="right"/>
    </xf>
    <xf numFmtId="49" fontId="180" fillId="0" borderId="0">
      <alignment horizontal="center"/>
    </xf>
    <xf numFmtId="177" fontId="94" fillId="0" borderId="0">
      <alignment horizontal="right"/>
    </xf>
    <xf numFmtId="177" fontId="180" fillId="0" borderId="0">
      <alignment horizontal="left"/>
    </xf>
    <xf numFmtId="0" fontId="38" fillId="0" borderId="47" applyBorder="0" applyAlignment="0"/>
    <xf numFmtId="177" fontId="3" fillId="0" borderId="0"/>
    <xf numFmtId="49" fontId="93" fillId="0" borderId="0">
      <alignment horizontal="left" vertical="center"/>
    </xf>
    <xf numFmtId="0" fontId="3" fillId="0" borderId="0"/>
    <xf numFmtId="2" fontId="3" fillId="0" borderId="0" applyFill="0" applyBorder="0" applyProtection="0">
      <alignment horizontal="right"/>
    </xf>
    <xf numFmtId="14" fontId="181" fillId="65" borderId="52" applyProtection="0">
      <alignment horizontal="right"/>
    </xf>
    <xf numFmtId="14" fontId="181" fillId="65" borderId="52" applyProtection="0">
      <alignment horizontal="left"/>
    </xf>
    <xf numFmtId="177" fontId="181" fillId="0" borderId="0" applyNumberFormat="0" applyFill="0" applyBorder="0" applyProtection="0">
      <alignment horizontal="left"/>
    </xf>
    <xf numFmtId="177" fontId="3" fillId="0" borderId="1" applyNumberFormat="0" applyFill="0" applyProtection="0">
      <alignment horizontal="right"/>
    </xf>
    <xf numFmtId="177" fontId="182" fillId="65" borderId="0" applyNumberFormat="0" applyBorder="0" applyProtection="0">
      <alignment horizontal="left"/>
    </xf>
    <xf numFmtId="0" fontId="10" fillId="0" borderId="0" applyNumberFormat="0" applyFill="0" applyBorder="0">
      <alignment horizontal="center" wrapText="1"/>
    </xf>
    <xf numFmtId="177" fontId="74" fillId="0" borderId="17">
      <alignment horizontal="center" vertical="top" wrapText="1"/>
    </xf>
    <xf numFmtId="177" fontId="73" fillId="0" borderId="15">
      <alignment horizontal="center" vertical="top" wrapText="1"/>
    </xf>
    <xf numFmtId="177" fontId="73" fillId="0" borderId="15">
      <alignment horizontal="center" vertical="top" wrapText="1"/>
    </xf>
    <xf numFmtId="177" fontId="73" fillId="0" borderId="15">
      <alignment horizontal="center" vertical="top" wrapText="1"/>
    </xf>
    <xf numFmtId="242" fontId="183" fillId="0" borderId="0"/>
    <xf numFmtId="49" fontId="94" fillId="0" borderId="36">
      <alignment horizontal="left" vertical="center"/>
    </xf>
    <xf numFmtId="49" fontId="84" fillId="0" borderId="36" applyFill="0">
      <alignment horizontal="left" vertical="center"/>
    </xf>
    <xf numFmtId="49" fontId="94" fillId="0" borderId="36">
      <alignment horizontal="left"/>
    </xf>
    <xf numFmtId="243" fontId="93" fillId="0" borderId="0" applyNumberFormat="0">
      <alignment horizontal="right"/>
    </xf>
    <xf numFmtId="244" fontId="184" fillId="0" borderId="13" applyBorder="0" applyProtection="0">
      <alignment horizontal="right" vertical="center"/>
    </xf>
    <xf numFmtId="177" fontId="113" fillId="66" borderId="0">
      <alignment horizontal="centerContinuous" vertical="center" wrapText="1"/>
    </xf>
    <xf numFmtId="177" fontId="113" fillId="0" borderId="53">
      <alignment horizontal="left" vertical="center"/>
    </xf>
    <xf numFmtId="177" fontId="113" fillId="0" borderId="53">
      <alignment horizontal="left" vertical="center"/>
    </xf>
    <xf numFmtId="177" fontId="185" fillId="0" borderId="0" applyFill="0" applyBorder="0" applyProtection="0">
      <alignment horizontal="left"/>
    </xf>
    <xf numFmtId="177" fontId="186" fillId="0" borderId="7" applyFill="0" applyBorder="0" applyProtection="0">
      <alignment horizontal="left" vertical="top"/>
    </xf>
    <xf numFmtId="0" fontId="3" fillId="0" borderId="0" applyNumberFormat="0"/>
    <xf numFmtId="177" fontId="115" fillId="0" borderId="0">
      <alignment horizontal="left"/>
    </xf>
    <xf numFmtId="177" fontId="92" fillId="0" borderId="0">
      <alignment horizontal="left"/>
    </xf>
    <xf numFmtId="177" fontId="31" fillId="0" borderId="0">
      <alignment horizontal="left"/>
    </xf>
    <xf numFmtId="177" fontId="187" fillId="0" borderId="0">
      <alignment horizontal="left" vertical="top"/>
    </xf>
    <xf numFmtId="177" fontId="92" fillId="0" borderId="0">
      <alignment horizontal="left"/>
    </xf>
    <xf numFmtId="177" fontId="31" fillId="0" borderId="0">
      <alignment horizontal="left"/>
    </xf>
    <xf numFmtId="0" fontId="38" fillId="64" borderId="54" applyBorder="0">
      <alignment horizontal="center" vertical="center" wrapText="1"/>
    </xf>
    <xf numFmtId="2" fontId="111" fillId="0" borderId="0">
      <protection locked="0"/>
    </xf>
    <xf numFmtId="2" fontId="111" fillId="0" borderId="0">
      <protection locked="0"/>
    </xf>
    <xf numFmtId="0" fontId="188" fillId="38" borderId="19"/>
    <xf numFmtId="0" fontId="3" fillId="0" borderId="55" applyNumberFormat="0" applyFont="0" applyFill="0" applyAlignment="0" applyProtection="0"/>
    <xf numFmtId="177" fontId="189" fillId="0" borderId="0" applyNumberFormat="0" applyFill="0" applyBorder="0" applyAlignment="0" applyProtection="0"/>
    <xf numFmtId="177" fontId="190" fillId="0" borderId="56" applyNumberFormat="0" applyFill="0" applyAlignment="0" applyProtection="0"/>
    <xf numFmtId="177" fontId="191" fillId="0" borderId="57" applyNumberFormat="0" applyFill="0" applyAlignment="0" applyProtection="0"/>
    <xf numFmtId="177" fontId="192" fillId="0" borderId="58" applyNumberFormat="0" applyFill="0" applyAlignment="0" applyProtection="0"/>
    <xf numFmtId="177" fontId="192" fillId="0" borderId="58" applyNumberFormat="0" applyFill="0" applyAlignment="0" applyProtection="0"/>
    <xf numFmtId="177" fontId="192" fillId="0" borderId="0" applyNumberFormat="0" applyFill="0" applyBorder="0" applyAlignment="0" applyProtection="0"/>
    <xf numFmtId="177" fontId="21" fillId="5" borderId="59"/>
    <xf numFmtId="237" fontId="70" fillId="0" borderId="0">
      <protection locked="0"/>
    </xf>
    <xf numFmtId="218" fontId="70" fillId="0" borderId="0">
      <protection locked="0"/>
    </xf>
    <xf numFmtId="0" fontId="87" fillId="0" borderId="0"/>
    <xf numFmtId="177" fontId="193" fillId="0" borderId="60" applyNumberFormat="0" applyFill="0" applyAlignment="0" applyProtection="0"/>
    <xf numFmtId="4" fontId="3" fillId="0" borderId="0" applyFont="0" applyFill="0" applyBorder="0" applyAlignment="0" applyProtection="0"/>
    <xf numFmtId="245" fontId="3" fillId="0" borderId="0" applyFont="0" applyFill="0" applyBorder="0" applyAlignment="0" applyProtection="0"/>
    <xf numFmtId="246" fontId="3" fillId="0" borderId="0" applyFont="0" applyFill="0" applyBorder="0" applyAlignment="0" applyProtection="0"/>
    <xf numFmtId="177" fontId="194" fillId="0" borderId="0" applyNumberFormat="0" applyFill="0" applyBorder="0" applyAlignment="0" applyProtection="0"/>
    <xf numFmtId="0" fontId="55" fillId="0" borderId="0" applyNumberFormat="0" applyFill="0" applyBorder="0" applyAlignment="0" applyProtection="0"/>
    <xf numFmtId="0" fontId="195" fillId="0" borderId="0" applyNumberFormat="0" applyFont="0" applyFill="0" applyBorder="0" applyAlignment="0" applyProtection="0">
      <alignment vertical="top"/>
    </xf>
    <xf numFmtId="0" fontId="196" fillId="0" borderId="0" applyNumberFormat="0" applyFont="0" applyFill="0" applyBorder="0" applyAlignment="0" applyProtection="0">
      <alignment vertical="top"/>
    </xf>
    <xf numFmtId="0" fontId="196" fillId="0" borderId="0" applyNumberFormat="0" applyFont="0" applyFill="0" applyBorder="0" applyAlignment="0" applyProtection="0">
      <alignment vertical="top"/>
    </xf>
    <xf numFmtId="0" fontId="195" fillId="0" borderId="0" applyNumberFormat="0" applyFont="0" applyFill="0" applyBorder="0" applyAlignment="0" applyProtection="0"/>
    <xf numFmtId="0" fontId="195" fillId="0" borderId="0" applyNumberFormat="0" applyFont="0" applyFill="0" applyBorder="0" applyAlignment="0" applyProtection="0">
      <alignment horizontal="left" vertical="top"/>
    </xf>
    <xf numFmtId="0" fontId="195" fillId="0" borderId="0" applyNumberFormat="0" applyFont="0" applyFill="0" applyBorder="0" applyAlignment="0" applyProtection="0">
      <alignment horizontal="left" vertical="top"/>
    </xf>
    <xf numFmtId="0" fontId="195" fillId="0" borderId="0" applyNumberFormat="0" applyFont="0" applyFill="0" applyBorder="0" applyAlignment="0" applyProtection="0">
      <alignment horizontal="left" vertical="top"/>
    </xf>
    <xf numFmtId="0" fontId="34" fillId="0" borderId="0"/>
    <xf numFmtId="0" fontId="197" fillId="0" borderId="0">
      <alignment horizontal="left" wrapText="1"/>
    </xf>
    <xf numFmtId="0" fontId="50" fillId="0" borderId="13" applyNumberFormat="0" applyFont="0" applyFill="0" applyBorder="0" applyAlignment="0" applyProtection="0">
      <alignment horizontal="center" wrapText="1"/>
    </xf>
    <xf numFmtId="247" fontId="40" fillId="0" borderId="0" applyNumberFormat="0" applyFont="0" applyFill="0" applyBorder="0" applyAlignment="0" applyProtection="0">
      <alignment horizontal="right"/>
    </xf>
    <xf numFmtId="0" fontId="50" fillId="0" borderId="0" applyNumberFormat="0" applyFont="0" applyFill="0" applyBorder="0" applyAlignment="0" applyProtection="0">
      <alignment horizontal="left" indent="1"/>
    </xf>
    <xf numFmtId="248" fontId="50" fillId="0" borderId="0" applyNumberFormat="0" applyFont="0" applyFill="0" applyBorder="0" applyAlignment="0" applyProtection="0"/>
    <xf numFmtId="0" fontId="34" fillId="0" borderId="13" applyNumberFormat="0" applyFont="0" applyFill="0" applyAlignment="0" applyProtection="0">
      <alignment horizontal="center"/>
    </xf>
    <xf numFmtId="0" fontId="34" fillId="0" borderId="0" applyNumberFormat="0" applyFont="0" applyFill="0" applyBorder="0" applyAlignment="0" applyProtection="0">
      <alignment horizontal="left" wrapText="1" indent="1"/>
    </xf>
    <xf numFmtId="0" fontId="50" fillId="0" borderId="0" applyNumberFormat="0" applyFont="0" applyFill="0" applyBorder="0" applyAlignment="0" applyProtection="0">
      <alignment horizontal="left" indent="1"/>
    </xf>
    <xf numFmtId="0" fontId="34" fillId="0" borderId="0" applyNumberFormat="0" applyFont="0" applyFill="0" applyBorder="0" applyAlignment="0" applyProtection="0">
      <alignment horizontal="left" wrapText="1" indent="2"/>
    </xf>
    <xf numFmtId="249" fontId="34" fillId="0" borderId="0">
      <alignment horizontal="right"/>
    </xf>
    <xf numFmtId="49" fontId="93" fillId="0" borderId="36">
      <alignment horizontal="left"/>
    </xf>
    <xf numFmtId="177" fontId="113" fillId="0" borderId="40">
      <alignment horizontal="left"/>
    </xf>
    <xf numFmtId="177" fontId="113" fillId="0" borderId="40">
      <alignment horizontal="left"/>
    </xf>
    <xf numFmtId="177" fontId="113" fillId="0" borderId="40">
      <alignment horizontal="left"/>
    </xf>
    <xf numFmtId="177" fontId="115" fillId="0" borderId="0">
      <alignment horizontal="left" vertical="center"/>
    </xf>
    <xf numFmtId="49" fontId="180" fillId="0" borderId="36">
      <alignment horizontal="left"/>
    </xf>
    <xf numFmtId="177" fontId="109" fillId="0" borderId="0">
      <alignment horizontal="center"/>
    </xf>
    <xf numFmtId="1" fontId="198" fillId="0" borderId="5" applyFont="0" applyFill="0" applyBorder="0" applyAlignment="0" applyProtection="0">
      <alignment horizontal="left"/>
    </xf>
    <xf numFmtId="177" fontId="199" fillId="67" borderId="61" applyNumberFormat="0" applyAlignment="0" applyProtection="0"/>
    <xf numFmtId="177" fontId="123" fillId="0" borderId="0" applyNumberFormat="0" applyFill="0" applyBorder="0" applyAlignment="0" applyProtection="0"/>
    <xf numFmtId="0" fontId="26" fillId="0" borderId="0" applyProtection="0"/>
    <xf numFmtId="179" fontId="26" fillId="0" borderId="0" applyProtection="0"/>
    <xf numFmtId="0" fontId="27" fillId="0" borderId="0" applyProtection="0"/>
    <xf numFmtId="0" fontId="28" fillId="0" borderId="0" applyProtection="0"/>
    <xf numFmtId="0" fontId="26" fillId="0" borderId="14" applyProtection="0"/>
    <xf numFmtId="177" fontId="40" fillId="0" borderId="0"/>
    <xf numFmtId="10" fontId="26" fillId="0" borderId="0" applyProtection="0"/>
    <xf numFmtId="0" fontId="26" fillId="0" borderId="0"/>
    <xf numFmtId="2" fontId="26" fillId="0" borderId="0" applyProtection="0"/>
    <xf numFmtId="4" fontId="26" fillId="0" borderId="0" applyProtection="0"/>
    <xf numFmtId="0" fontId="200" fillId="0" borderId="0"/>
    <xf numFmtId="0" fontId="1" fillId="0" borderId="0"/>
    <xf numFmtId="40" fontId="33" fillId="0" borderId="0" applyFont="0" applyFill="0" applyBorder="0" applyAlignment="0" applyProtection="0"/>
    <xf numFmtId="0" fontId="1" fillId="0" borderId="0"/>
    <xf numFmtId="0" fontId="1" fillId="0" borderId="0"/>
    <xf numFmtId="9" fontId="1" fillId="0" borderId="0" applyFont="0" applyFill="0" applyBorder="0" applyAlignment="0" applyProtection="0"/>
  </cellStyleXfs>
  <cellXfs count="510">
    <xf numFmtId="169" fontId="0" fillId="0" borderId="0" xfId="0"/>
    <xf numFmtId="0" fontId="2" fillId="2" borderId="0" xfId="0" applyNumberFormat="1" applyFont="1" applyFill="1" applyBorder="1" applyAlignment="1">
      <alignment vertical="center"/>
    </xf>
    <xf numFmtId="170" fontId="3" fillId="0" borderId="1" xfId="0" applyNumberFormat="1" applyFont="1" applyFill="1" applyBorder="1" applyAlignment="1">
      <alignment horizontal="center" vertical="center"/>
    </xf>
    <xf numFmtId="0" fontId="4" fillId="3" borderId="0" xfId="0" applyNumberFormat="1" applyFont="1" applyFill="1" applyAlignment="1">
      <alignment vertical="center"/>
    </xf>
    <xf numFmtId="0" fontId="2" fillId="2" borderId="0" xfId="0" applyNumberFormat="1" applyFont="1" applyFill="1" applyAlignment="1">
      <alignment vertical="center"/>
    </xf>
    <xf numFmtId="3" fontId="5" fillId="2" borderId="0" xfId="0" applyNumberFormat="1" applyFont="1" applyFill="1" applyBorder="1" applyAlignment="1">
      <alignment horizontal="right" vertical="center"/>
    </xf>
    <xf numFmtId="0" fontId="6" fillId="2" borderId="0" xfId="0" applyNumberFormat="1" applyFont="1" applyFill="1" applyBorder="1" applyAlignment="1">
      <alignment vertical="center"/>
    </xf>
    <xf numFmtId="3" fontId="7" fillId="2" borderId="0" xfId="0" applyNumberFormat="1" applyFont="1" applyFill="1" applyBorder="1" applyAlignment="1">
      <alignment horizontal="right" vertical="center"/>
    </xf>
    <xf numFmtId="170" fontId="7" fillId="2" borderId="0" xfId="0" applyNumberFormat="1" applyFont="1" applyFill="1" applyBorder="1" applyAlignment="1">
      <alignment horizontal="left" vertical="center"/>
    </xf>
    <xf numFmtId="170" fontId="3" fillId="2" borderId="0" xfId="0" applyNumberFormat="1" applyFont="1" applyFill="1" applyBorder="1" applyAlignment="1">
      <alignment horizontal="left" vertical="center"/>
    </xf>
    <xf numFmtId="170" fontId="7" fillId="2" borderId="0" xfId="0" applyNumberFormat="1" applyFont="1" applyFill="1" applyAlignment="1">
      <alignment horizontal="center" vertical="center"/>
    </xf>
    <xf numFmtId="170" fontId="7" fillId="2" borderId="0" xfId="0" applyNumberFormat="1" applyFont="1" applyFill="1" applyBorder="1" applyAlignment="1">
      <alignment vertical="center"/>
    </xf>
    <xf numFmtId="0" fontId="7" fillId="2" borderId="0" xfId="0" applyNumberFormat="1" applyFont="1" applyFill="1" applyAlignment="1">
      <alignment vertical="center"/>
    </xf>
    <xf numFmtId="169" fontId="5" fillId="0" borderId="0" xfId="0" applyFont="1" applyAlignment="1">
      <alignment vertical="center"/>
    </xf>
    <xf numFmtId="169" fontId="7" fillId="0" borderId="0" xfId="0" applyFont="1" applyAlignment="1">
      <alignment horizontal="center" vertical="center"/>
    </xf>
    <xf numFmtId="169" fontId="7" fillId="0" borderId="0" xfId="0" applyFont="1" applyAlignment="1">
      <alignment vertical="center"/>
    </xf>
    <xf numFmtId="0" fontId="4" fillId="3" borderId="2" xfId="2" applyNumberFormat="1" applyFont="1" applyFill="1" applyBorder="1" applyAlignment="1">
      <alignment vertical="center"/>
    </xf>
    <xf numFmtId="0" fontId="4" fillId="3" borderId="3" xfId="2" applyNumberFormat="1" applyFont="1" applyFill="1" applyBorder="1" applyAlignment="1">
      <alignment vertical="center"/>
    </xf>
    <xf numFmtId="0" fontId="4" fillId="3" borderId="4" xfId="2" applyNumberFormat="1" applyFont="1" applyFill="1" applyBorder="1" applyAlignment="1">
      <alignment vertical="center"/>
    </xf>
    <xf numFmtId="169" fontId="7" fillId="0" borderId="5" xfId="0" applyFont="1" applyBorder="1" applyAlignment="1">
      <alignment horizontal="left" vertical="center"/>
    </xf>
    <xf numFmtId="169" fontId="7" fillId="0" borderId="6" xfId="0" applyFont="1" applyBorder="1" applyAlignment="1">
      <alignment horizontal="left" vertical="center"/>
    </xf>
    <xf numFmtId="0" fontId="3" fillId="0" borderId="1" xfId="0" applyNumberFormat="1" applyFont="1" applyFill="1" applyBorder="1" applyAlignment="1">
      <alignment horizontal="center" vertical="center"/>
    </xf>
    <xf numFmtId="169" fontId="7" fillId="0" borderId="6" xfId="0" applyFont="1" applyBorder="1" applyAlignment="1">
      <alignment vertical="center"/>
    </xf>
    <xf numFmtId="1" fontId="8" fillId="4" borderId="1" xfId="0" applyNumberFormat="1" applyFont="1" applyFill="1" applyBorder="1" applyAlignment="1">
      <alignment horizontal="center" vertical="center"/>
    </xf>
    <xf numFmtId="169" fontId="2" fillId="0" borderId="7" xfId="0" applyFont="1" applyBorder="1" applyAlignment="1">
      <alignment horizontal="left" vertical="center"/>
    </xf>
    <xf numFmtId="169" fontId="7" fillId="0" borderId="0" xfId="0" applyFont="1" applyBorder="1" applyAlignment="1">
      <alignment horizontal="left" vertical="center"/>
    </xf>
    <xf numFmtId="171" fontId="9" fillId="4" borderId="1" xfId="0" applyNumberFormat="1" applyFont="1" applyFill="1" applyBorder="1" applyAlignment="1">
      <alignment horizontal="center" vertical="center"/>
    </xf>
    <xf numFmtId="169" fontId="7" fillId="0" borderId="0" xfId="0" applyFont="1" applyBorder="1" applyAlignment="1">
      <alignment vertical="center"/>
    </xf>
    <xf numFmtId="169" fontId="7" fillId="0" borderId="1" xfId="0" applyFont="1" applyBorder="1" applyAlignment="1">
      <alignment horizontal="center" vertical="center"/>
    </xf>
    <xf numFmtId="169" fontId="2" fillId="0" borderId="5" xfId="0" applyFont="1" applyBorder="1" applyAlignment="1">
      <alignment horizontal="left" vertical="center"/>
    </xf>
    <xf numFmtId="169" fontId="7" fillId="0" borderId="8" xfId="0" applyFont="1" applyBorder="1" applyAlignment="1">
      <alignment horizontal="left" vertical="center"/>
    </xf>
    <xf numFmtId="169" fontId="7" fillId="0" borderId="9" xfId="0" applyFont="1" applyBorder="1" applyAlignment="1">
      <alignment vertical="center"/>
    </xf>
    <xf numFmtId="169" fontId="7" fillId="0" borderId="7" xfId="0" applyFont="1" applyBorder="1" applyAlignment="1">
      <alignment horizontal="left" vertical="center"/>
    </xf>
    <xf numFmtId="0" fontId="3" fillId="0" borderId="10" xfId="0" applyNumberFormat="1" applyFont="1" applyFill="1" applyBorder="1" applyAlignment="1">
      <alignment horizontal="center" vertical="center"/>
    </xf>
    <xf numFmtId="9" fontId="3" fillId="0" borderId="4" xfId="0" applyNumberFormat="1" applyFont="1" applyFill="1" applyBorder="1" applyAlignment="1">
      <alignment horizontal="center" vertical="center"/>
    </xf>
    <xf numFmtId="9" fontId="8" fillId="4" borderId="1" xfId="1" applyFont="1" applyFill="1" applyBorder="1" applyAlignment="1">
      <alignment horizontal="center" vertical="center"/>
    </xf>
    <xf numFmtId="169" fontId="7" fillId="0" borderId="11" xfId="0" applyFont="1" applyBorder="1" applyAlignment="1">
      <alignment horizontal="left" vertical="center"/>
    </xf>
    <xf numFmtId="169" fontId="7" fillId="0" borderId="12" xfId="0" applyFont="1" applyBorder="1" applyAlignment="1">
      <alignment horizontal="left" vertical="center"/>
    </xf>
    <xf numFmtId="169" fontId="7" fillId="2" borderId="0" xfId="0" applyFont="1" applyFill="1" applyAlignment="1">
      <alignment vertical="center"/>
    </xf>
    <xf numFmtId="170" fontId="3" fillId="2" borderId="9" xfId="2" applyNumberFormat="1" applyFont="1" applyFill="1" applyBorder="1" applyAlignment="1">
      <alignment horizontal="left" vertical="center"/>
    </xf>
    <xf numFmtId="170" fontId="3" fillId="2" borderId="0" xfId="2" applyNumberFormat="1" applyFont="1" applyFill="1" applyBorder="1" applyAlignment="1">
      <alignment horizontal="left" vertical="center"/>
    </xf>
    <xf numFmtId="9" fontId="3" fillId="0" borderId="1" xfId="0" applyNumberFormat="1" applyFont="1" applyFill="1" applyBorder="1" applyAlignment="1">
      <alignment horizontal="center" vertical="center"/>
    </xf>
    <xf numFmtId="9" fontId="8" fillId="4" borderId="1" xfId="0" applyNumberFormat="1" applyFont="1" applyFill="1" applyBorder="1" applyAlignment="1">
      <alignment horizontal="center" vertical="center"/>
    </xf>
    <xf numFmtId="170" fontId="3" fillId="2" borderId="8" xfId="2" applyNumberFormat="1" applyFont="1" applyFill="1" applyBorder="1" applyAlignment="1">
      <alignment horizontal="left" vertical="center"/>
    </xf>
    <xf numFmtId="169" fontId="7" fillId="0" borderId="7" xfId="0" applyFont="1" applyFill="1" applyBorder="1" applyAlignment="1">
      <alignment horizontal="left" vertical="center"/>
    </xf>
    <xf numFmtId="9" fontId="3" fillId="0" borderId="1" xfId="1" applyFont="1" applyFill="1" applyBorder="1" applyAlignment="1">
      <alignment horizontal="center" vertical="center"/>
    </xf>
    <xf numFmtId="0" fontId="3" fillId="0" borderId="1" xfId="1" applyNumberFormat="1" applyFont="1" applyFill="1" applyBorder="1" applyAlignment="1">
      <alignment horizontal="center" vertical="center"/>
    </xf>
    <xf numFmtId="0" fontId="8" fillId="4" borderId="1" xfId="1" applyNumberFormat="1" applyFont="1" applyFill="1" applyBorder="1" applyAlignment="1">
      <alignment horizontal="center" vertical="center"/>
    </xf>
    <xf numFmtId="169" fontId="7" fillId="0" borderId="0" xfId="0" applyFont="1" applyAlignment="1">
      <alignment horizontal="right" vertical="center"/>
    </xf>
    <xf numFmtId="9" fontId="7" fillId="0" borderId="0" xfId="0" applyNumberFormat="1" applyFont="1" applyAlignment="1">
      <alignment vertical="center"/>
    </xf>
    <xf numFmtId="169" fontId="2" fillId="0" borderId="5" xfId="0" applyFont="1" applyFill="1" applyBorder="1" applyAlignment="1">
      <alignment horizontal="left" vertical="center"/>
    </xf>
    <xf numFmtId="0" fontId="10" fillId="0" borderId="1" xfId="0" applyNumberFormat="1" applyFont="1" applyFill="1" applyBorder="1" applyAlignment="1">
      <alignment horizontal="center" vertical="center"/>
    </xf>
    <xf numFmtId="169" fontId="2" fillId="0" borderId="7" xfId="0" applyFont="1" applyFill="1" applyBorder="1" applyAlignment="1">
      <alignment horizontal="left" vertical="center"/>
    </xf>
    <xf numFmtId="9" fontId="3" fillId="0" borderId="9" xfId="0" applyNumberFormat="1" applyFont="1" applyFill="1" applyBorder="1" applyAlignment="1">
      <alignment horizontal="center" vertical="center"/>
    </xf>
    <xf numFmtId="2" fontId="3" fillId="0" borderId="1" xfId="0" applyNumberFormat="1" applyFont="1" applyFill="1" applyBorder="1" applyAlignment="1">
      <alignment horizontal="center" vertical="center"/>
    </xf>
    <xf numFmtId="169" fontId="3" fillId="0" borderId="9" xfId="0" applyFont="1" applyBorder="1" applyAlignment="1">
      <alignment horizontal="center" vertical="center"/>
    </xf>
    <xf numFmtId="169" fontId="7" fillId="0" borderId="0" xfId="0" applyFont="1" applyFill="1" applyBorder="1" applyAlignment="1">
      <alignment horizontal="left" vertical="center"/>
    </xf>
    <xf numFmtId="9" fontId="7" fillId="0" borderId="0" xfId="1" applyFont="1" applyBorder="1" applyAlignment="1">
      <alignment vertical="center"/>
    </xf>
    <xf numFmtId="4" fontId="8" fillId="4" borderId="1" xfId="0" applyNumberFormat="1" applyFont="1" applyFill="1" applyBorder="1" applyAlignment="1">
      <alignment horizontal="center" vertical="center"/>
    </xf>
    <xf numFmtId="169" fontId="11" fillId="0" borderId="0" xfId="0" applyFont="1" applyAlignment="1">
      <alignment vertical="center"/>
    </xf>
    <xf numFmtId="2" fontId="7" fillId="0" borderId="0" xfId="1" applyNumberFormat="1" applyFont="1" applyBorder="1" applyAlignment="1">
      <alignment vertical="center"/>
    </xf>
    <xf numFmtId="173" fontId="7" fillId="0" borderId="0" xfId="0" applyNumberFormat="1" applyFont="1" applyAlignment="1">
      <alignment vertical="center"/>
    </xf>
    <xf numFmtId="169" fontId="7" fillId="0" borderId="0" xfId="0" applyFont="1" applyBorder="1" applyAlignment="1">
      <alignment horizontal="center" vertical="center" textRotation="90"/>
    </xf>
    <xf numFmtId="170" fontId="3" fillId="2" borderId="6" xfId="2" applyNumberFormat="1" applyFont="1" applyFill="1" applyBorder="1" applyAlignment="1">
      <alignment horizontal="left" vertical="center"/>
    </xf>
    <xf numFmtId="9" fontId="3" fillId="0" borderId="10" xfId="0" applyNumberFormat="1" applyFont="1" applyFill="1" applyBorder="1" applyAlignment="1">
      <alignment horizontal="center" vertical="center"/>
    </xf>
    <xf numFmtId="0" fontId="3" fillId="0" borderId="1" xfId="0" applyNumberFormat="1" applyFont="1" applyFill="1" applyBorder="1" applyAlignment="1">
      <alignment horizontal="center" vertical="center" wrapText="1"/>
    </xf>
    <xf numFmtId="0" fontId="8" fillId="4" borderId="1" xfId="0" applyNumberFormat="1" applyFont="1" applyFill="1" applyBorder="1" applyAlignment="1">
      <alignment horizontal="center" vertical="center"/>
    </xf>
    <xf numFmtId="169" fontId="2" fillId="0" borderId="2" xfId="0" applyFont="1" applyBorder="1" applyAlignment="1">
      <alignment horizontal="left" vertical="center"/>
    </xf>
    <xf numFmtId="170" fontId="3" fillId="2" borderId="4" xfId="2" applyNumberFormat="1" applyFont="1" applyFill="1" applyBorder="1" applyAlignment="1">
      <alignment horizontal="left" vertical="center"/>
    </xf>
    <xf numFmtId="169" fontId="7" fillId="0" borderId="0" xfId="0" applyFont="1" applyBorder="1" applyAlignment="1">
      <alignment horizontal="right" vertical="center"/>
    </xf>
    <xf numFmtId="170" fontId="3" fillId="2" borderId="12" xfId="2" applyNumberFormat="1" applyFont="1" applyFill="1" applyBorder="1" applyAlignment="1">
      <alignment horizontal="left" vertical="center"/>
    </xf>
    <xf numFmtId="169" fontId="7" fillId="0" borderId="13" xfId="0" applyFont="1" applyBorder="1" applyAlignment="1">
      <alignment vertical="center"/>
    </xf>
    <xf numFmtId="9" fontId="8" fillId="4" borderId="1" xfId="0" applyNumberFormat="1" applyFont="1" applyFill="1" applyBorder="1" applyAlignment="1">
      <alignment horizontal="center" vertical="center" wrapText="1"/>
    </xf>
    <xf numFmtId="169" fontId="7" fillId="0" borderId="0" xfId="0" applyFont="1" applyAlignment="1">
      <alignment horizontal="left" vertical="center"/>
    </xf>
    <xf numFmtId="0" fontId="8" fillId="0" borderId="0" xfId="0" applyNumberFormat="1" applyFont="1" applyFill="1" applyBorder="1" applyAlignment="1">
      <alignment horizontal="right" vertical="center" wrapText="1"/>
    </xf>
    <xf numFmtId="169" fontId="2" fillId="0" borderId="0" xfId="0" applyFont="1" applyBorder="1" applyAlignment="1">
      <alignment horizontal="left" vertical="center"/>
    </xf>
    <xf numFmtId="169" fontId="7" fillId="0" borderId="5" xfId="0" applyFont="1" applyFill="1" applyBorder="1" applyAlignment="1">
      <alignment horizontal="left" vertical="center"/>
    </xf>
    <xf numFmtId="169" fontId="5" fillId="0" borderId="0" xfId="0" applyFont="1" applyBorder="1" applyAlignment="1">
      <alignment vertical="center"/>
    </xf>
    <xf numFmtId="169" fontId="7" fillId="0" borderId="11" xfId="0" applyFont="1" applyFill="1" applyBorder="1" applyAlignment="1">
      <alignment horizontal="left" vertical="center"/>
    </xf>
    <xf numFmtId="169" fontId="5" fillId="0" borderId="0" xfId="0" applyFont="1" applyAlignment="1">
      <alignment horizontal="center" vertical="center"/>
    </xf>
    <xf numFmtId="169" fontId="7" fillId="0" borderId="0" xfId="0" applyFont="1" applyFill="1" applyAlignment="1">
      <alignment horizontal="center" vertical="center"/>
    </xf>
    <xf numFmtId="169" fontId="2" fillId="0" borderId="0" xfId="0" applyFont="1" applyFill="1" applyAlignment="1">
      <alignment vertical="center"/>
    </xf>
    <xf numFmtId="169" fontId="7" fillId="0" borderId="0" xfId="0" applyFont="1" applyFill="1" applyAlignment="1">
      <alignment vertical="center"/>
    </xf>
    <xf numFmtId="173" fontId="7" fillId="0" borderId="0" xfId="0" applyNumberFormat="1" applyFont="1" applyFill="1" applyBorder="1" applyAlignment="1">
      <alignment horizontal="center" vertical="center"/>
    </xf>
    <xf numFmtId="169" fontId="7" fillId="0" borderId="0" xfId="0" applyFont="1" applyFill="1" applyBorder="1" applyAlignment="1">
      <alignment vertical="center"/>
    </xf>
    <xf numFmtId="170" fontId="12" fillId="4" borderId="5" xfId="0" applyNumberFormat="1" applyFont="1" applyFill="1" applyBorder="1" applyAlignment="1">
      <alignment vertical="center"/>
    </xf>
    <xf numFmtId="170" fontId="12" fillId="4" borderId="6" xfId="0" applyNumberFormat="1" applyFont="1" applyFill="1" applyBorder="1" applyAlignment="1">
      <alignment vertical="center"/>
    </xf>
    <xf numFmtId="170" fontId="12" fillId="4" borderId="8" xfId="0" applyNumberFormat="1" applyFont="1" applyFill="1" applyBorder="1" applyAlignment="1">
      <alignment vertical="center"/>
    </xf>
    <xf numFmtId="4" fontId="7" fillId="2" borderId="0" xfId="0" applyNumberFormat="1" applyFont="1" applyFill="1" applyBorder="1" applyAlignment="1">
      <alignment vertical="center"/>
    </xf>
    <xf numFmtId="3" fontId="7" fillId="2" borderId="0" xfId="0" applyNumberFormat="1" applyFont="1" applyFill="1" applyBorder="1" applyAlignment="1">
      <alignment vertical="center"/>
    </xf>
    <xf numFmtId="9" fontId="7" fillId="2" borderId="0" xfId="0" applyNumberFormat="1" applyFont="1" applyFill="1" applyBorder="1" applyAlignment="1">
      <alignment vertical="center"/>
    </xf>
    <xf numFmtId="169" fontId="7" fillId="2" borderId="0" xfId="0" applyFont="1" applyFill="1" applyBorder="1" applyAlignment="1">
      <alignment vertical="center"/>
    </xf>
    <xf numFmtId="9" fontId="7" fillId="0" borderId="0" xfId="1" applyFont="1" applyAlignment="1">
      <alignment vertical="center"/>
    </xf>
    <xf numFmtId="169" fontId="7" fillId="2" borderId="0" xfId="0" applyFont="1" applyFill="1" applyBorder="1" applyAlignment="1">
      <alignment horizontal="left" vertical="center"/>
    </xf>
    <xf numFmtId="170" fontId="12" fillId="4" borderId="7" xfId="0" applyNumberFormat="1" applyFont="1" applyFill="1" applyBorder="1" applyAlignment="1">
      <alignment vertical="center"/>
    </xf>
    <xf numFmtId="170" fontId="12" fillId="4" borderId="0" xfId="0" applyNumberFormat="1" applyFont="1" applyFill="1" applyBorder="1" applyAlignment="1">
      <alignment vertical="center"/>
    </xf>
    <xf numFmtId="170" fontId="12" fillId="4" borderId="9" xfId="0" applyNumberFormat="1" applyFont="1" applyFill="1" applyBorder="1" applyAlignment="1">
      <alignment vertical="center"/>
    </xf>
    <xf numFmtId="170" fontId="12" fillId="4" borderId="11" xfId="0" applyNumberFormat="1" applyFont="1" applyFill="1" applyBorder="1" applyAlignment="1">
      <alignment vertical="center"/>
    </xf>
    <xf numFmtId="170" fontId="12" fillId="4" borderId="13" xfId="0" applyNumberFormat="1" applyFont="1" applyFill="1" applyBorder="1" applyAlignment="1">
      <alignment vertical="center"/>
    </xf>
    <xf numFmtId="170" fontId="12" fillId="4" borderId="12" xfId="0" applyNumberFormat="1" applyFont="1" applyFill="1" applyBorder="1" applyAlignment="1">
      <alignment vertical="center"/>
    </xf>
    <xf numFmtId="3" fontId="7" fillId="0" borderId="0" xfId="0" applyNumberFormat="1" applyFont="1" applyBorder="1" applyAlignment="1">
      <alignment vertical="center"/>
    </xf>
    <xf numFmtId="3" fontId="7" fillId="0" borderId="0" xfId="0" applyNumberFormat="1" applyFont="1" applyFill="1" applyAlignment="1">
      <alignment horizontal="center" vertical="center"/>
    </xf>
    <xf numFmtId="169" fontId="5" fillId="2" borderId="0" xfId="0" applyFont="1" applyFill="1" applyAlignment="1">
      <alignment vertical="center"/>
    </xf>
    <xf numFmtId="9" fontId="7" fillId="2" borderId="0" xfId="1" applyFont="1" applyFill="1" applyAlignment="1">
      <alignment vertical="center"/>
    </xf>
    <xf numFmtId="171" fontId="7" fillId="0" borderId="0" xfId="0" applyNumberFormat="1" applyFont="1" applyFill="1" applyBorder="1" applyAlignment="1">
      <alignment horizontal="left" vertical="center"/>
    </xf>
    <xf numFmtId="171" fontId="7" fillId="0" borderId="0" xfId="0" applyNumberFormat="1" applyFont="1" applyFill="1" applyBorder="1" applyAlignment="1">
      <alignment horizontal="right" vertical="center"/>
    </xf>
    <xf numFmtId="169" fontId="7" fillId="0" borderId="0" xfId="0" applyFont="1" applyFill="1" applyBorder="1" applyAlignment="1">
      <alignment horizontal="left" vertical="center" indent="1"/>
    </xf>
    <xf numFmtId="170" fontId="13" fillId="2" borderId="0" xfId="0" applyNumberFormat="1" applyFont="1" applyFill="1" applyAlignment="1">
      <alignment vertical="center"/>
    </xf>
    <xf numFmtId="170" fontId="7" fillId="2" borderId="14" xfId="0" applyNumberFormat="1" applyFont="1" applyFill="1" applyBorder="1" applyAlignment="1">
      <alignment horizontal="left" vertical="center"/>
    </xf>
    <xf numFmtId="170" fontId="7" fillId="2" borderId="14" xfId="0" applyNumberFormat="1" applyFont="1" applyFill="1" applyBorder="1" applyAlignment="1">
      <alignment vertical="center"/>
    </xf>
    <xf numFmtId="9" fontId="7" fillId="2" borderId="0" xfId="1" applyFont="1" applyFill="1" applyBorder="1" applyAlignment="1">
      <alignment horizontal="right" vertical="center"/>
    </xf>
    <xf numFmtId="9" fontId="7" fillId="2" borderId="0" xfId="1" applyFont="1" applyFill="1" applyBorder="1" applyAlignment="1">
      <alignment vertical="center"/>
    </xf>
    <xf numFmtId="170" fontId="7" fillId="2" borderId="1" xfId="0" applyNumberFormat="1" applyFont="1" applyFill="1" applyBorder="1" applyAlignment="1">
      <alignment horizontal="center" vertical="center"/>
    </xf>
    <xf numFmtId="169" fontId="7" fillId="2" borderId="0" xfId="0" applyFont="1" applyFill="1" applyAlignment="1">
      <alignment horizontal="center" vertical="center"/>
    </xf>
    <xf numFmtId="0" fontId="4" fillId="2" borderId="0" xfId="2" applyNumberFormat="1" applyFont="1" applyFill="1" applyAlignment="1">
      <alignment vertical="center"/>
    </xf>
    <xf numFmtId="3" fontId="7" fillId="0" borderId="0" xfId="0" applyNumberFormat="1" applyFont="1" applyFill="1" applyBorder="1" applyAlignment="1">
      <alignment vertical="center"/>
    </xf>
    <xf numFmtId="174" fontId="7" fillId="0" borderId="0" xfId="0" applyNumberFormat="1" applyFont="1" applyFill="1" applyBorder="1" applyAlignment="1">
      <alignment horizontal="right" vertical="center"/>
    </xf>
    <xf numFmtId="175" fontId="7" fillId="2" borderId="0" xfId="0" applyNumberFormat="1" applyFont="1" applyFill="1" applyBorder="1" applyAlignment="1">
      <alignment vertical="center"/>
    </xf>
    <xf numFmtId="169" fontId="14" fillId="2" borderId="0" xfId="0" applyFont="1" applyFill="1" applyBorder="1" applyAlignment="1">
      <alignment vertical="center"/>
    </xf>
    <xf numFmtId="169" fontId="7" fillId="0" borderId="0" xfId="0" applyFont="1" applyBorder="1" applyAlignment="1">
      <alignment horizontal="center" vertical="center"/>
    </xf>
    <xf numFmtId="169" fontId="2" fillId="0" borderId="0" xfId="0" applyFont="1" applyAlignment="1">
      <alignment vertical="center"/>
    </xf>
    <xf numFmtId="170" fontId="7" fillId="0" borderId="0" xfId="0" applyNumberFormat="1" applyFont="1" applyFill="1" applyBorder="1" applyAlignment="1">
      <alignment vertical="center"/>
    </xf>
    <xf numFmtId="169" fontId="7" fillId="0" borderId="0" xfId="0" applyNumberFormat="1" applyFont="1" applyBorder="1" applyAlignment="1">
      <alignment vertical="center"/>
    </xf>
    <xf numFmtId="169" fontId="2" fillId="2" borderId="6" xfId="0" applyFont="1" applyFill="1" applyBorder="1" applyAlignment="1">
      <alignment vertical="center"/>
    </xf>
    <xf numFmtId="170" fontId="7" fillId="2" borderId="6" xfId="0" applyNumberFormat="1" applyFont="1" applyFill="1" applyBorder="1" applyAlignment="1">
      <alignment vertical="center"/>
    </xf>
    <xf numFmtId="169" fontId="2" fillId="0" borderId="6" xfId="0" applyFont="1" applyBorder="1" applyAlignment="1">
      <alignment vertical="center"/>
    </xf>
    <xf numFmtId="170" fontId="10" fillId="0" borderId="0" xfId="0" applyNumberFormat="1" applyFont="1" applyFill="1" applyBorder="1" applyAlignment="1">
      <alignment vertical="center"/>
    </xf>
    <xf numFmtId="170" fontId="7" fillId="0" borderId="0" xfId="0" applyNumberFormat="1" applyFont="1" applyFill="1" applyBorder="1" applyAlignment="1">
      <alignment horizontal="right" vertical="center"/>
    </xf>
    <xf numFmtId="169" fontId="15" fillId="2" borderId="0" xfId="0" applyFont="1" applyFill="1" applyBorder="1" applyAlignment="1">
      <alignment vertical="center"/>
    </xf>
    <xf numFmtId="9" fontId="7" fillId="0" borderId="0" xfId="0" applyNumberFormat="1" applyFont="1" applyBorder="1" applyAlignment="1">
      <alignment vertical="center"/>
    </xf>
    <xf numFmtId="3" fontId="7" fillId="0" borderId="0" xfId="0" applyNumberFormat="1" applyFont="1" applyFill="1" applyAlignment="1">
      <alignment vertical="center"/>
    </xf>
    <xf numFmtId="9" fontId="9" fillId="0" borderId="1" xfId="1" applyFont="1" applyBorder="1" applyAlignment="1">
      <alignment horizontal="center" vertical="center"/>
    </xf>
    <xf numFmtId="169" fontId="7" fillId="0" borderId="0" xfId="0" applyFont="1" applyAlignment="1">
      <alignment horizontal="left" vertical="center" indent="1"/>
    </xf>
    <xf numFmtId="3" fontId="7" fillId="0" borderId="0" xfId="0" applyNumberFormat="1" applyFont="1" applyFill="1" applyAlignment="1">
      <alignment horizontal="left" vertical="center"/>
    </xf>
    <xf numFmtId="169" fontId="2" fillId="0" borderId="0" xfId="0" applyFont="1" applyBorder="1" applyAlignment="1">
      <alignment vertical="center"/>
    </xf>
    <xf numFmtId="169" fontId="16" fillId="0" borderId="6" xfId="0" applyFont="1" applyFill="1" applyBorder="1" applyAlignment="1">
      <alignment vertical="center"/>
    </xf>
    <xf numFmtId="169" fontId="16" fillId="0" borderId="0" xfId="0" applyFont="1" applyFill="1" applyBorder="1" applyAlignment="1">
      <alignment vertical="center"/>
    </xf>
    <xf numFmtId="9" fontId="17" fillId="0" borderId="0" xfId="1" applyFont="1" applyAlignment="1">
      <alignment horizontal="center" vertical="center"/>
    </xf>
    <xf numFmtId="169" fontId="9" fillId="0" borderId="1" xfId="0" applyFont="1" applyBorder="1" applyAlignment="1">
      <alignment horizontal="center" vertical="center"/>
    </xf>
    <xf numFmtId="169" fontId="2" fillId="2" borderId="0" xfId="0" applyFont="1" applyFill="1" applyBorder="1" applyAlignment="1">
      <alignment vertical="center"/>
    </xf>
    <xf numFmtId="170" fontId="7" fillId="0" borderId="0" xfId="0" applyNumberFormat="1" applyFont="1" applyFill="1" applyBorder="1" applyAlignment="1">
      <alignment horizontal="left" vertical="center"/>
    </xf>
    <xf numFmtId="3" fontId="7" fillId="2" borderId="0" xfId="0" applyNumberFormat="1" applyFont="1" applyFill="1" applyAlignment="1">
      <alignment vertical="center"/>
    </xf>
    <xf numFmtId="3" fontId="2" fillId="0" borderId="0" xfId="0" applyNumberFormat="1" applyFont="1" applyFill="1" applyAlignment="1">
      <alignment vertical="center"/>
    </xf>
    <xf numFmtId="170" fontId="7" fillId="0" borderId="0" xfId="0" applyNumberFormat="1" applyFont="1" applyFill="1" applyBorder="1" applyAlignment="1">
      <alignment horizontal="left" vertical="center" indent="1"/>
    </xf>
    <xf numFmtId="176" fontId="7" fillId="0" borderId="0" xfId="0" applyNumberFormat="1" applyFont="1" applyAlignment="1">
      <alignment vertical="center"/>
    </xf>
    <xf numFmtId="170" fontId="7" fillId="0" borderId="0" xfId="0" applyNumberFormat="1" applyFont="1" applyFill="1" applyBorder="1" applyAlignment="1">
      <alignment horizontal="center" vertical="center"/>
    </xf>
    <xf numFmtId="170" fontId="2" fillId="0" borderId="0" xfId="0" applyNumberFormat="1" applyFont="1" applyFill="1" applyBorder="1" applyAlignment="1">
      <alignment horizontal="left" vertical="center"/>
    </xf>
    <xf numFmtId="171" fontId="7" fillId="0" borderId="6" xfId="0" applyNumberFormat="1" applyFont="1" applyFill="1" applyBorder="1" applyAlignment="1">
      <alignment horizontal="right" vertical="center"/>
    </xf>
    <xf numFmtId="170" fontId="2" fillId="0" borderId="6" xfId="0" applyNumberFormat="1" applyFont="1" applyFill="1" applyBorder="1" applyAlignment="1">
      <alignment vertical="center"/>
    </xf>
    <xf numFmtId="170" fontId="2" fillId="0" borderId="0" xfId="0" applyNumberFormat="1" applyFont="1" applyFill="1" applyBorder="1" applyAlignment="1">
      <alignment vertical="center"/>
    </xf>
    <xf numFmtId="9" fontId="7" fillId="0" borderId="0" xfId="0" applyNumberFormat="1" applyFont="1" applyFill="1" applyBorder="1" applyAlignment="1">
      <alignment vertical="center"/>
    </xf>
    <xf numFmtId="171" fontId="7" fillId="0" borderId="13" xfId="0" applyNumberFormat="1" applyFont="1" applyFill="1" applyBorder="1" applyAlignment="1">
      <alignment horizontal="right" vertical="center"/>
    </xf>
    <xf numFmtId="169" fontId="7" fillId="0" borderId="13" xfId="0" applyFont="1" applyFill="1" applyBorder="1" applyAlignment="1">
      <alignment vertical="center"/>
    </xf>
    <xf numFmtId="170" fontId="3" fillId="2" borderId="13" xfId="2" applyNumberFormat="1" applyFont="1" applyFill="1" applyBorder="1" applyAlignment="1">
      <alignment horizontal="left" vertical="center"/>
    </xf>
    <xf numFmtId="9" fontId="7" fillId="0" borderId="13" xfId="0" applyNumberFormat="1" applyFont="1" applyFill="1" applyBorder="1" applyAlignment="1">
      <alignment vertical="center"/>
    </xf>
    <xf numFmtId="170" fontId="7" fillId="2" borderId="13" xfId="0" applyNumberFormat="1" applyFont="1" applyFill="1" applyBorder="1" applyAlignment="1">
      <alignment vertical="center"/>
    </xf>
    <xf numFmtId="169" fontId="2" fillId="0" borderId="0" xfId="0" applyFont="1" applyFill="1" applyBorder="1" applyAlignment="1">
      <alignment vertical="center"/>
    </xf>
    <xf numFmtId="169" fontId="2" fillId="0" borderId="6" xfId="0" applyFont="1" applyFill="1" applyBorder="1" applyAlignment="1">
      <alignment vertical="center"/>
    </xf>
    <xf numFmtId="9" fontId="7" fillId="0" borderId="6" xfId="0" applyNumberFormat="1" applyFont="1" applyFill="1" applyBorder="1" applyAlignment="1">
      <alignment vertical="center"/>
    </xf>
    <xf numFmtId="0" fontId="18" fillId="3" borderId="3" xfId="2" applyNumberFormat="1" applyFont="1" applyFill="1" applyBorder="1" applyAlignment="1">
      <alignment vertical="center"/>
    </xf>
    <xf numFmtId="3" fontId="7" fillId="0" borderId="0" xfId="0" applyNumberFormat="1" applyFont="1" applyFill="1" applyBorder="1" applyAlignment="1">
      <alignment horizontal="left" vertical="center"/>
    </xf>
    <xf numFmtId="1" fontId="7" fillId="0" borderId="0" xfId="0" applyNumberFormat="1" applyFont="1" applyBorder="1" applyAlignment="1">
      <alignment vertical="center"/>
    </xf>
    <xf numFmtId="170" fontId="2" fillId="0" borderId="6" xfId="0" applyNumberFormat="1" applyFont="1" applyFill="1" applyBorder="1" applyAlignment="1">
      <alignment horizontal="left" vertical="center"/>
    </xf>
    <xf numFmtId="9" fontId="7" fillId="0" borderId="6" xfId="0" applyNumberFormat="1" applyFont="1" applyBorder="1" applyAlignment="1">
      <alignment vertical="center"/>
    </xf>
    <xf numFmtId="9" fontId="7" fillId="0" borderId="0" xfId="0" applyNumberFormat="1" applyFont="1" applyBorder="1" applyAlignment="1">
      <alignment horizontal="left" vertical="center"/>
    </xf>
    <xf numFmtId="3" fontId="7" fillId="0" borderId="6" xfId="0" applyNumberFormat="1" applyFont="1" applyFill="1" applyBorder="1" applyAlignment="1">
      <alignment horizontal="left" vertical="center"/>
    </xf>
    <xf numFmtId="3" fontId="7" fillId="0" borderId="6" xfId="0" applyNumberFormat="1" applyFont="1" applyFill="1" applyBorder="1" applyAlignment="1">
      <alignment vertical="center"/>
    </xf>
    <xf numFmtId="3" fontId="7" fillId="2" borderId="6" xfId="0" applyNumberFormat="1" applyFont="1" applyFill="1" applyBorder="1" applyAlignment="1">
      <alignment vertical="center"/>
    </xf>
    <xf numFmtId="169" fontId="7" fillId="2" borderId="6" xfId="0" applyFont="1" applyFill="1" applyBorder="1" applyAlignment="1">
      <alignment vertical="center"/>
    </xf>
    <xf numFmtId="169" fontId="3" fillId="0" borderId="0" xfId="0" applyFont="1" applyFill="1" applyBorder="1" applyAlignment="1">
      <alignment vertical="center"/>
    </xf>
    <xf numFmtId="169" fontId="2" fillId="0" borderId="2" xfId="0" applyFont="1" applyBorder="1" applyAlignment="1">
      <alignment vertical="center"/>
    </xf>
    <xf numFmtId="169" fontId="7" fillId="0" borderId="3" xfId="0" applyFont="1" applyBorder="1" applyAlignment="1">
      <alignment horizontal="left" vertical="center"/>
    </xf>
    <xf numFmtId="169" fontId="7" fillId="0" borderId="3" xfId="0" applyFont="1" applyBorder="1" applyAlignment="1">
      <alignment vertical="center"/>
    </xf>
    <xf numFmtId="169" fontId="7" fillId="0" borderId="7" xfId="0" applyFont="1" applyBorder="1" applyAlignment="1">
      <alignment vertical="center"/>
    </xf>
    <xf numFmtId="170" fontId="7" fillId="0" borderId="9" xfId="0" applyNumberFormat="1" applyFont="1" applyFill="1" applyBorder="1" applyAlignment="1">
      <alignment horizontal="center" vertical="center"/>
    </xf>
    <xf numFmtId="169" fontId="3" fillId="0" borderId="7" xfId="0" applyFont="1" applyBorder="1" applyAlignment="1">
      <alignment vertical="center"/>
    </xf>
    <xf numFmtId="9" fontId="7" fillId="0" borderId="0" xfId="1" applyNumberFormat="1" applyFont="1" applyFill="1" applyBorder="1" applyAlignment="1">
      <alignment horizontal="center" vertical="center"/>
    </xf>
    <xf numFmtId="9" fontId="7" fillId="0" borderId="9" xfId="1" applyNumberFormat="1" applyFont="1" applyFill="1" applyBorder="1" applyAlignment="1">
      <alignment horizontal="center" vertical="center"/>
    </xf>
    <xf numFmtId="169" fontId="7" fillId="0" borderId="7" xfId="0" applyFont="1" applyFill="1" applyBorder="1" applyAlignment="1">
      <alignment vertical="center"/>
    </xf>
    <xf numFmtId="169" fontId="7" fillId="0" borderId="9" xfId="0" applyFont="1" applyBorder="1" applyAlignment="1">
      <alignment horizontal="center" vertical="center"/>
    </xf>
    <xf numFmtId="169" fontId="7" fillId="0" borderId="11" xfId="0" applyFont="1" applyBorder="1" applyAlignment="1">
      <alignment vertical="center"/>
    </xf>
    <xf numFmtId="169" fontId="7" fillId="0" borderId="13" xfId="0" applyFont="1" applyBorder="1" applyAlignment="1">
      <alignment horizontal="left" vertical="center"/>
    </xf>
    <xf numFmtId="170" fontId="13" fillId="2" borderId="13" xfId="0" applyNumberFormat="1" applyFont="1" applyFill="1" applyBorder="1" applyAlignment="1">
      <alignment vertical="center"/>
    </xf>
    <xf numFmtId="170" fontId="13" fillId="2" borderId="12" xfId="0" applyNumberFormat="1" applyFont="1" applyFill="1" applyBorder="1" applyAlignment="1">
      <alignment vertical="center"/>
    </xf>
    <xf numFmtId="169" fontId="19" fillId="0" borderId="0" xfId="0" applyFont="1" applyAlignment="1">
      <alignment vertical="center"/>
    </xf>
    <xf numFmtId="169" fontId="20" fillId="0" borderId="0" xfId="0" applyFont="1" applyBorder="1" applyAlignment="1">
      <alignment vertical="center" wrapText="1"/>
    </xf>
    <xf numFmtId="170" fontId="19" fillId="2" borderId="0" xfId="0" applyNumberFormat="1" applyFont="1" applyFill="1" applyBorder="1" applyAlignment="1">
      <alignment vertical="center"/>
    </xf>
    <xf numFmtId="9" fontId="7" fillId="0" borderId="5" xfId="1" applyFont="1" applyBorder="1" applyAlignment="1">
      <alignment horizontal="center" vertical="center"/>
    </xf>
    <xf numFmtId="9" fontId="7" fillId="0" borderId="6" xfId="1" applyFont="1" applyBorder="1" applyAlignment="1">
      <alignment horizontal="center" vertical="center"/>
    </xf>
    <xf numFmtId="9" fontId="7" fillId="0" borderId="8" xfId="1" applyFont="1" applyBorder="1" applyAlignment="1">
      <alignment horizontal="center" vertical="center"/>
    </xf>
    <xf numFmtId="9" fontId="7" fillId="0" borderId="7" xfId="1" applyFont="1" applyBorder="1" applyAlignment="1">
      <alignment horizontal="center" vertical="center"/>
    </xf>
    <xf numFmtId="9" fontId="7" fillId="0" borderId="0" xfId="1" applyFont="1" applyBorder="1" applyAlignment="1">
      <alignment horizontal="center" vertical="center"/>
    </xf>
    <xf numFmtId="9" fontId="7" fillId="0" borderId="9" xfId="1" applyFont="1" applyBorder="1" applyAlignment="1">
      <alignment horizontal="center" vertical="center"/>
    </xf>
    <xf numFmtId="9" fontId="7" fillId="0" borderId="11" xfId="1" applyFont="1" applyBorder="1" applyAlignment="1">
      <alignment horizontal="center" vertical="center"/>
    </xf>
    <xf numFmtId="9" fontId="7" fillId="0" borderId="13" xfId="1" applyFont="1" applyBorder="1" applyAlignment="1">
      <alignment horizontal="center" vertical="center"/>
    </xf>
    <xf numFmtId="9" fontId="7" fillId="0" borderId="12" xfId="1" applyFont="1" applyBorder="1" applyAlignment="1">
      <alignment horizontal="center" vertical="center"/>
    </xf>
    <xf numFmtId="169" fontId="2" fillId="0" borderId="0" xfId="0" applyFont="1" applyAlignment="1">
      <alignment horizontal="center" vertical="center"/>
    </xf>
    <xf numFmtId="169" fontId="20" fillId="0" borderId="0" xfId="0" applyFont="1" applyBorder="1" applyAlignment="1">
      <alignment vertical="center"/>
    </xf>
    <xf numFmtId="0" fontId="2" fillId="2" borderId="0" xfId="561" applyFont="1" applyFill="1" applyAlignment="1">
      <alignment vertical="center"/>
    </xf>
    <xf numFmtId="170" fontId="3" fillId="0" borderId="1" xfId="561" applyNumberFormat="1" applyFont="1" applyFill="1" applyBorder="1" applyAlignment="1">
      <alignment horizontal="center" vertical="center"/>
    </xf>
    <xf numFmtId="0" fontId="4" fillId="3" borderId="0" xfId="561" applyFont="1" applyFill="1" applyAlignment="1">
      <alignment vertical="center"/>
    </xf>
    <xf numFmtId="0" fontId="201" fillId="2" borderId="0" xfId="561" applyFont="1" applyFill="1" applyAlignment="1">
      <alignment vertical="center"/>
    </xf>
    <xf numFmtId="0" fontId="7" fillId="2" borderId="0" xfId="561" applyFont="1" applyFill="1" applyAlignment="1">
      <alignment vertical="center"/>
    </xf>
    <xf numFmtId="0" fontId="7" fillId="2" borderId="0" xfId="561" applyFont="1" applyFill="1" applyAlignment="1">
      <alignment horizontal="right" vertical="center"/>
    </xf>
    <xf numFmtId="0" fontId="4" fillId="3" borderId="0" xfId="561" applyNumberFormat="1" applyFont="1" applyFill="1" applyAlignment="1">
      <alignment vertical="center"/>
    </xf>
    <xf numFmtId="0" fontId="4" fillId="3" borderId="0" xfId="561" applyNumberFormat="1" applyFont="1" applyFill="1" applyBorder="1" applyAlignment="1">
      <alignment vertical="center"/>
    </xf>
    <xf numFmtId="0" fontId="7" fillId="2" borderId="5" xfId="561" applyFont="1" applyFill="1" applyBorder="1" applyAlignment="1">
      <alignment vertical="center"/>
    </xf>
    <xf numFmtId="0" fontId="7" fillId="2" borderId="6" xfId="561" applyFont="1" applyFill="1" applyBorder="1" applyAlignment="1">
      <alignment vertical="center"/>
    </xf>
    <xf numFmtId="9" fontId="3" fillId="2" borderId="1" xfId="1" applyFont="1" applyFill="1" applyBorder="1" applyAlignment="1">
      <alignment horizontal="center" vertical="center" wrapText="1"/>
    </xf>
    <xf numFmtId="1" fontId="8" fillId="4" borderId="1" xfId="561" applyNumberFormat="1" applyFont="1" applyFill="1" applyBorder="1" applyAlignment="1">
      <alignment horizontal="center" vertical="center" wrapText="1"/>
    </xf>
    <xf numFmtId="169" fontId="2" fillId="0" borderId="11" xfId="561" applyNumberFormat="1" applyFont="1" applyBorder="1" applyAlignment="1">
      <alignment horizontal="left" vertical="center"/>
    </xf>
    <xf numFmtId="0" fontId="7" fillId="2" borderId="13" xfId="561" applyFont="1" applyFill="1" applyBorder="1" applyAlignment="1">
      <alignment vertical="center"/>
    </xf>
    <xf numFmtId="169" fontId="7" fillId="4" borderId="1" xfId="561" applyNumberFormat="1" applyFont="1" applyFill="1" applyBorder="1" applyAlignment="1">
      <alignment horizontal="center" vertical="center"/>
    </xf>
    <xf numFmtId="0" fontId="7" fillId="2" borderId="0" xfId="561" applyFont="1" applyFill="1" applyBorder="1" applyAlignment="1">
      <alignment vertical="center"/>
    </xf>
    <xf numFmtId="0" fontId="7" fillId="2" borderId="1" xfId="561" applyFont="1" applyFill="1" applyBorder="1" applyAlignment="1">
      <alignment horizontal="center" vertical="center"/>
    </xf>
    <xf numFmtId="169" fontId="2" fillId="0" borderId="7" xfId="561" applyNumberFormat="1" applyFont="1" applyBorder="1" applyAlignment="1">
      <alignment horizontal="left" vertical="center"/>
    </xf>
    <xf numFmtId="170" fontId="3" fillId="2" borderId="1" xfId="561" applyNumberFormat="1" applyFont="1" applyFill="1" applyBorder="1" applyAlignment="1">
      <alignment horizontal="center" vertical="center"/>
    </xf>
    <xf numFmtId="0" fontId="8" fillId="4" borderId="1" xfId="1" applyNumberFormat="1" applyFont="1" applyFill="1" applyBorder="1" applyAlignment="1">
      <alignment horizontal="center" vertical="center" wrapText="1"/>
    </xf>
    <xf numFmtId="0" fontId="2" fillId="2" borderId="5" xfId="561" applyFont="1" applyFill="1" applyBorder="1" applyAlignment="1">
      <alignment horizontal="left" vertical="center"/>
    </xf>
    <xf numFmtId="9" fontId="3" fillId="2" borderId="1" xfId="1" applyFont="1" applyFill="1" applyBorder="1" applyAlignment="1">
      <alignment horizontal="center" vertical="center"/>
    </xf>
    <xf numFmtId="172" fontId="8" fillId="4" borderId="1" xfId="1" applyNumberFormat="1" applyFont="1" applyFill="1" applyBorder="1" applyAlignment="1">
      <alignment horizontal="center" vertical="center" wrapText="1"/>
    </xf>
    <xf numFmtId="0" fontId="7" fillId="2" borderId="11" xfId="561" applyFont="1" applyFill="1" applyBorder="1" applyAlignment="1">
      <alignment vertical="center"/>
    </xf>
    <xf numFmtId="0" fontId="2" fillId="2" borderId="7" xfId="561" applyFont="1" applyFill="1" applyBorder="1" applyAlignment="1">
      <alignment vertical="center"/>
    </xf>
    <xf numFmtId="0" fontId="7" fillId="2" borderId="7" xfId="561" applyFont="1" applyFill="1" applyBorder="1" applyAlignment="1">
      <alignment vertical="center"/>
    </xf>
    <xf numFmtId="9" fontId="8" fillId="4" borderId="1" xfId="1" applyNumberFormat="1" applyFont="1" applyFill="1" applyBorder="1" applyAlignment="1">
      <alignment horizontal="center" vertical="center" wrapText="1"/>
    </xf>
    <xf numFmtId="0" fontId="2" fillId="2" borderId="5" xfId="561" applyFont="1" applyFill="1" applyBorder="1" applyAlignment="1">
      <alignment vertical="center"/>
    </xf>
    <xf numFmtId="0" fontId="3" fillId="2" borderId="1" xfId="561" applyFont="1" applyFill="1" applyBorder="1" applyAlignment="1">
      <alignment horizontal="center" vertical="center"/>
    </xf>
    <xf numFmtId="250" fontId="3" fillId="2" borderId="1" xfId="561" applyNumberFormat="1" applyFont="1" applyFill="1" applyBorder="1" applyAlignment="1">
      <alignment horizontal="center" vertical="center"/>
    </xf>
    <xf numFmtId="172" fontId="3" fillId="2" borderId="1" xfId="1" applyNumberFormat="1" applyFont="1" applyFill="1" applyBorder="1" applyAlignment="1">
      <alignment horizontal="center" vertical="center"/>
    </xf>
    <xf numFmtId="0" fontId="201" fillId="2" borderId="0" xfId="561" applyFont="1" applyFill="1" applyBorder="1" applyAlignment="1">
      <alignment vertical="center"/>
    </xf>
    <xf numFmtId="172" fontId="3" fillId="2" borderId="0" xfId="1" applyNumberFormat="1" applyFont="1" applyFill="1" applyBorder="1" applyAlignment="1">
      <alignment horizontal="center" vertical="center"/>
    </xf>
    <xf numFmtId="0" fontId="2" fillId="2" borderId="0" xfId="561" applyFont="1" applyFill="1" applyBorder="1" applyAlignment="1">
      <alignment vertical="center"/>
    </xf>
    <xf numFmtId="0" fontId="3" fillId="2" borderId="0" xfId="561" applyFont="1" applyFill="1" applyBorder="1" applyAlignment="1">
      <alignment vertical="center"/>
    </xf>
    <xf numFmtId="9" fontId="9" fillId="2" borderId="0" xfId="1" applyFont="1" applyFill="1" applyBorder="1" applyAlignment="1">
      <alignment horizontal="center" vertical="center"/>
    </xf>
    <xf numFmtId="0" fontId="7" fillId="2" borderId="7" xfId="561" applyFont="1" applyFill="1" applyBorder="1" applyAlignment="1">
      <alignment horizontal="left" vertical="center"/>
    </xf>
    <xf numFmtId="169" fontId="8" fillId="4" borderId="1" xfId="1" applyNumberFormat="1" applyFont="1" applyFill="1" applyBorder="1" applyAlignment="1">
      <alignment horizontal="center" vertical="center" wrapText="1"/>
    </xf>
    <xf numFmtId="3" fontId="7" fillId="2" borderId="0" xfId="561" applyNumberFormat="1" applyFont="1" applyFill="1" applyAlignment="1">
      <alignment vertical="center"/>
    </xf>
    <xf numFmtId="170" fontId="3" fillId="2" borderId="0" xfId="561" applyNumberFormat="1" applyFont="1" applyFill="1" applyBorder="1" applyAlignment="1">
      <alignment horizontal="left" vertical="center"/>
    </xf>
    <xf numFmtId="250" fontId="12" fillId="4" borderId="5" xfId="561" applyNumberFormat="1" applyFont="1" applyFill="1" applyBorder="1" applyAlignment="1">
      <alignment vertical="center"/>
    </xf>
    <xf numFmtId="170" fontId="12" fillId="4" borderId="6" xfId="561" applyNumberFormat="1" applyFont="1" applyFill="1" applyBorder="1" applyAlignment="1">
      <alignment vertical="center"/>
    </xf>
    <xf numFmtId="170" fontId="12" fillId="4" borderId="7" xfId="561" applyNumberFormat="1" applyFont="1" applyFill="1" applyBorder="1" applyAlignment="1">
      <alignment vertical="center"/>
    </xf>
    <xf numFmtId="170" fontId="12" fillId="4" borderId="0" xfId="561" applyNumberFormat="1" applyFont="1" applyFill="1" applyBorder="1" applyAlignment="1">
      <alignment vertical="center"/>
    </xf>
    <xf numFmtId="170" fontId="12" fillId="4" borderId="9" xfId="561" applyNumberFormat="1" applyFont="1" applyFill="1" applyBorder="1" applyAlignment="1">
      <alignment vertical="center"/>
    </xf>
    <xf numFmtId="170" fontId="12" fillId="4" borderId="11" xfId="561" applyNumberFormat="1" applyFont="1" applyFill="1" applyBorder="1" applyAlignment="1">
      <alignment vertical="center"/>
    </xf>
    <xf numFmtId="170" fontId="12" fillId="4" borderId="13" xfId="561" applyNumberFormat="1" applyFont="1" applyFill="1" applyBorder="1" applyAlignment="1">
      <alignment vertical="center"/>
    </xf>
    <xf numFmtId="170" fontId="12" fillId="4" borderId="12" xfId="561" applyNumberFormat="1" applyFont="1" applyFill="1" applyBorder="1" applyAlignment="1">
      <alignment vertical="center"/>
    </xf>
    <xf numFmtId="170" fontId="7" fillId="2" borderId="0" xfId="561" applyNumberFormat="1" applyFont="1" applyFill="1" applyBorder="1" applyAlignment="1">
      <alignment vertical="center"/>
    </xf>
    <xf numFmtId="3" fontId="7" fillId="2" borderId="0" xfId="561" applyNumberFormat="1" applyFont="1" applyFill="1" applyAlignment="1">
      <alignment horizontal="right" vertical="center"/>
    </xf>
    <xf numFmtId="170" fontId="3" fillId="2" borderId="0" xfId="561" applyNumberFormat="1" applyFont="1" applyFill="1" applyBorder="1" applyAlignment="1">
      <alignment vertical="center"/>
    </xf>
    <xf numFmtId="170" fontId="7" fillId="2" borderId="0" xfId="561" applyNumberFormat="1" applyFont="1" applyFill="1" applyBorder="1" applyAlignment="1">
      <alignment horizontal="left" vertical="center"/>
    </xf>
    <xf numFmtId="170" fontId="7" fillId="2" borderId="0" xfId="561" applyNumberFormat="1" applyFont="1" applyFill="1" applyAlignment="1">
      <alignment horizontal="center" vertical="center"/>
    </xf>
    <xf numFmtId="170" fontId="7" fillId="2" borderId="0" xfId="561" applyNumberFormat="1" applyFont="1" applyFill="1" applyBorder="1" applyAlignment="1">
      <alignment horizontal="left" vertical="center" indent="1"/>
    </xf>
    <xf numFmtId="170" fontId="13" fillId="2" borderId="0" xfId="561" applyNumberFormat="1" applyFont="1" applyFill="1" applyAlignment="1">
      <alignment vertical="center"/>
    </xf>
    <xf numFmtId="170" fontId="13" fillId="0" borderId="0" xfId="561" applyNumberFormat="1" applyFont="1" applyFill="1" applyAlignment="1">
      <alignment vertical="center"/>
    </xf>
    <xf numFmtId="170" fontId="7" fillId="2" borderId="14" xfId="561" applyNumberFormat="1" applyFont="1" applyFill="1" applyBorder="1" applyAlignment="1">
      <alignment horizontal="left" vertical="center"/>
    </xf>
    <xf numFmtId="170" fontId="3" fillId="2" borderId="14" xfId="561" applyNumberFormat="1" applyFont="1" applyFill="1" applyBorder="1" applyAlignment="1">
      <alignment horizontal="left" vertical="center"/>
    </xf>
    <xf numFmtId="170" fontId="7" fillId="2" borderId="14" xfId="561" applyNumberFormat="1" applyFont="1" applyFill="1" applyBorder="1" applyAlignment="1">
      <alignment horizontal="center" vertical="center"/>
    </xf>
    <xf numFmtId="170" fontId="7" fillId="2" borderId="14" xfId="561" applyNumberFormat="1" applyFont="1" applyFill="1" applyBorder="1" applyAlignment="1">
      <alignment vertical="center"/>
    </xf>
    <xf numFmtId="3" fontId="201" fillId="2" borderId="0" xfId="561" applyNumberFormat="1" applyFont="1" applyFill="1" applyBorder="1" applyAlignment="1">
      <alignment horizontal="right" vertical="center"/>
    </xf>
    <xf numFmtId="3" fontId="7" fillId="2" borderId="0" xfId="561" applyNumberFormat="1" applyFont="1" applyFill="1" applyBorder="1" applyAlignment="1">
      <alignment horizontal="right" vertical="center"/>
    </xf>
    <xf numFmtId="172" fontId="7" fillId="2" borderId="1" xfId="1" applyNumberFormat="1" applyFont="1" applyFill="1" applyBorder="1" applyAlignment="1">
      <alignment horizontal="center" vertical="center"/>
    </xf>
    <xf numFmtId="3" fontId="7" fillId="2" borderId="1" xfId="561" applyNumberFormat="1" applyFont="1" applyFill="1" applyBorder="1" applyAlignment="1">
      <alignment horizontal="center" vertical="center"/>
    </xf>
    <xf numFmtId="3" fontId="7" fillId="2" borderId="0" xfId="561" applyNumberFormat="1" applyFont="1" applyFill="1" applyBorder="1" applyAlignment="1">
      <alignment horizontal="center" vertical="center"/>
    </xf>
    <xf numFmtId="175" fontId="3" fillId="2" borderId="0" xfId="561" applyNumberFormat="1" applyFont="1" applyFill="1" applyBorder="1" applyAlignment="1">
      <alignment vertical="center"/>
    </xf>
    <xf numFmtId="175" fontId="7" fillId="2" borderId="0" xfId="561" applyNumberFormat="1" applyFont="1" applyFill="1" applyBorder="1" applyAlignment="1">
      <alignment vertical="center"/>
    </xf>
    <xf numFmtId="9" fontId="7" fillId="2" borderId="0" xfId="561" applyNumberFormat="1" applyFont="1" applyFill="1" applyBorder="1" applyAlignment="1">
      <alignment horizontal="right" vertical="center"/>
    </xf>
    <xf numFmtId="0" fontId="2" fillId="2" borderId="6" xfId="561" applyFont="1" applyFill="1" applyBorder="1" applyAlignment="1">
      <alignment vertical="center"/>
    </xf>
    <xf numFmtId="170" fontId="7" fillId="2" borderId="0" xfId="561" applyNumberFormat="1" applyFont="1" applyFill="1" applyAlignment="1">
      <alignment vertical="center"/>
    </xf>
    <xf numFmtId="250" fontId="7" fillId="2" borderId="0" xfId="561" applyNumberFormat="1" applyFont="1" applyFill="1" applyBorder="1" applyAlignment="1">
      <alignment vertical="center"/>
    </xf>
    <xf numFmtId="9" fontId="9" fillId="2" borderId="1" xfId="561" applyNumberFormat="1" applyFont="1" applyFill="1" applyBorder="1" applyAlignment="1">
      <alignment horizontal="center" vertical="center"/>
    </xf>
    <xf numFmtId="0" fontId="7" fillId="2" borderId="0" xfId="561" applyFont="1" applyFill="1" applyBorder="1" applyAlignment="1">
      <alignment horizontal="left" vertical="center" indent="1"/>
    </xf>
    <xf numFmtId="3" fontId="7" fillId="2" borderId="0" xfId="561" applyNumberFormat="1" applyFont="1" applyFill="1" applyBorder="1" applyAlignment="1">
      <alignment vertical="center"/>
    </xf>
    <xf numFmtId="0" fontId="7" fillId="2" borderId="0" xfId="561" applyFont="1" applyFill="1" applyAlignment="1">
      <alignment horizontal="center" vertical="center"/>
    </xf>
    <xf numFmtId="0" fontId="7" fillId="2" borderId="0" xfId="561" applyFont="1" applyFill="1" applyBorder="1" applyAlignment="1">
      <alignment horizontal="left" vertical="center"/>
    </xf>
    <xf numFmtId="9" fontId="7" fillId="2" borderId="0" xfId="561" applyNumberFormat="1" applyFont="1" applyFill="1" applyBorder="1" applyAlignment="1">
      <alignment vertical="center"/>
    </xf>
    <xf numFmtId="3" fontId="7" fillId="2" borderId="13" xfId="561" applyNumberFormat="1" applyFont="1" applyFill="1" applyBorder="1" applyAlignment="1">
      <alignment horizontal="right" vertical="center"/>
    </xf>
    <xf numFmtId="170" fontId="3" fillId="2" borderId="13" xfId="561" applyNumberFormat="1" applyFont="1" applyFill="1" applyBorder="1" applyAlignment="1">
      <alignment horizontal="left" vertical="center"/>
    </xf>
    <xf numFmtId="3" fontId="7" fillId="2" borderId="13" xfId="561" applyNumberFormat="1" applyFont="1" applyFill="1" applyBorder="1" applyAlignment="1">
      <alignment vertical="center"/>
    </xf>
    <xf numFmtId="0" fontId="202" fillId="2" borderId="0" xfId="561" applyFont="1" applyFill="1" applyBorder="1" applyAlignment="1">
      <alignment horizontal="left" vertical="center"/>
    </xf>
    <xf numFmtId="9" fontId="3" fillId="2" borderId="0" xfId="1" applyFont="1" applyFill="1" applyBorder="1" applyAlignment="1">
      <alignment vertical="center"/>
    </xf>
    <xf numFmtId="3" fontId="7" fillId="2" borderId="6" xfId="561" applyNumberFormat="1" applyFont="1" applyFill="1" applyBorder="1" applyAlignment="1">
      <alignment horizontal="right" vertical="center"/>
    </xf>
    <xf numFmtId="0" fontId="13" fillId="2" borderId="0" xfId="561" applyFont="1" applyFill="1" applyAlignment="1">
      <alignment vertical="center"/>
    </xf>
    <xf numFmtId="0" fontId="3" fillId="2" borderId="0" xfId="561" applyFont="1" applyFill="1" applyAlignment="1">
      <alignment vertical="center"/>
    </xf>
    <xf numFmtId="9" fontId="7" fillId="2" borderId="0" xfId="561" applyNumberFormat="1" applyFont="1" applyFill="1" applyAlignment="1">
      <alignment vertical="center"/>
    </xf>
    <xf numFmtId="0" fontId="18" fillId="3" borderId="0" xfId="561" applyFont="1" applyFill="1" applyAlignment="1">
      <alignment vertical="center"/>
    </xf>
    <xf numFmtId="0" fontId="3" fillId="2" borderId="13" xfId="561" applyFont="1" applyFill="1" applyBorder="1" applyAlignment="1">
      <alignment vertical="center"/>
    </xf>
    <xf numFmtId="169" fontId="5" fillId="0" borderId="0" xfId="561" applyNumberFormat="1" applyFont="1" applyAlignment="1">
      <alignment vertical="center"/>
    </xf>
    <xf numFmtId="169" fontId="7" fillId="0" borderId="0" xfId="561" applyNumberFormat="1" applyFont="1" applyAlignment="1">
      <alignment vertical="center"/>
    </xf>
    <xf numFmtId="169" fontId="7" fillId="0" borderId="0" xfId="561" applyNumberFormat="1" applyFont="1" applyAlignment="1">
      <alignment horizontal="center" vertical="center"/>
    </xf>
    <xf numFmtId="169" fontId="7" fillId="0" borderId="0" xfId="561" applyNumberFormat="1" applyFont="1" applyAlignment="1">
      <alignment horizontal="left" vertical="center"/>
    </xf>
    <xf numFmtId="170" fontId="7" fillId="0" borderId="0" xfId="561" applyNumberFormat="1" applyFont="1" applyFill="1" applyBorder="1" applyAlignment="1">
      <alignment vertical="center"/>
    </xf>
    <xf numFmtId="169" fontId="7" fillId="0" borderId="0" xfId="561" applyNumberFormat="1" applyFont="1" applyBorder="1" applyAlignment="1">
      <alignment vertical="center"/>
    </xf>
    <xf numFmtId="169" fontId="2" fillId="0" borderId="2" xfId="561" applyNumberFormat="1" applyFont="1" applyBorder="1" applyAlignment="1">
      <alignment vertical="center"/>
    </xf>
    <xf numFmtId="169" fontId="7" fillId="0" borderId="3" xfId="561" applyNumberFormat="1" applyFont="1" applyBorder="1" applyAlignment="1">
      <alignment horizontal="left" vertical="center"/>
    </xf>
    <xf numFmtId="169" fontId="7" fillId="0" borderId="3" xfId="561" applyNumberFormat="1" applyFont="1" applyBorder="1" applyAlignment="1">
      <alignment vertical="center"/>
    </xf>
    <xf numFmtId="169" fontId="7" fillId="0" borderId="7" xfId="561" applyNumberFormat="1" applyFont="1" applyBorder="1" applyAlignment="1">
      <alignment vertical="center"/>
    </xf>
    <xf numFmtId="170" fontId="7" fillId="0" borderId="0" xfId="561" applyNumberFormat="1" applyFont="1" applyFill="1" applyBorder="1" applyAlignment="1">
      <alignment horizontal="center" vertical="center"/>
    </xf>
    <xf numFmtId="170" fontId="7" fillId="0" borderId="9" xfId="561" applyNumberFormat="1" applyFont="1" applyFill="1" applyBorder="1" applyAlignment="1">
      <alignment horizontal="center" vertical="center"/>
    </xf>
    <xf numFmtId="169" fontId="7" fillId="0" borderId="0" xfId="561" applyNumberFormat="1" applyFont="1" applyBorder="1" applyAlignment="1">
      <alignment horizontal="left" vertical="center"/>
    </xf>
    <xf numFmtId="169" fontId="7" fillId="2" borderId="0" xfId="561" applyNumberFormat="1" applyFont="1" applyFill="1" applyBorder="1" applyAlignment="1">
      <alignment vertical="center"/>
    </xf>
    <xf numFmtId="169" fontId="3" fillId="0" borderId="7" xfId="561" applyNumberFormat="1" applyFont="1" applyFill="1" applyBorder="1" applyAlignment="1">
      <alignment vertical="center"/>
    </xf>
    <xf numFmtId="169" fontId="7" fillId="0" borderId="0" xfId="561" applyNumberFormat="1" applyFont="1" applyBorder="1" applyAlignment="1">
      <alignment horizontal="center" vertical="center"/>
    </xf>
    <xf numFmtId="169" fontId="7" fillId="0" borderId="9" xfId="561" applyNumberFormat="1" applyFont="1" applyBorder="1" applyAlignment="1">
      <alignment horizontal="center" vertical="center"/>
    </xf>
    <xf numFmtId="169" fontId="7" fillId="0" borderId="11" xfId="561" applyNumberFormat="1" applyFont="1" applyBorder="1" applyAlignment="1">
      <alignment vertical="center"/>
    </xf>
    <xf numFmtId="169" fontId="7" fillId="0" borderId="13" xfId="561" applyNumberFormat="1" applyFont="1" applyBorder="1" applyAlignment="1">
      <alignment horizontal="left" vertical="center"/>
    </xf>
    <xf numFmtId="169" fontId="7" fillId="0" borderId="13" xfId="561" applyNumberFormat="1" applyFont="1" applyBorder="1" applyAlignment="1">
      <alignment vertical="center"/>
    </xf>
    <xf numFmtId="170" fontId="13" fillId="2" borderId="13" xfId="561" applyNumberFormat="1" applyFont="1" applyFill="1" applyBorder="1" applyAlignment="1">
      <alignment vertical="center"/>
    </xf>
    <xf numFmtId="170" fontId="13" fillId="2" borderId="12" xfId="561" applyNumberFormat="1" applyFont="1" applyFill="1" applyBorder="1" applyAlignment="1">
      <alignment vertical="center"/>
    </xf>
    <xf numFmtId="0" fontId="19" fillId="2" borderId="0" xfId="561" applyFont="1" applyFill="1" applyAlignment="1">
      <alignment vertical="center"/>
    </xf>
    <xf numFmtId="0" fontId="20" fillId="2" borderId="0" xfId="561" applyFont="1" applyFill="1" applyAlignment="1">
      <alignment vertical="center"/>
    </xf>
    <xf numFmtId="0" fontId="20" fillId="2" borderId="0" xfId="561" applyFont="1" applyFill="1" applyAlignment="1">
      <alignment vertical="center" wrapText="1"/>
    </xf>
    <xf numFmtId="169" fontId="7" fillId="0" borderId="19" xfId="561" applyNumberFormat="1" applyFont="1" applyBorder="1" applyAlignment="1">
      <alignment horizontal="center" vertical="center"/>
    </xf>
    <xf numFmtId="9" fontId="19" fillId="2" borderId="0" xfId="561" applyNumberFormat="1" applyFont="1" applyFill="1" applyAlignment="1">
      <alignment vertical="center"/>
    </xf>
    <xf numFmtId="9" fontId="7" fillId="2" borderId="0" xfId="1" applyFont="1" applyFill="1" applyBorder="1" applyAlignment="1">
      <alignment horizontal="center" vertical="center"/>
    </xf>
    <xf numFmtId="169" fontId="2" fillId="0" borderId="0" xfId="561" applyNumberFormat="1" applyFont="1" applyAlignment="1">
      <alignment vertical="center"/>
    </xf>
    <xf numFmtId="0" fontId="1" fillId="2" borderId="0" xfId="1180" applyFill="1"/>
    <xf numFmtId="0" fontId="7" fillId="2" borderId="11" xfId="561" applyFont="1" applyFill="1" applyBorder="1" applyAlignment="1">
      <alignment horizontal="left" vertical="center"/>
    </xf>
    <xf numFmtId="170" fontId="156" fillId="0" borderId="1" xfId="0" applyNumberFormat="1" applyFont="1" applyFill="1" applyBorder="1" applyAlignment="1">
      <alignment horizontal="center" vertical="center"/>
    </xf>
    <xf numFmtId="170" fontId="204" fillId="0" borderId="0" xfId="0" applyNumberFormat="1" applyFont="1" applyAlignment="1">
      <alignment vertical="center"/>
    </xf>
    <xf numFmtId="170" fontId="204" fillId="0" borderId="62" xfId="0" applyNumberFormat="1" applyFont="1" applyBorder="1" applyAlignment="1">
      <alignment horizontal="left" vertical="center" indent="1"/>
    </xf>
    <xf numFmtId="170" fontId="204" fillId="0" borderId="30" xfId="0" applyNumberFormat="1" applyFont="1" applyBorder="1" applyAlignment="1">
      <alignment vertical="center"/>
    </xf>
    <xf numFmtId="170" fontId="160" fillId="0" borderId="30" xfId="0" applyNumberFormat="1" applyFont="1" applyFill="1" applyBorder="1" applyAlignment="1">
      <alignment horizontal="left" vertical="center"/>
    </xf>
    <xf numFmtId="170" fontId="160" fillId="0" borderId="30" xfId="0" applyNumberFormat="1" applyFont="1" applyFill="1" applyBorder="1" applyAlignment="1">
      <alignment horizontal="center" vertical="center"/>
    </xf>
    <xf numFmtId="170" fontId="160" fillId="0" borderId="30" xfId="0" applyNumberFormat="1" applyFont="1" applyFill="1" applyBorder="1" applyAlignment="1">
      <alignment vertical="center"/>
    </xf>
    <xf numFmtId="170" fontId="204" fillId="0" borderId="64" xfId="0" applyNumberFormat="1" applyFont="1" applyBorder="1" applyAlignment="1">
      <alignment horizontal="left" vertical="center" indent="1"/>
    </xf>
    <xf numFmtId="170" fontId="204" fillId="0" borderId="0" xfId="0" applyNumberFormat="1" applyFont="1" applyBorder="1" applyAlignment="1">
      <alignment vertical="center"/>
    </xf>
    <xf numFmtId="251" fontId="160" fillId="0" borderId="0" xfId="0" applyNumberFormat="1" applyFont="1" applyFill="1" applyBorder="1" applyAlignment="1">
      <alignment horizontal="left" vertical="center"/>
    </xf>
    <xf numFmtId="170" fontId="160" fillId="0" borderId="0" xfId="0" applyNumberFormat="1" applyFont="1" applyFill="1" applyBorder="1" applyAlignment="1">
      <alignment horizontal="center" vertical="center"/>
    </xf>
    <xf numFmtId="170" fontId="160" fillId="0" borderId="0" xfId="0" applyNumberFormat="1" applyFont="1" applyFill="1" applyBorder="1" applyAlignment="1">
      <alignment vertical="center"/>
    </xf>
    <xf numFmtId="170" fontId="204" fillId="0" borderId="65" xfId="0" applyNumberFormat="1" applyFont="1" applyBorder="1" applyAlignment="1">
      <alignment horizontal="left" vertical="center" indent="1"/>
    </xf>
    <xf numFmtId="170" fontId="204" fillId="0" borderId="15" xfId="0" applyNumberFormat="1" applyFont="1" applyBorder="1" applyAlignment="1">
      <alignment vertical="center"/>
    </xf>
    <xf numFmtId="170" fontId="205" fillId="0" borderId="0" xfId="0" applyNumberFormat="1" applyFont="1" applyAlignment="1">
      <alignment vertical="center"/>
    </xf>
    <xf numFmtId="170" fontId="160" fillId="0" borderId="0" xfId="0" applyNumberFormat="1" applyFont="1" applyAlignment="1">
      <alignment horizontal="left" vertical="center"/>
    </xf>
    <xf numFmtId="170" fontId="160" fillId="0" borderId="0" xfId="0" applyNumberFormat="1" applyFont="1" applyAlignment="1">
      <alignment horizontal="center" vertical="center"/>
    </xf>
    <xf numFmtId="170" fontId="160" fillId="0" borderId="0" xfId="0" applyNumberFormat="1" applyFont="1" applyAlignment="1">
      <alignment vertical="center"/>
    </xf>
    <xf numFmtId="170" fontId="160" fillId="0" borderId="15" xfId="0" applyNumberFormat="1" applyFont="1" applyBorder="1" applyAlignment="1">
      <alignment horizontal="center" vertical="center"/>
    </xf>
    <xf numFmtId="170" fontId="160" fillId="0" borderId="15" xfId="0" applyNumberFormat="1" applyFont="1" applyBorder="1" applyAlignment="1">
      <alignment vertical="center"/>
    </xf>
    <xf numFmtId="170" fontId="206" fillId="0" borderId="30" xfId="0" applyNumberFormat="1" applyFont="1" applyBorder="1" applyAlignment="1">
      <alignment horizontal="left" vertical="center"/>
    </xf>
    <xf numFmtId="170" fontId="207" fillId="0" borderId="0" xfId="0" applyNumberFormat="1" applyFont="1" applyBorder="1" applyAlignment="1">
      <alignment vertical="center"/>
    </xf>
    <xf numFmtId="170" fontId="160" fillId="0" borderId="30" xfId="0" applyNumberFormat="1" applyFont="1" applyBorder="1" applyAlignment="1">
      <alignment horizontal="left" vertical="center"/>
    </xf>
    <xf numFmtId="170" fontId="208" fillId="0" borderId="0" xfId="0" applyNumberFormat="1" applyFont="1" applyAlignment="1">
      <alignment vertical="center"/>
    </xf>
    <xf numFmtId="170" fontId="204" fillId="0" borderId="63" xfId="0" applyNumberFormat="1" applyFont="1" applyBorder="1" applyAlignment="1">
      <alignment vertical="center"/>
    </xf>
    <xf numFmtId="170" fontId="204" fillId="0" borderId="50" xfId="0" applyNumberFormat="1" applyFont="1" applyBorder="1" applyAlignment="1">
      <alignment vertical="center"/>
    </xf>
    <xf numFmtId="170" fontId="204" fillId="0" borderId="66" xfId="0" applyNumberFormat="1" applyFont="1" applyBorder="1" applyAlignment="1">
      <alignment vertical="center"/>
    </xf>
    <xf numFmtId="170" fontId="208" fillId="0" borderId="62" xfId="0" applyNumberFormat="1" applyFont="1" applyBorder="1" applyAlignment="1">
      <alignment vertical="center"/>
    </xf>
    <xf numFmtId="170" fontId="160" fillId="0" borderId="30" xfId="0" applyNumberFormat="1" applyFont="1" applyBorder="1" applyAlignment="1">
      <alignment vertical="center"/>
    </xf>
    <xf numFmtId="170" fontId="208" fillId="0" borderId="30" xfId="0" applyNumberFormat="1" applyFont="1" applyBorder="1" applyAlignment="1">
      <alignment vertical="center"/>
    </xf>
    <xf numFmtId="170" fontId="204" fillId="0" borderId="64" xfId="0" applyNumberFormat="1" applyFont="1" applyBorder="1" applyAlignment="1">
      <alignment vertical="center"/>
    </xf>
    <xf numFmtId="170" fontId="204" fillId="0" borderId="65" xfId="0" applyNumberFormat="1" applyFont="1" applyBorder="1" applyAlignment="1">
      <alignment vertical="center"/>
    </xf>
    <xf numFmtId="170" fontId="160" fillId="0" borderId="15" xfId="0" applyNumberFormat="1" applyFont="1" applyBorder="1" applyAlignment="1">
      <alignment horizontal="left" vertical="center"/>
    </xf>
    <xf numFmtId="170" fontId="204" fillId="0" borderId="4" xfId="0" applyNumberFormat="1" applyFont="1" applyBorder="1" applyAlignment="1">
      <alignment vertical="center"/>
    </xf>
    <xf numFmtId="170" fontId="204" fillId="0" borderId="2" xfId="0" applyNumberFormat="1" applyFont="1" applyBorder="1" applyAlignment="1">
      <alignment vertical="center"/>
    </xf>
    <xf numFmtId="170" fontId="204" fillId="0" borderId="16" xfId="0" applyNumberFormat="1" applyFont="1" applyBorder="1" applyAlignment="1">
      <alignment vertical="center"/>
    </xf>
    <xf numFmtId="170" fontId="204" fillId="0" borderId="18" xfId="0" applyNumberFormat="1" applyFont="1" applyBorder="1" applyAlignment="1">
      <alignment vertical="center"/>
    </xf>
    <xf numFmtId="170" fontId="156" fillId="0" borderId="68" xfId="0" applyNumberFormat="1" applyFont="1" applyFill="1" applyBorder="1" applyAlignment="1">
      <alignment horizontal="center" vertical="center"/>
    </xf>
    <xf numFmtId="170" fontId="7" fillId="69" borderId="0" xfId="0" applyNumberFormat="1" applyFont="1" applyFill="1" applyBorder="1" applyAlignment="1">
      <alignment vertical="center"/>
    </xf>
    <xf numFmtId="170" fontId="12" fillId="4" borderId="8" xfId="561" applyNumberFormat="1" applyFont="1" applyFill="1" applyBorder="1" applyAlignment="1">
      <alignment vertical="center"/>
    </xf>
    <xf numFmtId="170" fontId="210" fillId="3" borderId="0" xfId="0" applyNumberFormat="1" applyFont="1" applyFill="1" applyBorder="1" applyAlignment="1">
      <alignment vertical="center"/>
    </xf>
    <xf numFmtId="170" fontId="211" fillId="3" borderId="0" xfId="0" applyNumberFormat="1" applyFont="1" applyFill="1" applyBorder="1" applyAlignment="1">
      <alignment vertical="center"/>
    </xf>
    <xf numFmtId="170" fontId="211" fillId="3" borderId="0" xfId="0" applyNumberFormat="1" applyFont="1" applyFill="1" applyBorder="1" applyAlignment="1">
      <alignment horizontal="left" vertical="center"/>
    </xf>
    <xf numFmtId="170" fontId="211" fillId="3" borderId="0" xfId="0" applyNumberFormat="1" applyFont="1" applyFill="1" applyBorder="1" applyAlignment="1">
      <alignment horizontal="center" vertical="center"/>
    </xf>
    <xf numFmtId="170" fontId="212" fillId="3" borderId="0" xfId="0" applyNumberFormat="1" applyFont="1" applyFill="1" applyBorder="1" applyAlignment="1">
      <alignment vertical="center"/>
    </xf>
    <xf numFmtId="9" fontId="12" fillId="4" borderId="1" xfId="0" applyNumberFormat="1" applyFont="1" applyFill="1" applyBorder="1" applyAlignment="1">
      <alignment horizontal="center" vertical="center"/>
    </xf>
    <xf numFmtId="3" fontId="8" fillId="4" borderId="1" xfId="0" applyNumberFormat="1" applyFont="1" applyFill="1" applyBorder="1" applyAlignment="1">
      <alignment horizontal="center" vertical="center"/>
    </xf>
    <xf numFmtId="172" fontId="8" fillId="4" borderId="1" xfId="1" applyNumberFormat="1" applyFont="1" applyFill="1" applyBorder="1" applyAlignment="1">
      <alignment horizontal="center" vertical="center"/>
    </xf>
    <xf numFmtId="172" fontId="12" fillId="4" borderId="1" xfId="0" applyNumberFormat="1" applyFont="1" applyFill="1" applyBorder="1" applyAlignment="1">
      <alignment horizontal="center" vertical="center"/>
    </xf>
    <xf numFmtId="172" fontId="8" fillId="4" borderId="1" xfId="0" applyNumberFormat="1" applyFont="1" applyFill="1" applyBorder="1" applyAlignment="1">
      <alignment horizontal="center" vertical="center"/>
    </xf>
    <xf numFmtId="169" fontId="7" fillId="0" borderId="0" xfId="0" applyFont="1" applyAlignment="1">
      <alignment horizontal="left" vertical="center" indent="2"/>
    </xf>
    <xf numFmtId="169" fontId="7" fillId="0" borderId="0" xfId="0" applyFont="1" applyFill="1" applyAlignment="1">
      <alignment horizontal="left" vertical="center" indent="2"/>
    </xf>
    <xf numFmtId="169" fontId="7" fillId="0" borderId="0" xfId="0" applyFont="1" applyFill="1" applyBorder="1" applyAlignment="1">
      <alignment horizontal="left" vertical="center" indent="2"/>
    </xf>
    <xf numFmtId="172" fontId="7" fillId="2" borderId="0" xfId="1" applyNumberFormat="1" applyFont="1" applyFill="1" applyBorder="1" applyAlignment="1">
      <alignment vertical="center"/>
    </xf>
    <xf numFmtId="172" fontId="2" fillId="0" borderId="0" xfId="1" applyNumberFormat="1" applyFont="1" applyAlignment="1">
      <alignment horizontal="right" vertical="center"/>
    </xf>
    <xf numFmtId="169" fontId="3" fillId="0" borderId="0" xfId="561" applyNumberFormat="1" applyFont="1" applyFill="1" applyBorder="1" applyAlignment="1">
      <alignment vertical="center"/>
    </xf>
    <xf numFmtId="0" fontId="10" fillId="0" borderId="13" xfId="2" applyNumberFormat="1" applyFont="1" applyFill="1" applyBorder="1" applyAlignment="1">
      <alignment vertical="center"/>
    </xf>
    <xf numFmtId="9" fontId="10" fillId="0" borderId="13" xfId="1" applyFont="1" applyFill="1" applyBorder="1" applyAlignment="1">
      <alignment vertical="center"/>
    </xf>
    <xf numFmtId="169" fontId="2" fillId="0" borderId="1" xfId="561" applyNumberFormat="1" applyFont="1" applyFill="1" applyBorder="1" applyAlignment="1">
      <alignment horizontal="center" vertical="center"/>
    </xf>
    <xf numFmtId="169" fontId="10" fillId="0" borderId="0" xfId="561" applyNumberFormat="1" applyFont="1" applyFill="1" applyBorder="1" applyAlignment="1">
      <alignment vertical="center"/>
    </xf>
    <xf numFmtId="170" fontId="2" fillId="2" borderId="13" xfId="561" applyNumberFormat="1" applyFont="1" applyFill="1" applyBorder="1" applyAlignment="1">
      <alignment vertical="center"/>
    </xf>
    <xf numFmtId="0" fontId="10" fillId="0" borderId="0" xfId="2" applyNumberFormat="1" applyFont="1" applyFill="1" applyBorder="1" applyAlignment="1">
      <alignment vertical="center"/>
    </xf>
    <xf numFmtId="9" fontId="10" fillId="0" borderId="0" xfId="1" applyFont="1" applyFill="1" applyBorder="1" applyAlignment="1">
      <alignment vertical="center"/>
    </xf>
    <xf numFmtId="170" fontId="2" fillId="2" borderId="0" xfId="561" applyNumberFormat="1" applyFont="1" applyFill="1" applyBorder="1" applyAlignment="1">
      <alignment vertical="center"/>
    </xf>
    <xf numFmtId="1" fontId="10" fillId="0" borderId="0" xfId="2" applyNumberFormat="1" applyFont="1" applyFill="1" applyBorder="1" applyAlignment="1">
      <alignment vertical="center"/>
    </xf>
    <xf numFmtId="169" fontId="2" fillId="0" borderId="0" xfId="561" applyNumberFormat="1" applyFont="1" applyBorder="1" applyAlignment="1">
      <alignment horizontal="center" vertical="center"/>
    </xf>
    <xf numFmtId="170" fontId="2" fillId="2" borderId="0" xfId="561" applyNumberFormat="1" applyFont="1" applyFill="1" applyAlignment="1">
      <alignment vertical="center"/>
    </xf>
    <xf numFmtId="0" fontId="3" fillId="0" borderId="0" xfId="2" applyNumberFormat="1" applyFont="1" applyFill="1" applyBorder="1" applyAlignment="1">
      <alignment vertical="center"/>
    </xf>
    <xf numFmtId="9" fontId="3" fillId="0" borderId="0" xfId="1" applyFont="1" applyFill="1" applyBorder="1" applyAlignment="1">
      <alignment vertical="center"/>
    </xf>
    <xf numFmtId="1" fontId="3" fillId="0" borderId="0" xfId="2" applyNumberFormat="1" applyFont="1" applyFill="1" applyBorder="1" applyAlignment="1">
      <alignment vertical="center"/>
    </xf>
    <xf numFmtId="169" fontId="215" fillId="0" borderId="0" xfId="561" applyNumberFormat="1" applyFont="1" applyAlignment="1">
      <alignment horizontal="center" vertical="center"/>
    </xf>
    <xf numFmtId="169" fontId="7" fillId="0" borderId="20" xfId="561" applyNumberFormat="1" applyFont="1" applyBorder="1" applyAlignment="1">
      <alignment horizontal="center" vertical="center"/>
    </xf>
    <xf numFmtId="169" fontId="2" fillId="0" borderId="10" xfId="561" applyNumberFormat="1" applyFont="1" applyBorder="1" applyAlignment="1">
      <alignment horizontal="center" vertical="center" wrapText="1"/>
    </xf>
    <xf numFmtId="0" fontId="19" fillId="2" borderId="1" xfId="561" applyFont="1" applyFill="1" applyBorder="1" applyAlignment="1">
      <alignment horizontal="center" vertical="center"/>
    </xf>
    <xf numFmtId="172" fontId="2" fillId="2" borderId="0" xfId="1" applyNumberFormat="1" applyFont="1" applyFill="1" applyBorder="1" applyAlignment="1">
      <alignment horizontal="right" vertical="center"/>
    </xf>
    <xf numFmtId="0" fontId="216" fillId="2" borderId="0" xfId="561" applyFont="1" applyFill="1" applyAlignment="1">
      <alignment vertical="center"/>
    </xf>
    <xf numFmtId="170" fontId="7" fillId="2" borderId="0" xfId="561" applyNumberFormat="1" applyFont="1" applyFill="1" applyBorder="1" applyAlignment="1">
      <alignment horizontal="center" vertical="center"/>
    </xf>
    <xf numFmtId="0" fontId="2" fillId="2" borderId="13" xfId="561" applyFont="1" applyFill="1" applyBorder="1" applyAlignment="1">
      <alignment vertical="center"/>
    </xf>
    <xf numFmtId="172" fontId="2" fillId="2" borderId="13" xfId="1" applyNumberFormat="1" applyFont="1" applyFill="1" applyBorder="1" applyAlignment="1">
      <alignment horizontal="center" vertical="center"/>
    </xf>
    <xf numFmtId="172" fontId="7" fillId="2" borderId="0" xfId="1" applyNumberFormat="1" applyFont="1" applyFill="1" applyBorder="1" applyAlignment="1">
      <alignment horizontal="center" vertical="center"/>
    </xf>
    <xf numFmtId="172" fontId="7" fillId="2" borderId="10" xfId="1" applyNumberFormat="1" applyFont="1" applyFill="1" applyBorder="1" applyAlignment="1">
      <alignment horizontal="center" vertical="center"/>
    </xf>
    <xf numFmtId="172" fontId="7" fillId="2" borderId="19" xfId="1" applyNumberFormat="1" applyFont="1" applyFill="1" applyBorder="1" applyAlignment="1">
      <alignment horizontal="center" vertical="center"/>
    </xf>
    <xf numFmtId="172" fontId="7" fillId="2" borderId="20" xfId="1" applyNumberFormat="1" applyFont="1" applyFill="1" applyBorder="1" applyAlignment="1">
      <alignment horizontal="center" vertical="center"/>
    </xf>
    <xf numFmtId="1" fontId="2" fillId="2" borderId="0" xfId="561" applyNumberFormat="1" applyFont="1" applyFill="1" applyAlignment="1">
      <alignment vertical="center"/>
    </xf>
    <xf numFmtId="172" fontId="7" fillId="2" borderId="5" xfId="1" applyNumberFormat="1" applyFont="1" applyFill="1" applyBorder="1" applyAlignment="1">
      <alignment horizontal="center" vertical="center"/>
    </xf>
    <xf numFmtId="172" fontId="7" fillId="2" borderId="6" xfId="1" applyNumberFormat="1" applyFont="1" applyFill="1" applyBorder="1" applyAlignment="1">
      <alignment horizontal="center" vertical="center"/>
    </xf>
    <xf numFmtId="172" fontId="7" fillId="2" borderId="8" xfId="1" applyNumberFormat="1" applyFont="1" applyFill="1" applyBorder="1" applyAlignment="1">
      <alignment horizontal="center" vertical="center"/>
    </xf>
    <xf numFmtId="172" fontId="7" fillId="2" borderId="7" xfId="1" applyNumberFormat="1" applyFont="1" applyFill="1" applyBorder="1" applyAlignment="1">
      <alignment horizontal="center" vertical="center"/>
    </xf>
    <xf numFmtId="172" fontId="7" fillId="2" borderId="9" xfId="1" applyNumberFormat="1" applyFont="1" applyFill="1" applyBorder="1" applyAlignment="1">
      <alignment horizontal="center" vertical="center"/>
    </xf>
    <xf numFmtId="172" fontId="7" fillId="2" borderId="11" xfId="1" applyNumberFormat="1" applyFont="1" applyFill="1" applyBorder="1" applyAlignment="1">
      <alignment horizontal="center" vertical="center"/>
    </xf>
    <xf numFmtId="172" fontId="7" fillId="2" borderId="13" xfId="1" applyNumberFormat="1" applyFont="1" applyFill="1" applyBorder="1" applyAlignment="1">
      <alignment horizontal="center" vertical="center"/>
    </xf>
    <xf numFmtId="172" fontId="7" fillId="2" borderId="12" xfId="1" applyNumberFormat="1" applyFont="1" applyFill="1" applyBorder="1" applyAlignment="1">
      <alignment horizontal="center" vertical="center"/>
    </xf>
    <xf numFmtId="9" fontId="18" fillId="3" borderId="0" xfId="1" applyFont="1" applyFill="1" applyAlignment="1">
      <alignment horizontal="center" vertical="center"/>
    </xf>
    <xf numFmtId="0" fontId="13" fillId="0" borderId="0" xfId="561" applyFont="1" applyFill="1" applyAlignment="1">
      <alignment vertical="center"/>
    </xf>
    <xf numFmtId="0" fontId="3" fillId="0" borderId="0" xfId="561" applyFont="1" applyFill="1" applyAlignment="1">
      <alignment vertical="center"/>
    </xf>
    <xf numFmtId="170" fontId="160" fillId="0" borderId="0" xfId="0" applyNumberFormat="1" applyFont="1" applyFill="1" applyBorder="1" applyAlignment="1">
      <alignment horizontal="left" vertical="center"/>
    </xf>
    <xf numFmtId="169" fontId="7" fillId="2" borderId="1" xfId="561" applyNumberFormat="1" applyFont="1" applyFill="1" applyBorder="1" applyAlignment="1">
      <alignment horizontal="center" vertical="center"/>
    </xf>
    <xf numFmtId="173" fontId="7" fillId="2" borderId="1" xfId="561" applyNumberFormat="1" applyFont="1" applyFill="1" applyBorder="1" applyAlignment="1">
      <alignment horizontal="center" vertical="center"/>
    </xf>
    <xf numFmtId="0" fontId="217" fillId="70" borderId="0" xfId="561" applyFont="1" applyFill="1" applyAlignment="1">
      <alignment vertical="center"/>
    </xf>
    <xf numFmtId="0" fontId="7" fillId="70" borderId="0" xfId="561" applyFont="1" applyFill="1" applyAlignment="1">
      <alignment vertical="center"/>
    </xf>
    <xf numFmtId="0" fontId="10" fillId="71" borderId="62" xfId="561" applyFont="1" applyFill="1" applyBorder="1" applyAlignment="1">
      <alignment vertical="center"/>
    </xf>
    <xf numFmtId="0" fontId="7" fillId="71" borderId="30" xfId="561" applyFont="1" applyFill="1" applyBorder="1" applyAlignment="1">
      <alignment vertical="center"/>
    </xf>
    <xf numFmtId="0" fontId="7" fillId="71" borderId="63" xfId="561" applyFont="1" applyFill="1" applyBorder="1" applyAlignment="1">
      <alignment vertical="center"/>
    </xf>
    <xf numFmtId="0" fontId="2" fillId="71" borderId="35" xfId="561" applyNumberFormat="1" applyFont="1" applyFill="1" applyBorder="1" applyAlignment="1">
      <alignment vertical="center"/>
    </xf>
    <xf numFmtId="170" fontId="3" fillId="71" borderId="3" xfId="561" applyNumberFormat="1" applyFont="1" applyFill="1" applyBorder="1" applyAlignment="1">
      <alignment horizontal="left" vertical="center"/>
    </xf>
    <xf numFmtId="0" fontId="7" fillId="71" borderId="3" xfId="561" applyFont="1" applyFill="1" applyBorder="1" applyAlignment="1">
      <alignment vertical="center"/>
    </xf>
    <xf numFmtId="0" fontId="7" fillId="71" borderId="69" xfId="561" applyFont="1" applyFill="1" applyBorder="1" applyAlignment="1">
      <alignment vertical="center"/>
    </xf>
    <xf numFmtId="0" fontId="2" fillId="71" borderId="64" xfId="561" applyNumberFormat="1" applyFont="1" applyFill="1" applyBorder="1" applyAlignment="1">
      <alignment vertical="center"/>
    </xf>
    <xf numFmtId="0" fontId="2" fillId="71" borderId="0" xfId="561" applyNumberFormat="1" applyFont="1" applyFill="1" applyBorder="1" applyAlignment="1">
      <alignment vertical="center"/>
    </xf>
    <xf numFmtId="172" fontId="7" fillId="71" borderId="13" xfId="1" applyNumberFormat="1" applyFont="1" applyFill="1" applyBorder="1" applyAlignment="1">
      <alignment horizontal="center" vertical="center"/>
    </xf>
    <xf numFmtId="172" fontId="7" fillId="71" borderId="70" xfId="1" applyNumberFormat="1" applyFont="1" applyFill="1" applyBorder="1" applyAlignment="1">
      <alignment horizontal="center" vertical="center"/>
    </xf>
    <xf numFmtId="172" fontId="7" fillId="71" borderId="0" xfId="1" applyNumberFormat="1" applyFont="1" applyFill="1" applyBorder="1" applyAlignment="1">
      <alignment horizontal="center" vertical="center"/>
    </xf>
    <xf numFmtId="172" fontId="7" fillId="71" borderId="50" xfId="1" applyNumberFormat="1" applyFont="1" applyFill="1" applyBorder="1" applyAlignment="1">
      <alignment horizontal="center" vertical="center"/>
    </xf>
    <xf numFmtId="0" fontId="7" fillId="71" borderId="64" xfId="561" applyFont="1" applyFill="1" applyBorder="1" applyAlignment="1">
      <alignment vertical="center"/>
    </xf>
    <xf numFmtId="0" fontId="7" fillId="71" borderId="0" xfId="561" applyFont="1" applyFill="1" applyBorder="1" applyAlignment="1">
      <alignment vertical="center"/>
    </xf>
    <xf numFmtId="170" fontId="3" fillId="71" borderId="0" xfId="561" applyNumberFormat="1" applyFont="1" applyFill="1" applyBorder="1" applyAlignment="1">
      <alignment horizontal="left" vertical="center"/>
    </xf>
    <xf numFmtId="170" fontId="7" fillId="71" borderId="0" xfId="561" applyNumberFormat="1" applyFont="1" applyFill="1" applyBorder="1" applyAlignment="1">
      <alignment horizontal="center" vertical="center"/>
    </xf>
    <xf numFmtId="170" fontId="7" fillId="71" borderId="50" xfId="561" applyNumberFormat="1" applyFont="1" applyFill="1" applyBorder="1" applyAlignment="1">
      <alignment horizontal="center" vertical="center"/>
    </xf>
    <xf numFmtId="170" fontId="2" fillId="71" borderId="0" xfId="561" applyNumberFormat="1" applyFont="1" applyFill="1" applyBorder="1" applyAlignment="1">
      <alignment horizontal="center" vertical="center"/>
    </xf>
    <xf numFmtId="170" fontId="2" fillId="71" borderId="50" xfId="561" applyNumberFormat="1" applyFont="1" applyFill="1" applyBorder="1" applyAlignment="1">
      <alignment horizontal="center" vertical="center"/>
    </xf>
    <xf numFmtId="9" fontId="7" fillId="71" borderId="0" xfId="1" applyFont="1" applyFill="1" applyBorder="1" applyAlignment="1">
      <alignment horizontal="center" vertical="center"/>
    </xf>
    <xf numFmtId="9" fontId="7" fillId="71" borderId="50" xfId="1" applyFont="1" applyFill="1" applyBorder="1" applyAlignment="1">
      <alignment horizontal="center" vertical="center"/>
    </xf>
    <xf numFmtId="0" fontId="7" fillId="71" borderId="71" xfId="561" applyFont="1" applyFill="1" applyBorder="1" applyAlignment="1">
      <alignment vertical="center"/>
    </xf>
    <xf numFmtId="0" fontId="7" fillId="71" borderId="13" xfId="561" applyFont="1" applyFill="1" applyBorder="1" applyAlignment="1">
      <alignment vertical="center"/>
    </xf>
    <xf numFmtId="170" fontId="3" fillId="71" borderId="13" xfId="561" applyNumberFormat="1" applyFont="1" applyFill="1" applyBorder="1" applyAlignment="1">
      <alignment horizontal="left" vertical="center"/>
    </xf>
    <xf numFmtId="9" fontId="7" fillId="71" borderId="13" xfId="1" applyNumberFormat="1" applyFont="1" applyFill="1" applyBorder="1" applyAlignment="1">
      <alignment horizontal="center" vertical="center"/>
    </xf>
    <xf numFmtId="9" fontId="7" fillId="71" borderId="70" xfId="1" applyNumberFormat="1" applyFont="1" applyFill="1" applyBorder="1" applyAlignment="1">
      <alignment horizontal="center" vertical="center"/>
    </xf>
    <xf numFmtId="9" fontId="7" fillId="71" borderId="0" xfId="1" applyNumberFormat="1" applyFont="1" applyFill="1" applyBorder="1" applyAlignment="1">
      <alignment vertical="center"/>
    </xf>
    <xf numFmtId="0" fontId="7" fillId="71" borderId="50" xfId="561" applyFont="1" applyFill="1" applyBorder="1" applyAlignment="1">
      <alignment vertical="center"/>
    </xf>
    <xf numFmtId="0" fontId="2" fillId="71" borderId="72" xfId="561" applyFont="1" applyFill="1" applyBorder="1" applyAlignment="1">
      <alignment vertical="center"/>
    </xf>
    <xf numFmtId="0" fontId="7" fillId="71" borderId="6" xfId="561" applyFont="1" applyFill="1" applyBorder="1" applyAlignment="1">
      <alignment vertical="center"/>
    </xf>
    <xf numFmtId="170" fontId="3" fillId="71" borderId="8" xfId="561" applyNumberFormat="1" applyFont="1" applyFill="1" applyBorder="1" applyAlignment="1">
      <alignment horizontal="left" vertical="center"/>
    </xf>
    <xf numFmtId="0" fontId="2" fillId="71" borderId="64" xfId="561" applyFont="1" applyFill="1" applyBorder="1" applyAlignment="1">
      <alignment vertical="center"/>
    </xf>
    <xf numFmtId="170" fontId="3" fillId="71" borderId="9" xfId="561" applyNumberFormat="1" applyFont="1" applyFill="1" applyBorder="1" applyAlignment="1">
      <alignment horizontal="left" vertical="center"/>
    </xf>
    <xf numFmtId="172" fontId="7" fillId="71" borderId="0" xfId="561" applyNumberFormat="1" applyFont="1" applyFill="1" applyBorder="1" applyAlignment="1">
      <alignment horizontal="center" vertical="center"/>
    </xf>
    <xf numFmtId="0" fontId="7" fillId="71" borderId="9" xfId="561" applyFont="1" applyFill="1" applyBorder="1" applyAlignment="1">
      <alignment vertical="center"/>
    </xf>
    <xf numFmtId="0" fontId="7" fillId="71" borderId="65" xfId="561" applyFont="1" applyFill="1" applyBorder="1" applyAlignment="1">
      <alignment vertical="center"/>
    </xf>
    <xf numFmtId="0" fontId="7" fillId="71" borderId="15" xfId="561" applyFont="1" applyFill="1" applyBorder="1" applyAlignment="1">
      <alignment vertical="center"/>
    </xf>
    <xf numFmtId="170" fontId="3" fillId="71" borderId="15" xfId="561" applyNumberFormat="1" applyFont="1" applyFill="1" applyBorder="1" applyAlignment="1">
      <alignment horizontal="left" vertical="center"/>
    </xf>
    <xf numFmtId="9" fontId="7" fillId="71" borderId="41" xfId="1" applyNumberFormat="1" applyFont="1" applyFill="1" applyBorder="1" applyAlignment="1">
      <alignment vertical="center"/>
    </xf>
    <xf numFmtId="0" fontId="7" fillId="71" borderId="66" xfId="561" applyFont="1" applyFill="1" applyBorder="1" applyAlignment="1">
      <alignment vertical="center"/>
    </xf>
    <xf numFmtId="172" fontId="7" fillId="68" borderId="1" xfId="1" applyNumberFormat="1" applyFont="1" applyFill="1" applyBorder="1" applyAlignment="1">
      <alignment horizontal="center" vertical="center"/>
    </xf>
    <xf numFmtId="0" fontId="7" fillId="2" borderId="0" xfId="561" applyFont="1" applyFill="1" applyAlignment="1">
      <alignment vertical="center" wrapText="1"/>
    </xf>
    <xf numFmtId="169" fontId="2" fillId="0" borderId="0" xfId="561" applyNumberFormat="1" applyFont="1" applyFill="1" applyBorder="1" applyAlignment="1">
      <alignment horizontal="center" vertical="center"/>
    </xf>
    <xf numFmtId="1" fontId="7" fillId="0" borderId="0" xfId="561" applyNumberFormat="1" applyFont="1" applyFill="1" applyAlignment="1">
      <alignment vertical="center"/>
    </xf>
    <xf numFmtId="0" fontId="4" fillId="0" borderId="0" xfId="561" applyFont="1" applyFill="1" applyAlignment="1">
      <alignment vertical="center"/>
    </xf>
    <xf numFmtId="0" fontId="18" fillId="0" borderId="0" xfId="561" applyFont="1" applyFill="1" applyAlignment="1">
      <alignment vertical="center"/>
    </xf>
    <xf numFmtId="0" fontId="7" fillId="0" borderId="0" xfId="561" applyFont="1" applyFill="1" applyBorder="1" applyAlignment="1">
      <alignment vertical="center"/>
    </xf>
    <xf numFmtId="170" fontId="3" fillId="0" borderId="0" xfId="561" applyNumberFormat="1" applyFont="1" applyFill="1" applyAlignment="1">
      <alignment vertical="center"/>
    </xf>
    <xf numFmtId="0" fontId="19" fillId="2" borderId="0" xfId="561" applyFont="1" applyFill="1" applyBorder="1" applyAlignment="1">
      <alignment horizontal="center" vertical="center"/>
    </xf>
    <xf numFmtId="169" fontId="5" fillId="0" borderId="0" xfId="561" applyNumberFormat="1" applyFont="1" applyBorder="1" applyAlignment="1">
      <alignment vertical="center"/>
    </xf>
    <xf numFmtId="169" fontId="2" fillId="0" borderId="0" xfId="561" applyNumberFormat="1" applyFont="1" applyBorder="1" applyAlignment="1">
      <alignment vertical="center"/>
    </xf>
    <xf numFmtId="169" fontId="7" fillId="0" borderId="74" xfId="561" applyNumberFormat="1" applyFont="1" applyBorder="1" applyAlignment="1">
      <alignment horizontal="center" vertical="center"/>
    </xf>
    <xf numFmtId="172" fontId="7" fillId="68" borderId="1" xfId="561" applyNumberFormat="1" applyFont="1" applyFill="1" applyBorder="1" applyAlignment="1">
      <alignment horizontal="center" vertical="center"/>
    </xf>
    <xf numFmtId="172" fontId="2" fillId="68" borderId="1" xfId="1" applyNumberFormat="1" applyFont="1" applyFill="1" applyBorder="1" applyAlignment="1">
      <alignment horizontal="center" vertical="center"/>
    </xf>
    <xf numFmtId="173" fontId="7" fillId="0" borderId="1" xfId="561" applyNumberFormat="1" applyFont="1" applyFill="1" applyBorder="1" applyAlignment="1">
      <alignment horizontal="center" vertical="center"/>
    </xf>
    <xf numFmtId="172" fontId="7" fillId="0" borderId="1" xfId="1" applyNumberFormat="1" applyFont="1" applyFill="1" applyBorder="1" applyAlignment="1">
      <alignment horizontal="center" vertical="center"/>
    </xf>
    <xf numFmtId="9" fontId="10" fillId="0" borderId="0" xfId="1" applyFont="1" applyFill="1" applyAlignment="1">
      <alignment horizontal="center" vertical="center"/>
    </xf>
    <xf numFmtId="0" fontId="10" fillId="0" borderId="0" xfId="561" applyFont="1" applyFill="1" applyAlignment="1">
      <alignment horizontal="center" vertical="center"/>
    </xf>
    <xf numFmtId="169" fontId="7" fillId="0" borderId="1" xfId="561" applyNumberFormat="1" applyFont="1" applyFill="1" applyBorder="1" applyAlignment="1">
      <alignment horizontal="center" vertical="center"/>
    </xf>
    <xf numFmtId="9" fontId="19" fillId="2" borderId="0" xfId="1" applyFont="1" applyFill="1" applyBorder="1" applyAlignment="1">
      <alignment vertical="center"/>
    </xf>
    <xf numFmtId="0" fontId="218" fillId="2" borderId="0" xfId="496" applyFont="1" applyFill="1" applyAlignment="1" applyProtection="1">
      <alignment vertical="center"/>
    </xf>
    <xf numFmtId="170" fontId="219" fillId="0" borderId="24" xfId="496" applyNumberFormat="1" applyFont="1" applyBorder="1" applyAlignment="1" applyProtection="1">
      <alignment vertical="center"/>
    </xf>
    <xf numFmtId="170" fontId="219" fillId="0" borderId="1" xfId="496" applyNumberFormat="1" applyFont="1" applyBorder="1" applyAlignment="1" applyProtection="1">
      <alignment vertical="center"/>
    </xf>
    <xf numFmtId="170" fontId="219" fillId="0" borderId="4" xfId="496" applyNumberFormat="1" applyFont="1" applyBorder="1" applyAlignment="1" applyProtection="1">
      <alignment vertical="center"/>
    </xf>
    <xf numFmtId="170" fontId="219" fillId="0" borderId="67" xfId="496" applyNumberFormat="1" applyFont="1" applyBorder="1" applyAlignment="1" applyProtection="1">
      <alignment vertical="center"/>
    </xf>
    <xf numFmtId="1" fontId="7" fillId="71" borderId="15" xfId="1" applyNumberFormat="1" applyFont="1" applyFill="1" applyBorder="1" applyAlignment="1">
      <alignment horizontal="center" vertical="center"/>
    </xf>
    <xf numFmtId="169" fontId="7" fillId="0" borderId="0" xfId="0" applyFont="1" applyAlignment="1">
      <alignment vertical="center" wrapText="1"/>
    </xf>
    <xf numFmtId="169" fontId="2" fillId="4" borderId="2" xfId="561" applyNumberFormat="1" applyFont="1" applyFill="1" applyBorder="1" applyAlignment="1">
      <alignment horizontal="center" vertical="center"/>
    </xf>
    <xf numFmtId="169" fontId="2" fillId="4" borderId="73" xfId="561" applyNumberFormat="1" applyFont="1" applyFill="1" applyBorder="1" applyAlignment="1">
      <alignment horizontal="center" vertical="center"/>
    </xf>
    <xf numFmtId="169" fontId="2" fillId="4" borderId="75" xfId="561" applyNumberFormat="1" applyFont="1" applyFill="1" applyBorder="1" applyAlignment="1">
      <alignment horizontal="center" vertical="center"/>
    </xf>
    <xf numFmtId="169" fontId="7" fillId="0" borderId="0" xfId="561" applyNumberFormat="1" applyFont="1" applyAlignment="1">
      <alignment horizontal="right" vertical="center"/>
    </xf>
    <xf numFmtId="169" fontId="2" fillId="0" borderId="0" xfId="561" applyNumberFormat="1" applyFont="1" applyBorder="1" applyAlignment="1">
      <alignment horizontal="right" vertical="center"/>
    </xf>
    <xf numFmtId="0" fontId="203" fillId="2" borderId="0" xfId="1180" applyFont="1" applyFill="1" applyAlignment="1">
      <alignment horizontal="left" wrapText="1"/>
    </xf>
    <xf numFmtId="0" fontId="203" fillId="2" borderId="0" xfId="1180" applyFont="1" applyFill="1" applyAlignment="1">
      <alignment wrapText="1"/>
    </xf>
    <xf numFmtId="1" fontId="3" fillId="0" borderId="1" xfId="0" applyNumberFormat="1" applyFont="1" applyFill="1" applyBorder="1" applyAlignment="1">
      <alignment horizontal="center" vertical="center"/>
    </xf>
    <xf numFmtId="169" fontId="7" fillId="2" borderId="0" xfId="0" applyFont="1" applyFill="1" applyAlignment="1">
      <alignment horizontal="left" vertical="center"/>
    </xf>
    <xf numFmtId="9" fontId="7" fillId="0" borderId="0" xfId="1" applyNumberFormat="1" applyFont="1" applyAlignment="1">
      <alignment vertical="center"/>
    </xf>
    <xf numFmtId="172" fontId="7" fillId="2" borderId="0" xfId="561" applyNumberFormat="1" applyFont="1" applyFill="1" applyAlignment="1">
      <alignment vertical="center"/>
    </xf>
    <xf numFmtId="169" fontId="2" fillId="2" borderId="2" xfId="561" applyNumberFormat="1" applyFont="1" applyFill="1" applyBorder="1" applyAlignment="1">
      <alignment horizontal="center" vertical="center"/>
    </xf>
    <xf numFmtId="169" fontId="2" fillId="2" borderId="73" xfId="561" applyNumberFormat="1" applyFont="1" applyFill="1" applyBorder="1" applyAlignment="1">
      <alignment horizontal="center" vertical="center"/>
    </xf>
    <xf numFmtId="169" fontId="2" fillId="2" borderId="75" xfId="561" applyNumberFormat="1" applyFont="1" applyFill="1" applyBorder="1" applyAlignment="1">
      <alignment horizontal="center" vertical="center"/>
    </xf>
    <xf numFmtId="172" fontId="7" fillId="2" borderId="2" xfId="561" applyNumberFormat="1" applyFont="1" applyFill="1" applyBorder="1" applyAlignment="1">
      <alignment horizontal="center" vertical="center"/>
    </xf>
    <xf numFmtId="172" fontId="7" fillId="2" borderId="73" xfId="561" applyNumberFormat="1" applyFont="1" applyFill="1" applyBorder="1" applyAlignment="1">
      <alignment horizontal="center" vertical="center"/>
    </xf>
    <xf numFmtId="172" fontId="7" fillId="2" borderId="75" xfId="561" applyNumberFormat="1" applyFont="1" applyFill="1" applyBorder="1" applyAlignment="1">
      <alignment horizontal="center" vertical="center"/>
    </xf>
    <xf numFmtId="3" fontId="7" fillId="71" borderId="0" xfId="561" applyNumberFormat="1" applyFont="1" applyFill="1" applyBorder="1" applyAlignment="1">
      <alignment horizontal="center" vertical="center"/>
    </xf>
    <xf numFmtId="3" fontId="2" fillId="71" borderId="0" xfId="561" applyNumberFormat="1" applyFont="1" applyFill="1" applyBorder="1" applyAlignment="1">
      <alignment horizontal="center" vertical="center"/>
    </xf>
    <xf numFmtId="172" fontId="7" fillId="0" borderId="3" xfId="1" applyNumberFormat="1" applyFont="1" applyFill="1" applyBorder="1" applyAlignment="1">
      <alignment horizontal="center" vertical="center"/>
    </xf>
    <xf numFmtId="172" fontId="7" fillId="0" borderId="4" xfId="1" applyNumberFormat="1" applyFont="1" applyFill="1" applyBorder="1" applyAlignment="1">
      <alignment horizontal="center" vertical="center"/>
    </xf>
    <xf numFmtId="0" fontId="220" fillId="2" borderId="0" xfId="1180" applyFont="1" applyFill="1" applyAlignment="1">
      <alignment horizontal="center" wrapText="1"/>
    </xf>
    <xf numFmtId="0" fontId="220" fillId="2" borderId="0" xfId="1180" applyFont="1" applyFill="1" applyAlignment="1">
      <alignment horizontal="center"/>
    </xf>
    <xf numFmtId="170" fontId="160" fillId="0" borderId="0" xfId="0" applyNumberFormat="1" applyFont="1" applyFill="1" applyBorder="1" applyAlignment="1">
      <alignment horizontal="left" vertical="center"/>
    </xf>
    <xf numFmtId="1" fontId="223" fillId="4" borderId="1" xfId="561" applyNumberFormat="1" applyFont="1" applyFill="1" applyBorder="1" applyAlignment="1">
      <alignment horizontal="center" vertical="center" wrapText="1"/>
    </xf>
  </cellXfs>
  <cellStyles count="1185">
    <cellStyle name="_x0006_" xfId="3" xr:uid="{00000000-0005-0000-0000-000000000000}"/>
    <cellStyle name="_x000a_shell=progma" xfId="4" xr:uid="{00000000-0005-0000-0000-000001000000}"/>
    <cellStyle name="_x000a_shell=progma 2" xfId="5" xr:uid="{00000000-0005-0000-0000-000002000000}"/>
    <cellStyle name=".Assumption" xfId="6" xr:uid="{00000000-0005-0000-0000-000003000000}"/>
    <cellStyle name=".Pickup" xfId="7" xr:uid="{00000000-0005-0000-0000-000004000000}"/>
    <cellStyle name=".Warning" xfId="8" xr:uid="{00000000-0005-0000-0000-000005000000}"/>
    <cellStyle name="?" xfId="9" xr:uid="{00000000-0005-0000-0000-000006000000}"/>
    <cellStyle name="????" xfId="10" xr:uid="{00000000-0005-0000-0000-000007000000}"/>
    <cellStyle name="?????" xfId="11" xr:uid="{00000000-0005-0000-0000-000008000000}"/>
    <cellStyle name="????????" xfId="12" xr:uid="{00000000-0005-0000-0000-000009000000}"/>
    <cellStyle name="?????????????" xfId="13" xr:uid="{00000000-0005-0000-0000-00000A000000}"/>
    <cellStyle name="??????????_BOPENGC" xfId="14" xr:uid="{00000000-0005-0000-0000-00000B000000}"/>
    <cellStyle name="?????????1" xfId="15" xr:uid="{00000000-0005-0000-0000-00000C000000}"/>
    <cellStyle name="?????????2" xfId="16" xr:uid="{00000000-0005-0000-0000-00000D000000}"/>
    <cellStyle name="????????_BOPENGC" xfId="17" xr:uid="{00000000-0005-0000-0000-00000E000000}"/>
    <cellStyle name="???????_BOPENGC" xfId="18" xr:uid="{00000000-0005-0000-0000-00000F000000}"/>
    <cellStyle name="??_0-3?????" xfId="19" xr:uid="{00000000-0005-0000-0000-000010000000}"/>
    <cellStyle name="_080808 McK Al data" xfId="20" xr:uid="{00000000-0005-0000-0000-000011000000}"/>
    <cellStyle name="_BUP057_Alumina cost curve escalation to 2015 v3" xfId="21" xr:uid="{00000000-0005-0000-0000-000012000000}"/>
    <cellStyle name="_Gas Details" xfId="22" xr:uid="{00000000-0005-0000-0000-000013000000}"/>
    <cellStyle name="_Gas Details_Protocol" xfId="23" xr:uid="{00000000-0005-0000-0000-000014000000}"/>
    <cellStyle name="_Gas Details_Protocol back-up" xfId="24" xr:uid="{00000000-0005-0000-0000-000015000000}"/>
    <cellStyle name="_Gas Details_Protocol_Protocol back-up" xfId="25" xr:uid="{00000000-0005-0000-0000-000016000000}"/>
    <cellStyle name="_Happy Camper prodtons_-750A_$10_camp_c" xfId="26" xr:uid="{00000000-0005-0000-0000-000017000000}"/>
    <cellStyle name="_Matrix of Options July07 (NW Mods)" xfId="27" xr:uid="{00000000-0005-0000-0000-000018000000}"/>
    <cellStyle name="_Matrix of options with summary - with sorting macro NW8.0 (2)" xfId="28" xr:uid="{00000000-0005-0000-0000-000019000000}"/>
    <cellStyle name="_Matrix of options with summary - with sorting macro NW9.0" xfId="29" xr:uid="{00000000-0005-0000-0000-00001A000000}"/>
    <cellStyle name="_Matrix of options with summary NW7 0" xfId="30" xr:uid="{00000000-0005-0000-0000-00001B000000}"/>
    <cellStyle name="_Matrix of options with summary NW7.0" xfId="31" xr:uid="{00000000-0005-0000-0000-00001C000000}"/>
    <cellStyle name="_Matrix of options with summary NW7.0(cases only)" xfId="32" xr:uid="{00000000-0005-0000-0000-00001D000000}"/>
    <cellStyle name="_Matrix of options with summary NW8.0 cases with list" xfId="33" xr:uid="{00000000-0005-0000-0000-00001E000000}"/>
    <cellStyle name="_No. 09 Power cost forecast by province" xfId="34" xr:uid="{00000000-0005-0000-0000-00001F000000}"/>
    <cellStyle name="_No. 09 Power cost forecast by province_Protocol back-up" xfId="35" xr:uid="{00000000-0005-0000-0000-000020000000}"/>
    <cellStyle name="_PCBC output template for Damian Rogers (20080806) (2)" xfId="36" xr:uid="{00000000-0005-0000-0000-000021000000}"/>
    <cellStyle name="_PCBC output template for Damian Rogers (20080806) (2) 2" xfId="37" xr:uid="{00000000-0005-0000-0000-000022000000}"/>
    <cellStyle name="_PCBC output template for Damian Rogers (20080806) (2) 2 2" xfId="38" xr:uid="{00000000-0005-0000-0000-000023000000}"/>
    <cellStyle name="_PCBC output template for Damian Rogers (20080806) (2) 2_Kosovo" xfId="39" xr:uid="{00000000-0005-0000-0000-000024000000}"/>
    <cellStyle name="_PCBC output template for Damian Rogers (20080806) (2) 3" xfId="40" xr:uid="{00000000-0005-0000-0000-000025000000}"/>
    <cellStyle name="_prodtons_L1_10_220k_150dpts" xfId="41" xr:uid="{00000000-0005-0000-0000-000026000000}"/>
    <cellStyle name="_RT Data Extraction Oyu Tolgoi 11 Nov 07 V8" xfId="42" xr:uid="{00000000-0005-0000-0000-000027000000}"/>
    <cellStyle name="_Sheet1" xfId="43" xr:uid="{00000000-0005-0000-0000-000028000000}"/>
    <cellStyle name="_Sheet1_Protocol back-up" xfId="44" xr:uid="{00000000-0005-0000-0000-000029000000}"/>
    <cellStyle name="=C:\WINNT\SYSTEM32\COMMAND.COM" xfId="45" xr:uid="{00000000-0005-0000-0000-00002A000000}"/>
    <cellStyle name="=C:\WINNT35\SYSTEM32\COMMAND.COM" xfId="46" xr:uid="{00000000-0005-0000-0000-00002B000000}"/>
    <cellStyle name="=D:\WINNT\SYSTEM32\COMMAND.COM" xfId="47" xr:uid="{00000000-0005-0000-0000-00002C000000}"/>
    <cellStyle name="=D:\WINNT\SYSTEM32\COMMAND.COM 2" xfId="48" xr:uid="{00000000-0005-0000-0000-00002D000000}"/>
    <cellStyle name="02_Rule above and below" xfId="49" xr:uid="{00000000-0005-0000-0000-00002E000000}"/>
    <cellStyle name="03_Table Notes" xfId="50" xr:uid="{00000000-0005-0000-0000-00002F000000}"/>
    <cellStyle name="04_Bold table figs" xfId="51" xr:uid="{00000000-0005-0000-0000-000030000000}"/>
    <cellStyle name="05_table figs" xfId="52" xr:uid="{00000000-0005-0000-0000-000031000000}"/>
    <cellStyle name="06_per cent" xfId="53" xr:uid="{00000000-0005-0000-0000-000032000000}"/>
    <cellStyle name="07_Bold table text" xfId="54" xr:uid="{00000000-0005-0000-0000-000033000000}"/>
    <cellStyle name="0752-93035" xfId="55" xr:uid="{00000000-0005-0000-0000-000034000000}"/>
    <cellStyle name="0752-93035 2" xfId="56" xr:uid="{00000000-0005-0000-0000-000035000000}"/>
    <cellStyle name="0752-93035 3" xfId="57" xr:uid="{00000000-0005-0000-0000-000036000000}"/>
    <cellStyle name="1 Date Input" xfId="58" xr:uid="{00000000-0005-0000-0000-000037000000}"/>
    <cellStyle name="1 indent" xfId="59" xr:uid="{00000000-0005-0000-0000-000038000000}"/>
    <cellStyle name="1 indent 2" xfId="60" xr:uid="{00000000-0005-0000-0000-000039000000}"/>
    <cellStyle name="1 Initial Value" xfId="61" xr:uid="{00000000-0005-0000-0000-00003A000000}"/>
    <cellStyle name="1 Normal Input" xfId="62" xr:uid="{00000000-0005-0000-0000-00003B000000}"/>
    <cellStyle name="1 Percent Input" xfId="63" xr:uid="{00000000-0005-0000-0000-00003C000000}"/>
    <cellStyle name="1 Ratio Input" xfId="64" xr:uid="{00000000-0005-0000-0000-00003D000000}"/>
    <cellStyle name="1 Real Input" xfId="65" xr:uid="{00000000-0005-0000-0000-00003E000000}"/>
    <cellStyle name="1 Title 1" xfId="66" xr:uid="{00000000-0005-0000-0000-00003F000000}"/>
    <cellStyle name="1 Title 2" xfId="67" xr:uid="{00000000-0005-0000-0000-000040000000}"/>
    <cellStyle name="1 Title 3" xfId="68" xr:uid="{00000000-0005-0000-0000-000041000000}"/>
    <cellStyle name="1 Title 4" xfId="69" xr:uid="{00000000-0005-0000-0000-000042000000}"/>
    <cellStyle name="2 Date" xfId="70" xr:uid="{00000000-0005-0000-0000-000043000000}"/>
    <cellStyle name="2 indents" xfId="71" xr:uid="{00000000-0005-0000-0000-000044000000}"/>
    <cellStyle name="2 indents 2" xfId="72" xr:uid="{00000000-0005-0000-0000-000045000000}"/>
    <cellStyle name="2 Percent" xfId="73" xr:uid="{00000000-0005-0000-0000-000046000000}"/>
    <cellStyle name="2 Ratio" xfId="74" xr:uid="{00000000-0005-0000-0000-000047000000}"/>
    <cellStyle name="2 Real" xfId="75" xr:uid="{00000000-0005-0000-0000-000048000000}"/>
    <cellStyle name="20% - Akzent1" xfId="76" xr:uid="{00000000-0005-0000-0000-000049000000}"/>
    <cellStyle name="20% - Akzent2" xfId="77" xr:uid="{00000000-0005-0000-0000-00004A000000}"/>
    <cellStyle name="20% - Akzent3" xfId="78" xr:uid="{00000000-0005-0000-0000-00004B000000}"/>
    <cellStyle name="20% - Akzent4" xfId="79" xr:uid="{00000000-0005-0000-0000-00004C000000}"/>
    <cellStyle name="20% - Akzent5" xfId="80" xr:uid="{00000000-0005-0000-0000-00004D000000}"/>
    <cellStyle name="20% - Akzent6" xfId="81" xr:uid="{00000000-0005-0000-0000-00004E000000}"/>
    <cellStyle name="2x indented GHG Textfiels" xfId="82" xr:uid="{00000000-0005-0000-0000-00004F000000}"/>
    <cellStyle name="3 indents" xfId="83" xr:uid="{00000000-0005-0000-0000-000050000000}"/>
    <cellStyle name="3 indents 2" xfId="84" xr:uid="{00000000-0005-0000-0000-000051000000}"/>
    <cellStyle name="4 indents" xfId="85" xr:uid="{00000000-0005-0000-0000-000052000000}"/>
    <cellStyle name="4 indents 2" xfId="86" xr:uid="{00000000-0005-0000-0000-000053000000}"/>
    <cellStyle name="40% - Akzent1" xfId="87" xr:uid="{00000000-0005-0000-0000-000054000000}"/>
    <cellStyle name="40% - Akzent2" xfId="88" xr:uid="{00000000-0005-0000-0000-000055000000}"/>
    <cellStyle name="40% - Akzent3" xfId="89" xr:uid="{00000000-0005-0000-0000-000056000000}"/>
    <cellStyle name="40% - Akzent4" xfId="90" xr:uid="{00000000-0005-0000-0000-000057000000}"/>
    <cellStyle name="40% - Akzent5" xfId="91" xr:uid="{00000000-0005-0000-0000-000058000000}"/>
    <cellStyle name="40% - Akzent6" xfId="92" xr:uid="{00000000-0005-0000-0000-000059000000}"/>
    <cellStyle name="5 indents" xfId="93" xr:uid="{00000000-0005-0000-0000-00005A000000}"/>
    <cellStyle name="5x indented GHG Textfiels" xfId="94" xr:uid="{00000000-0005-0000-0000-00005B000000}"/>
    <cellStyle name="60% - Akzent1" xfId="95" xr:uid="{00000000-0005-0000-0000-00005C000000}"/>
    <cellStyle name="60% - Akzent2" xfId="96" xr:uid="{00000000-0005-0000-0000-00005D000000}"/>
    <cellStyle name="60% - Akzent3" xfId="97" xr:uid="{00000000-0005-0000-0000-00005E000000}"/>
    <cellStyle name="60% - Akzent4" xfId="98" xr:uid="{00000000-0005-0000-0000-00005F000000}"/>
    <cellStyle name="60% - Akzent5" xfId="99" xr:uid="{00000000-0005-0000-0000-000060000000}"/>
    <cellStyle name="60% - Akzent6" xfId="100" xr:uid="{00000000-0005-0000-0000-000061000000}"/>
    <cellStyle name="_x0007_Á" xfId="101" xr:uid="{00000000-0005-0000-0000-000062000000}"/>
    <cellStyle name="Accent1 - 20%" xfId="102" xr:uid="{00000000-0005-0000-0000-000063000000}"/>
    <cellStyle name="Accent1 - 40%" xfId="103" xr:uid="{00000000-0005-0000-0000-000064000000}"/>
    <cellStyle name="Accent1 - 60%" xfId="104" xr:uid="{00000000-0005-0000-0000-000065000000}"/>
    <cellStyle name="Accent2 - 20%" xfId="105" xr:uid="{00000000-0005-0000-0000-000066000000}"/>
    <cellStyle name="Accent2 - 40%" xfId="106" xr:uid="{00000000-0005-0000-0000-000067000000}"/>
    <cellStyle name="Accent2 - 60%" xfId="107" xr:uid="{00000000-0005-0000-0000-000068000000}"/>
    <cellStyle name="Accent3 - 20%" xfId="108" xr:uid="{00000000-0005-0000-0000-000069000000}"/>
    <cellStyle name="Accent3 - 40%" xfId="109" xr:uid="{00000000-0005-0000-0000-00006A000000}"/>
    <cellStyle name="Accent3 - 60%" xfId="110" xr:uid="{00000000-0005-0000-0000-00006B000000}"/>
    <cellStyle name="Accent4 - 20%" xfId="111" xr:uid="{00000000-0005-0000-0000-00006C000000}"/>
    <cellStyle name="Accent4 - 40%" xfId="112" xr:uid="{00000000-0005-0000-0000-00006D000000}"/>
    <cellStyle name="Accent4 - 60%" xfId="113" xr:uid="{00000000-0005-0000-0000-00006E000000}"/>
    <cellStyle name="Accent5 - 20%" xfId="114" xr:uid="{00000000-0005-0000-0000-00006F000000}"/>
    <cellStyle name="Accent5 - 40%" xfId="115" xr:uid="{00000000-0005-0000-0000-000070000000}"/>
    <cellStyle name="Accent5 - 60%" xfId="116" xr:uid="{00000000-0005-0000-0000-000071000000}"/>
    <cellStyle name="Accent6 - 20%" xfId="117" xr:uid="{00000000-0005-0000-0000-000072000000}"/>
    <cellStyle name="Accent6 - 40%" xfId="118" xr:uid="{00000000-0005-0000-0000-000073000000}"/>
    <cellStyle name="Accent6 - 60%" xfId="119" xr:uid="{00000000-0005-0000-0000-000074000000}"/>
    <cellStyle name="Adjustable" xfId="120" xr:uid="{00000000-0005-0000-0000-000075000000}"/>
    <cellStyle name="AFE" xfId="121" xr:uid="{00000000-0005-0000-0000-000076000000}"/>
    <cellStyle name="AggblueBoldCels" xfId="122" xr:uid="{00000000-0005-0000-0000-000077000000}"/>
    <cellStyle name="AggblueCels" xfId="123" xr:uid="{00000000-0005-0000-0000-000078000000}"/>
    <cellStyle name="AggBoldCells" xfId="124" xr:uid="{00000000-0005-0000-0000-000079000000}"/>
    <cellStyle name="AggCels" xfId="125" xr:uid="{00000000-0005-0000-0000-00007A000000}"/>
    <cellStyle name="AggGreen" xfId="126" xr:uid="{00000000-0005-0000-0000-00007B000000}"/>
    <cellStyle name="AggGreen12" xfId="127" xr:uid="{00000000-0005-0000-0000-00007C000000}"/>
    <cellStyle name="AggOrange" xfId="128" xr:uid="{00000000-0005-0000-0000-00007D000000}"/>
    <cellStyle name="AggOrange9" xfId="129" xr:uid="{00000000-0005-0000-0000-00007E000000}"/>
    <cellStyle name="AggOrangeLB_2x" xfId="130" xr:uid="{00000000-0005-0000-0000-00007F000000}"/>
    <cellStyle name="AggOrangeLBorder" xfId="131" xr:uid="{00000000-0005-0000-0000-000080000000}"/>
    <cellStyle name="AggOrangeRBorder" xfId="132" xr:uid="{00000000-0005-0000-0000-000081000000}"/>
    <cellStyle name="Akzent1" xfId="133" xr:uid="{00000000-0005-0000-0000-000082000000}"/>
    <cellStyle name="Akzent2" xfId="134" xr:uid="{00000000-0005-0000-0000-000083000000}"/>
    <cellStyle name="Akzent3" xfId="135" xr:uid="{00000000-0005-0000-0000-000084000000}"/>
    <cellStyle name="Akzent4" xfId="136" xr:uid="{00000000-0005-0000-0000-000085000000}"/>
    <cellStyle name="Akzent5" xfId="137" xr:uid="{00000000-0005-0000-0000-000086000000}"/>
    <cellStyle name="Akzent6" xfId="138" xr:uid="{00000000-0005-0000-0000-000087000000}"/>
    <cellStyle name="AMN" xfId="139" xr:uid="{00000000-0005-0000-0000-000088000000}"/>
    <cellStyle name="ANCLAS,REZONES Y SUS PARTES,DE FUNDICION,DE HIERRO O DE ACERO" xfId="140" xr:uid="{00000000-0005-0000-0000-000089000000}"/>
    <cellStyle name="Array" xfId="141" xr:uid="{00000000-0005-0000-0000-00008A000000}"/>
    <cellStyle name="Array Enter" xfId="142" xr:uid="{00000000-0005-0000-0000-00008B000000}"/>
    <cellStyle name="Ausgabe" xfId="143" xr:uid="{00000000-0005-0000-0000-00008C000000}"/>
    <cellStyle name="b" xfId="144" xr:uid="{00000000-0005-0000-0000-00008D000000}"/>
    <cellStyle name="b_Book1" xfId="145" xr:uid="{00000000-0005-0000-0000-00008E000000}"/>
    <cellStyle name="b_Book21" xfId="146" xr:uid="{00000000-0005-0000-0000-00008F000000}"/>
    <cellStyle name="b_Capacity Charge - Examples V9" xfId="147" xr:uid="{00000000-0005-0000-0000-000090000000}"/>
    <cellStyle name="b_Capacity Charge - Examples V91" xfId="148" xr:uid="{00000000-0005-0000-0000-000091000000}"/>
    <cellStyle name="Bad 2" xfId="149" xr:uid="{00000000-0005-0000-0000-000092000000}"/>
    <cellStyle name="BE Pickup Link" xfId="150" xr:uid="{00000000-0005-0000-0000-000093000000}"/>
    <cellStyle name="Berechnung" xfId="151" xr:uid="{00000000-0005-0000-0000-000094000000}"/>
    <cellStyle name="Best" xfId="152" xr:uid="{00000000-0005-0000-0000-000095000000}"/>
    <cellStyle name="Black" xfId="153" xr:uid="{00000000-0005-0000-0000-000096000000}"/>
    <cellStyle name="Blank" xfId="154" xr:uid="{00000000-0005-0000-0000-000097000000}"/>
    <cellStyle name="Blue" xfId="155" xr:uid="{00000000-0005-0000-0000-000098000000}"/>
    <cellStyle name="Body_$Numeric" xfId="156" xr:uid="{00000000-0005-0000-0000-000099000000}"/>
    <cellStyle name="Bold GHG Numbers (0.00)" xfId="157" xr:uid="{00000000-0005-0000-0000-00009A000000}"/>
    <cellStyle name="Book Link" xfId="158" xr:uid="{00000000-0005-0000-0000-00009B000000}"/>
    <cellStyle name="Bracket $'000 calc" xfId="159" xr:uid="{00000000-0005-0000-0000-00009C000000}"/>
    <cellStyle name="Bracket $'000 total" xfId="160" xr:uid="{00000000-0005-0000-0000-00009D000000}"/>
    <cellStyle name="Bracket $'000 total 2" xfId="161" xr:uid="{00000000-0005-0000-0000-00009E000000}"/>
    <cellStyle name="Bracket $'000 total 2 2" xfId="162" xr:uid="{00000000-0005-0000-0000-00009F000000}"/>
    <cellStyle name="Bracket $'000 total 2 3" xfId="163" xr:uid="{00000000-0005-0000-0000-0000A0000000}"/>
    <cellStyle name="Bracket $'000 total 2 4" xfId="164" xr:uid="{00000000-0005-0000-0000-0000A1000000}"/>
    <cellStyle name="Bracket $'000 total 2 5" xfId="165" xr:uid="{00000000-0005-0000-0000-0000A2000000}"/>
    <cellStyle name="Bracket $'000 total 2 6" xfId="166" xr:uid="{00000000-0005-0000-0000-0000A3000000}"/>
    <cellStyle name="Bracket $'000 total 2_Kosovo" xfId="167" xr:uid="{00000000-0005-0000-0000-0000A4000000}"/>
    <cellStyle name="Bracket $'000 total 3" xfId="168" xr:uid="{00000000-0005-0000-0000-0000A5000000}"/>
    <cellStyle name="Bracket $'000 total 3 2" xfId="169" xr:uid="{00000000-0005-0000-0000-0000A6000000}"/>
    <cellStyle name="Bracket $'000 total 3 3" xfId="170" xr:uid="{00000000-0005-0000-0000-0000A7000000}"/>
    <cellStyle name="Bracket $'000 total 3 4" xfId="171" xr:uid="{00000000-0005-0000-0000-0000A8000000}"/>
    <cellStyle name="Bracket $'000 total 3 5" xfId="172" xr:uid="{00000000-0005-0000-0000-0000A9000000}"/>
    <cellStyle name="Bracket $'000 total 3 6" xfId="173" xr:uid="{00000000-0005-0000-0000-0000AA000000}"/>
    <cellStyle name="Bracket $'000 total 3_Kosovo" xfId="174" xr:uid="{00000000-0005-0000-0000-0000AB000000}"/>
    <cellStyle name="Bracket $'000 total 4" xfId="175" xr:uid="{00000000-0005-0000-0000-0000AC000000}"/>
    <cellStyle name="Bracket $'000 total 4 2" xfId="176" xr:uid="{00000000-0005-0000-0000-0000AD000000}"/>
    <cellStyle name="Bracket $'000 total 4 3" xfId="177" xr:uid="{00000000-0005-0000-0000-0000AE000000}"/>
    <cellStyle name="Bracket $'000 total 4 4" xfId="178" xr:uid="{00000000-0005-0000-0000-0000AF000000}"/>
    <cellStyle name="Bracket $'000 total 4 5" xfId="179" xr:uid="{00000000-0005-0000-0000-0000B0000000}"/>
    <cellStyle name="Bracket $'000 total 4_Kosovo" xfId="180" xr:uid="{00000000-0005-0000-0000-0000B1000000}"/>
    <cellStyle name="Bracket $'000 total 5" xfId="181" xr:uid="{00000000-0005-0000-0000-0000B2000000}"/>
    <cellStyle name="Bracket $'000 total 5 2" xfId="182" xr:uid="{00000000-0005-0000-0000-0000B3000000}"/>
    <cellStyle name="Bracket $'000 total 5 3" xfId="183" xr:uid="{00000000-0005-0000-0000-0000B4000000}"/>
    <cellStyle name="Bracket $'000 total 5 4" xfId="184" xr:uid="{00000000-0005-0000-0000-0000B5000000}"/>
    <cellStyle name="Bracket $'000 total 5 5" xfId="185" xr:uid="{00000000-0005-0000-0000-0000B6000000}"/>
    <cellStyle name="Bracket $'000 total 5_Kosovo" xfId="186" xr:uid="{00000000-0005-0000-0000-0000B7000000}"/>
    <cellStyle name="Bracket $'000 total 6" xfId="187" xr:uid="{00000000-0005-0000-0000-0000B8000000}"/>
    <cellStyle name="Bracket $'000 total 6 2" xfId="188" xr:uid="{00000000-0005-0000-0000-0000B9000000}"/>
    <cellStyle name="Bracket $'000 total 6 3" xfId="189" xr:uid="{00000000-0005-0000-0000-0000BA000000}"/>
    <cellStyle name="Bracket $'000 total 6 4" xfId="190" xr:uid="{00000000-0005-0000-0000-0000BB000000}"/>
    <cellStyle name="Bracket $'000 total 6 5" xfId="191" xr:uid="{00000000-0005-0000-0000-0000BC000000}"/>
    <cellStyle name="Bracket $'000 total 6_Kosovo" xfId="192" xr:uid="{00000000-0005-0000-0000-0000BD000000}"/>
    <cellStyle name="Bracket $'000 total_Kosovo" xfId="193" xr:uid="{00000000-0005-0000-0000-0000BE000000}"/>
    <cellStyle name="Bracket 0 Decimal calc" xfId="194" xr:uid="{00000000-0005-0000-0000-0000BF000000}"/>
    <cellStyle name="Bracket 0 Decimal Input" xfId="195" xr:uid="{00000000-0005-0000-0000-0000C0000000}"/>
    <cellStyle name="Bracket 0 Decimal Total" xfId="196" xr:uid="{00000000-0005-0000-0000-0000C1000000}"/>
    <cellStyle name="Bracket 0 Decimal Total 2" xfId="197" xr:uid="{00000000-0005-0000-0000-0000C2000000}"/>
    <cellStyle name="Bracket 0 Decimal Total 2 2" xfId="198" xr:uid="{00000000-0005-0000-0000-0000C3000000}"/>
    <cellStyle name="Bracket 0 Decimal Total 2 3" xfId="199" xr:uid="{00000000-0005-0000-0000-0000C4000000}"/>
    <cellStyle name="Bracket 0 Decimal Total 2 4" xfId="200" xr:uid="{00000000-0005-0000-0000-0000C5000000}"/>
    <cellStyle name="Bracket 0 Decimal Total 2 5" xfId="201" xr:uid="{00000000-0005-0000-0000-0000C6000000}"/>
    <cellStyle name="Bracket 0 Decimal Total 2 6" xfId="202" xr:uid="{00000000-0005-0000-0000-0000C7000000}"/>
    <cellStyle name="Bracket 0 Decimal Total 2_Kosovo" xfId="203" xr:uid="{00000000-0005-0000-0000-0000C8000000}"/>
    <cellStyle name="Bracket 0 Decimal Total 3" xfId="204" xr:uid="{00000000-0005-0000-0000-0000C9000000}"/>
    <cellStyle name="Bracket 0 Decimal Total 3 2" xfId="205" xr:uid="{00000000-0005-0000-0000-0000CA000000}"/>
    <cellStyle name="Bracket 0 Decimal Total 3 3" xfId="206" xr:uid="{00000000-0005-0000-0000-0000CB000000}"/>
    <cellStyle name="Bracket 0 Decimal Total 3 4" xfId="207" xr:uid="{00000000-0005-0000-0000-0000CC000000}"/>
    <cellStyle name="Bracket 0 Decimal Total 3 5" xfId="208" xr:uid="{00000000-0005-0000-0000-0000CD000000}"/>
    <cellStyle name="Bracket 0 Decimal Total 3 6" xfId="209" xr:uid="{00000000-0005-0000-0000-0000CE000000}"/>
    <cellStyle name="Bracket 0 Decimal Total 3_Kosovo" xfId="210" xr:uid="{00000000-0005-0000-0000-0000CF000000}"/>
    <cellStyle name="Bracket 0 Decimal Total 4" xfId="211" xr:uid="{00000000-0005-0000-0000-0000D0000000}"/>
    <cellStyle name="Bracket 0 Decimal Total 4 2" xfId="212" xr:uid="{00000000-0005-0000-0000-0000D1000000}"/>
    <cellStyle name="Bracket 0 Decimal Total 4 3" xfId="213" xr:uid="{00000000-0005-0000-0000-0000D2000000}"/>
    <cellStyle name="Bracket 0 Decimal Total 4 4" xfId="214" xr:uid="{00000000-0005-0000-0000-0000D3000000}"/>
    <cellStyle name="Bracket 0 Decimal Total 4 5" xfId="215" xr:uid="{00000000-0005-0000-0000-0000D4000000}"/>
    <cellStyle name="Bracket 0 Decimal Total 4_Kosovo" xfId="216" xr:uid="{00000000-0005-0000-0000-0000D5000000}"/>
    <cellStyle name="Bracket 0 Decimal Total 5" xfId="217" xr:uid="{00000000-0005-0000-0000-0000D6000000}"/>
    <cellStyle name="Bracket 0 Decimal Total 5 2" xfId="218" xr:uid="{00000000-0005-0000-0000-0000D7000000}"/>
    <cellStyle name="Bracket 0 Decimal Total 5 3" xfId="219" xr:uid="{00000000-0005-0000-0000-0000D8000000}"/>
    <cellStyle name="Bracket 0 Decimal Total 5 4" xfId="220" xr:uid="{00000000-0005-0000-0000-0000D9000000}"/>
    <cellStyle name="Bracket 0 Decimal Total 5 5" xfId="221" xr:uid="{00000000-0005-0000-0000-0000DA000000}"/>
    <cellStyle name="Bracket 0 Decimal Total 5_Kosovo" xfId="222" xr:uid="{00000000-0005-0000-0000-0000DB000000}"/>
    <cellStyle name="Bracket 0 Decimal Total 6" xfId="223" xr:uid="{00000000-0005-0000-0000-0000DC000000}"/>
    <cellStyle name="Bracket 0 Decimal Total 6 2" xfId="224" xr:uid="{00000000-0005-0000-0000-0000DD000000}"/>
    <cellStyle name="Bracket 0 Decimal Total 6 3" xfId="225" xr:uid="{00000000-0005-0000-0000-0000DE000000}"/>
    <cellStyle name="Bracket 0 Decimal Total 6 4" xfId="226" xr:uid="{00000000-0005-0000-0000-0000DF000000}"/>
    <cellStyle name="Bracket 0 Decimal Total 6 5" xfId="227" xr:uid="{00000000-0005-0000-0000-0000E0000000}"/>
    <cellStyle name="Bracket 0 Decimal Total 6_Kosovo" xfId="228" xr:uid="{00000000-0005-0000-0000-0000E1000000}"/>
    <cellStyle name="Bracket 0 Decimal Total_Kosovo" xfId="229" xr:uid="{00000000-0005-0000-0000-0000E2000000}"/>
    <cellStyle name="Bracket 1 Decimal Input" xfId="230" xr:uid="{00000000-0005-0000-0000-0000E3000000}"/>
    <cellStyle name="Bracket 2 Decimal calc" xfId="231" xr:uid="{00000000-0005-0000-0000-0000E4000000}"/>
    <cellStyle name="Bracket 2 Decimal input" xfId="232" xr:uid="{00000000-0005-0000-0000-0000E5000000}"/>
    <cellStyle name="Bracket 2 Decimal total" xfId="233" xr:uid="{00000000-0005-0000-0000-0000E6000000}"/>
    <cellStyle name="Bridget" xfId="234" xr:uid="{00000000-0005-0000-0000-0000E7000000}"/>
    <cellStyle name="Bullet" xfId="235" xr:uid="{00000000-0005-0000-0000-0000E8000000}"/>
    <cellStyle name="C01_Main head" xfId="236" xr:uid="{00000000-0005-0000-0000-0000E9000000}"/>
    <cellStyle name="C02_Column heads" xfId="237" xr:uid="{00000000-0005-0000-0000-0000EA000000}"/>
    <cellStyle name="C03_Sub head bold" xfId="238" xr:uid="{00000000-0005-0000-0000-0000EB000000}"/>
    <cellStyle name="C03a_Sub head" xfId="239" xr:uid="{00000000-0005-0000-0000-0000EC000000}"/>
    <cellStyle name="C04_Total text white bold" xfId="240" xr:uid="{00000000-0005-0000-0000-0000ED000000}"/>
    <cellStyle name="C04a_Total text black with rule" xfId="241" xr:uid="{00000000-0005-0000-0000-0000EE000000}"/>
    <cellStyle name="C05_Main text" xfId="242" xr:uid="{00000000-0005-0000-0000-0000EF000000}"/>
    <cellStyle name="C06_Figs" xfId="243" xr:uid="{00000000-0005-0000-0000-0000F0000000}"/>
    <cellStyle name="C07_Figs 1 dec percent" xfId="244" xr:uid="{00000000-0005-0000-0000-0000F1000000}"/>
    <cellStyle name="C08_Figs 1 decimal" xfId="245" xr:uid="{00000000-0005-0000-0000-0000F2000000}"/>
    <cellStyle name="C09_Notes" xfId="246" xr:uid="{00000000-0005-0000-0000-0000F3000000}"/>
    <cellStyle name="Cabe‡alho 1" xfId="247" xr:uid="{00000000-0005-0000-0000-0000F4000000}"/>
    <cellStyle name="Cabe‡alho 2" xfId="248" xr:uid="{00000000-0005-0000-0000-0000F5000000}"/>
    <cellStyle name="Cabecera 1" xfId="249" xr:uid="{00000000-0005-0000-0000-0000F6000000}"/>
    <cellStyle name="Cabecera 2" xfId="250" xr:uid="{00000000-0005-0000-0000-0000F7000000}"/>
    <cellStyle name="Calculation 2" xfId="251" xr:uid="{00000000-0005-0000-0000-0000F8000000}"/>
    <cellStyle name="Calculation 2 2" xfId="252" xr:uid="{00000000-0005-0000-0000-0000F9000000}"/>
    <cellStyle name="Calculation 2 2 2" xfId="253" xr:uid="{00000000-0005-0000-0000-0000FA000000}"/>
    <cellStyle name="Calculation 2 2 3" xfId="254" xr:uid="{00000000-0005-0000-0000-0000FB000000}"/>
    <cellStyle name="Calculation 2 2 4" xfId="255" xr:uid="{00000000-0005-0000-0000-0000FC000000}"/>
    <cellStyle name="Calculation 2 2 5" xfId="256" xr:uid="{00000000-0005-0000-0000-0000FD000000}"/>
    <cellStyle name="Calculation 2 2 6" xfId="257" xr:uid="{00000000-0005-0000-0000-0000FE000000}"/>
    <cellStyle name="Calculation 2 2_Kosovo" xfId="258" xr:uid="{00000000-0005-0000-0000-0000FF000000}"/>
    <cellStyle name="Calculation 2 3" xfId="259" xr:uid="{00000000-0005-0000-0000-000000010000}"/>
    <cellStyle name="Calculation 2 4" xfId="260" xr:uid="{00000000-0005-0000-0000-000001010000}"/>
    <cellStyle name="Calculation 2_Kosovo" xfId="261" xr:uid="{00000000-0005-0000-0000-000002010000}"/>
    <cellStyle name="CenterHeader1" xfId="262" xr:uid="{00000000-0005-0000-0000-000003010000}"/>
    <cellStyle name="CenterHeader2" xfId="263" xr:uid="{00000000-0005-0000-0000-000004010000}"/>
    <cellStyle name="Check Cell 2" xfId="264" xr:uid="{00000000-0005-0000-0000-000005010000}"/>
    <cellStyle name="Clive" xfId="265" xr:uid="{00000000-0005-0000-0000-000006010000}"/>
    <cellStyle name="clsAltData" xfId="266" xr:uid="{00000000-0005-0000-0000-000007010000}"/>
    <cellStyle name="clsAltData 2" xfId="267" xr:uid="{00000000-0005-0000-0000-000008010000}"/>
    <cellStyle name="clsAltData 2 2" xfId="268" xr:uid="{00000000-0005-0000-0000-000009010000}"/>
    <cellStyle name="clsAltData 3" xfId="269" xr:uid="{00000000-0005-0000-0000-00000A010000}"/>
    <cellStyle name="clsAltDataPrezn1" xfId="270" xr:uid="{00000000-0005-0000-0000-00000B010000}"/>
    <cellStyle name="clsAltDataPrezn3" xfId="271" xr:uid="{00000000-0005-0000-0000-00000C010000}"/>
    <cellStyle name="clsAltDataPrezn4" xfId="272" xr:uid="{00000000-0005-0000-0000-00000D010000}"/>
    <cellStyle name="clsAltDataPrezn5" xfId="273" xr:uid="{00000000-0005-0000-0000-00000E010000}"/>
    <cellStyle name="clsAltDataPrezn6" xfId="274" xr:uid="{00000000-0005-0000-0000-00000F010000}"/>
    <cellStyle name="clsAltMRVData" xfId="275" xr:uid="{00000000-0005-0000-0000-000010010000}"/>
    <cellStyle name="clsAltMRVData 2" xfId="276" xr:uid="{00000000-0005-0000-0000-000011010000}"/>
    <cellStyle name="clsAltMRVData 2 2" xfId="277" xr:uid="{00000000-0005-0000-0000-000012010000}"/>
    <cellStyle name="clsAltMRVData 3" xfId="278" xr:uid="{00000000-0005-0000-0000-000013010000}"/>
    <cellStyle name="clsAltMRVDataPrezn1" xfId="279" xr:uid="{00000000-0005-0000-0000-000014010000}"/>
    <cellStyle name="clsAltMRVDataPrezn3" xfId="280" xr:uid="{00000000-0005-0000-0000-000015010000}"/>
    <cellStyle name="clsAltMRVDataPrezn4" xfId="281" xr:uid="{00000000-0005-0000-0000-000016010000}"/>
    <cellStyle name="clsAltMRVDataPrezn5" xfId="282" xr:uid="{00000000-0005-0000-0000-000017010000}"/>
    <cellStyle name="clsAltMRVDataPrezn6" xfId="283" xr:uid="{00000000-0005-0000-0000-000018010000}"/>
    <cellStyle name="clsBlank" xfId="284" xr:uid="{00000000-0005-0000-0000-000019010000}"/>
    <cellStyle name="clsColumnHeader" xfId="285" xr:uid="{00000000-0005-0000-0000-00001A010000}"/>
    <cellStyle name="clsColumnHeader 2" xfId="286" xr:uid="{00000000-0005-0000-0000-00001B010000}"/>
    <cellStyle name="clsColumnHeader 2 2" xfId="287" xr:uid="{00000000-0005-0000-0000-00001C010000}"/>
    <cellStyle name="clsColumnHeader 3" xfId="288" xr:uid="{00000000-0005-0000-0000-00001D010000}"/>
    <cellStyle name="clsData" xfId="289" xr:uid="{00000000-0005-0000-0000-00001E010000}"/>
    <cellStyle name="clsData 2" xfId="290" xr:uid="{00000000-0005-0000-0000-00001F010000}"/>
    <cellStyle name="clsData 2 2" xfId="291" xr:uid="{00000000-0005-0000-0000-000020010000}"/>
    <cellStyle name="clsData 3" xfId="292" xr:uid="{00000000-0005-0000-0000-000021010000}"/>
    <cellStyle name="clsDataPrezn1" xfId="293" xr:uid="{00000000-0005-0000-0000-000022010000}"/>
    <cellStyle name="clsDataPrezn3" xfId="294" xr:uid="{00000000-0005-0000-0000-000023010000}"/>
    <cellStyle name="clsDataPrezn4" xfId="295" xr:uid="{00000000-0005-0000-0000-000024010000}"/>
    <cellStyle name="clsDataPrezn5" xfId="296" xr:uid="{00000000-0005-0000-0000-000025010000}"/>
    <cellStyle name="clsDataPrezn6" xfId="297" xr:uid="{00000000-0005-0000-0000-000026010000}"/>
    <cellStyle name="clsDefault" xfId="298" xr:uid="{00000000-0005-0000-0000-000027010000}"/>
    <cellStyle name="clsFooter" xfId="299" xr:uid="{00000000-0005-0000-0000-000028010000}"/>
    <cellStyle name="clsFooter 2" xfId="300" xr:uid="{00000000-0005-0000-0000-000029010000}"/>
    <cellStyle name="clsFooter 2 2" xfId="301" xr:uid="{00000000-0005-0000-0000-00002A010000}"/>
    <cellStyle name="clsFooter 3" xfId="302" xr:uid="{00000000-0005-0000-0000-00002B010000}"/>
    <cellStyle name="clsIndexTableData" xfId="303" xr:uid="{00000000-0005-0000-0000-00002C010000}"/>
    <cellStyle name="clsIndexTableHdr" xfId="304" xr:uid="{00000000-0005-0000-0000-00002D010000}"/>
    <cellStyle name="clsIndexTableTitle" xfId="305" xr:uid="{00000000-0005-0000-0000-00002E010000}"/>
    <cellStyle name="clsIndexTableTitle 2" xfId="306" xr:uid="{00000000-0005-0000-0000-00002F010000}"/>
    <cellStyle name="clsIndexTableTitle 2 2" xfId="307" xr:uid="{00000000-0005-0000-0000-000030010000}"/>
    <cellStyle name="clsIndexTableTitle 3" xfId="308" xr:uid="{00000000-0005-0000-0000-000031010000}"/>
    <cellStyle name="clsMRVData" xfId="309" xr:uid="{00000000-0005-0000-0000-000032010000}"/>
    <cellStyle name="clsMRVData 2" xfId="310" xr:uid="{00000000-0005-0000-0000-000033010000}"/>
    <cellStyle name="clsMRVData 2 2" xfId="311" xr:uid="{00000000-0005-0000-0000-000034010000}"/>
    <cellStyle name="clsMRVData 3" xfId="312" xr:uid="{00000000-0005-0000-0000-000035010000}"/>
    <cellStyle name="clsMRVDataPrezn1" xfId="313" xr:uid="{00000000-0005-0000-0000-000036010000}"/>
    <cellStyle name="clsMRVDataPrezn3" xfId="314" xr:uid="{00000000-0005-0000-0000-000037010000}"/>
    <cellStyle name="clsMRVDataPrezn4" xfId="315" xr:uid="{00000000-0005-0000-0000-000038010000}"/>
    <cellStyle name="clsMRVDataPrezn5" xfId="316" xr:uid="{00000000-0005-0000-0000-000039010000}"/>
    <cellStyle name="clsMRVDataPrezn6" xfId="317" xr:uid="{00000000-0005-0000-0000-00003A010000}"/>
    <cellStyle name="clsReportFooter" xfId="318" xr:uid="{00000000-0005-0000-0000-00003B010000}"/>
    <cellStyle name="clsReportFooter 2" xfId="319" xr:uid="{00000000-0005-0000-0000-00003C010000}"/>
    <cellStyle name="clsReportFooter 2 2" xfId="320" xr:uid="{00000000-0005-0000-0000-00003D010000}"/>
    <cellStyle name="clsReportFooter 3" xfId="321" xr:uid="{00000000-0005-0000-0000-00003E010000}"/>
    <cellStyle name="clsReportHeader" xfId="322" xr:uid="{00000000-0005-0000-0000-00003F010000}"/>
    <cellStyle name="clsReportHeader 2" xfId="323" xr:uid="{00000000-0005-0000-0000-000040010000}"/>
    <cellStyle name="clsReportHeader 2 2" xfId="324" xr:uid="{00000000-0005-0000-0000-000041010000}"/>
    <cellStyle name="clsReportHeader 3" xfId="325" xr:uid="{00000000-0005-0000-0000-000042010000}"/>
    <cellStyle name="clsRowHeader" xfId="326" xr:uid="{00000000-0005-0000-0000-000043010000}"/>
    <cellStyle name="clsRowHeader 2" xfId="327" xr:uid="{00000000-0005-0000-0000-000044010000}"/>
    <cellStyle name="clsRowHeader 2 2" xfId="328" xr:uid="{00000000-0005-0000-0000-000045010000}"/>
    <cellStyle name="clsRowHeader 3" xfId="329" xr:uid="{00000000-0005-0000-0000-000046010000}"/>
    <cellStyle name="clsScale" xfId="330" xr:uid="{00000000-0005-0000-0000-000047010000}"/>
    <cellStyle name="clsSection" xfId="331" xr:uid="{00000000-0005-0000-0000-000048010000}"/>
    <cellStyle name="clsSection 2" xfId="332" xr:uid="{00000000-0005-0000-0000-000049010000}"/>
    <cellStyle name="clsSection 2 2" xfId="333" xr:uid="{00000000-0005-0000-0000-00004A010000}"/>
    <cellStyle name="clsSection 3" xfId="334" xr:uid="{00000000-0005-0000-0000-00004B010000}"/>
    <cellStyle name="Column heading" xfId="335" xr:uid="{00000000-0005-0000-0000-00004C010000}"/>
    <cellStyle name="ColumnHeading" xfId="336" xr:uid="{00000000-0005-0000-0000-00004D010000}"/>
    <cellStyle name="Comet" xfId="337" xr:uid="{00000000-0005-0000-0000-00004E010000}"/>
    <cellStyle name="Comma  - Style1" xfId="338" xr:uid="{00000000-0005-0000-0000-00004F010000}"/>
    <cellStyle name="Comma  - Style2" xfId="339" xr:uid="{00000000-0005-0000-0000-000050010000}"/>
    <cellStyle name="Comma  - Style3" xfId="340" xr:uid="{00000000-0005-0000-0000-000051010000}"/>
    <cellStyle name="Comma  - Style4" xfId="341" xr:uid="{00000000-0005-0000-0000-000052010000}"/>
    <cellStyle name="Comma  - Style5" xfId="342" xr:uid="{00000000-0005-0000-0000-000053010000}"/>
    <cellStyle name="Comma  - Style6" xfId="343" xr:uid="{00000000-0005-0000-0000-000054010000}"/>
    <cellStyle name="Comma  - Style7" xfId="344" xr:uid="{00000000-0005-0000-0000-000055010000}"/>
    <cellStyle name="Comma  - Style8" xfId="345" xr:uid="{00000000-0005-0000-0000-000056010000}"/>
    <cellStyle name="Comma [1]" xfId="346" xr:uid="{00000000-0005-0000-0000-000057010000}"/>
    <cellStyle name="Comma 0" xfId="347" xr:uid="{00000000-0005-0000-0000-000058010000}"/>
    <cellStyle name="Comma 1" xfId="348" xr:uid="{00000000-0005-0000-0000-000059010000}"/>
    <cellStyle name="Comma 10" xfId="349" xr:uid="{00000000-0005-0000-0000-00005A010000}"/>
    <cellStyle name="Comma 11" xfId="350" xr:uid="{00000000-0005-0000-0000-00005B010000}"/>
    <cellStyle name="Comma 11 2" xfId="351" xr:uid="{00000000-0005-0000-0000-00005C010000}"/>
    <cellStyle name="Comma 12" xfId="352" xr:uid="{00000000-0005-0000-0000-00005D010000}"/>
    <cellStyle name="Comma 13" xfId="353" xr:uid="{00000000-0005-0000-0000-00005E010000}"/>
    <cellStyle name="Comma 13 2" xfId="354" xr:uid="{00000000-0005-0000-0000-00005F010000}"/>
    <cellStyle name="Comma 13 3" xfId="355" xr:uid="{00000000-0005-0000-0000-000060010000}"/>
    <cellStyle name="Comma 14" xfId="356" xr:uid="{00000000-0005-0000-0000-000061010000}"/>
    <cellStyle name="Comma 15" xfId="357" xr:uid="{00000000-0005-0000-0000-000062010000}"/>
    <cellStyle name="Comma 2" xfId="358" xr:uid="{00000000-0005-0000-0000-000063010000}"/>
    <cellStyle name="Comma 2 2" xfId="359" xr:uid="{00000000-0005-0000-0000-000064010000}"/>
    <cellStyle name="Comma 2 3" xfId="360" xr:uid="{00000000-0005-0000-0000-000065010000}"/>
    <cellStyle name="Comma 2 4" xfId="361" xr:uid="{00000000-0005-0000-0000-000066010000}"/>
    <cellStyle name="Comma 2 5" xfId="362" xr:uid="{00000000-0005-0000-0000-000067010000}"/>
    <cellStyle name="Comma 2 6" xfId="363" xr:uid="{00000000-0005-0000-0000-000068010000}"/>
    <cellStyle name="Comma 2_Periods" xfId="364" xr:uid="{00000000-0005-0000-0000-000069010000}"/>
    <cellStyle name="Comma 3" xfId="365" xr:uid="{00000000-0005-0000-0000-00006A010000}"/>
    <cellStyle name="Comma 3 2" xfId="366" xr:uid="{00000000-0005-0000-0000-00006B010000}"/>
    <cellStyle name="Comma 3 3" xfId="367" xr:uid="{00000000-0005-0000-0000-00006C010000}"/>
    <cellStyle name="Comma 4" xfId="368" xr:uid="{00000000-0005-0000-0000-00006D010000}"/>
    <cellStyle name="Comma 5" xfId="369" xr:uid="{00000000-0005-0000-0000-00006E010000}"/>
    <cellStyle name="Comma 6" xfId="370" xr:uid="{00000000-0005-0000-0000-00006F010000}"/>
    <cellStyle name="Comma 7" xfId="371" xr:uid="{00000000-0005-0000-0000-000070010000}"/>
    <cellStyle name="Comma 8" xfId="372" xr:uid="{00000000-0005-0000-0000-000071010000}"/>
    <cellStyle name="Comma 9" xfId="373" xr:uid="{00000000-0005-0000-0000-000072010000}"/>
    <cellStyle name="Comma0" xfId="374" xr:uid="{00000000-0005-0000-0000-000073010000}"/>
    <cellStyle name="Comma0 2" xfId="375" xr:uid="{00000000-0005-0000-0000-000074010000}"/>
    <cellStyle name="Comma1" xfId="376" xr:uid="{00000000-0005-0000-0000-000075010000}"/>
    <cellStyle name="CompanyNum" xfId="377" xr:uid="{00000000-0005-0000-0000-000076010000}"/>
    <cellStyle name="Constants" xfId="378" xr:uid="{00000000-0005-0000-0000-000077010000}"/>
    <cellStyle name="Corner heading" xfId="379" xr:uid="{00000000-0005-0000-0000-000078010000}"/>
    <cellStyle name="Currency 2" xfId="380" xr:uid="{00000000-0005-0000-0000-000079010000}"/>
    <cellStyle name="Currency 2 2" xfId="381" xr:uid="{00000000-0005-0000-0000-00007A010000}"/>
    <cellStyle name="Currency 3" xfId="382" xr:uid="{00000000-0005-0000-0000-00007B010000}"/>
    <cellStyle name="Currency 4" xfId="383" xr:uid="{00000000-0005-0000-0000-00007C010000}"/>
    <cellStyle name="Currency0" xfId="384" xr:uid="{00000000-0005-0000-0000-00007D010000}"/>
    <cellStyle name="Currency0 2" xfId="385" xr:uid="{00000000-0005-0000-0000-00007E010000}"/>
    <cellStyle name="CustomCellsOrange" xfId="386" xr:uid="{00000000-0005-0000-0000-00007F010000}"/>
    <cellStyle name="CustomizationCells" xfId="387" xr:uid="{00000000-0005-0000-0000-000080010000}"/>
    <cellStyle name="CustomizationGreenCells" xfId="388" xr:uid="{00000000-0005-0000-0000-000081010000}"/>
    <cellStyle name="Data" xfId="389" xr:uid="{00000000-0005-0000-0000-000082010000}"/>
    <cellStyle name="Data no deci" xfId="390" xr:uid="{00000000-0005-0000-0000-000083010000}"/>
    <cellStyle name="Data Superscript" xfId="391" xr:uid="{00000000-0005-0000-0000-000084010000}"/>
    <cellStyle name="Data_081013 Data Request 9-Link between GDP &amp; Demand growth" xfId="392" xr:uid="{00000000-0005-0000-0000-000085010000}"/>
    <cellStyle name="Data-one deci" xfId="393" xr:uid="{00000000-0005-0000-0000-000086010000}"/>
    <cellStyle name="Date" xfId="394" xr:uid="{00000000-0005-0000-0000-000087010000}"/>
    <cellStyle name="Date 2" xfId="395" xr:uid="{00000000-0005-0000-0000-000088010000}"/>
    <cellStyle name="Dezimal_Energiekosten_test" xfId="396" xr:uid="{00000000-0005-0000-0000-000089010000}"/>
    <cellStyle name="diskette" xfId="397" xr:uid="{00000000-0005-0000-0000-00008A010000}"/>
    <cellStyle name="DocBox_EmptyRow" xfId="398" xr:uid="{00000000-0005-0000-0000-00008B010000}"/>
    <cellStyle name="Dollars M" xfId="399" xr:uid="{00000000-0005-0000-0000-00008C010000}"/>
    <cellStyle name="Eingabe" xfId="400" xr:uid="{00000000-0005-0000-0000-00008D010000}"/>
    <cellStyle name="Emphasis 1" xfId="401" xr:uid="{00000000-0005-0000-0000-00008E010000}"/>
    <cellStyle name="Emphasis 2" xfId="402" xr:uid="{00000000-0005-0000-0000-00008F010000}"/>
    <cellStyle name="Emphasis 3" xfId="403" xr:uid="{00000000-0005-0000-0000-000090010000}"/>
    <cellStyle name="Empty_B_border" xfId="404" xr:uid="{00000000-0005-0000-0000-000091010000}"/>
    <cellStyle name="Ergebnis" xfId="405" xr:uid="{00000000-0005-0000-0000-000092010000}"/>
    <cellStyle name="Erklärender Text" xfId="406" xr:uid="{00000000-0005-0000-0000-000093010000}"/>
    <cellStyle name="Error" xfId="407" xr:uid="{00000000-0005-0000-0000-000094010000}"/>
    <cellStyle name="Euro" xfId="408" xr:uid="{00000000-0005-0000-0000-000095010000}"/>
    <cellStyle name="Euro 2" xfId="409" xr:uid="{00000000-0005-0000-0000-000096010000}"/>
    <cellStyle name="Euro 3" xfId="410" xr:uid="{00000000-0005-0000-0000-000097010000}"/>
    <cellStyle name="Euro 4" xfId="411" xr:uid="{00000000-0005-0000-0000-000098010000}"/>
    <cellStyle name="Euro 4 2" xfId="412" xr:uid="{00000000-0005-0000-0000-000099010000}"/>
    <cellStyle name="Euro 4 3" xfId="413" xr:uid="{00000000-0005-0000-0000-00009A010000}"/>
    <cellStyle name="Euro 5" xfId="414" xr:uid="{00000000-0005-0000-0000-00009B010000}"/>
    <cellStyle name="Euro 6" xfId="415" xr:uid="{00000000-0005-0000-0000-00009C010000}"/>
    <cellStyle name="Euro 7" xfId="416" xr:uid="{00000000-0005-0000-0000-00009D010000}"/>
    <cellStyle name="Euro_America Latina 11" xfId="417" xr:uid="{00000000-0005-0000-0000-00009E010000}"/>
    <cellStyle name="Excel.Chart" xfId="418" xr:uid="{00000000-0005-0000-0000-00009F010000}"/>
    <cellStyle name="F2" xfId="419" xr:uid="{00000000-0005-0000-0000-0000A0010000}"/>
    <cellStyle name="F2 2" xfId="420" xr:uid="{00000000-0005-0000-0000-0000A1010000}"/>
    <cellStyle name="F3" xfId="421" xr:uid="{00000000-0005-0000-0000-0000A2010000}"/>
    <cellStyle name="F3 2" xfId="422" xr:uid="{00000000-0005-0000-0000-0000A3010000}"/>
    <cellStyle name="F4" xfId="423" xr:uid="{00000000-0005-0000-0000-0000A4010000}"/>
    <cellStyle name="F5" xfId="424" xr:uid="{00000000-0005-0000-0000-0000A5010000}"/>
    <cellStyle name="F6" xfId="425" xr:uid="{00000000-0005-0000-0000-0000A6010000}"/>
    <cellStyle name="F7" xfId="426" xr:uid="{00000000-0005-0000-0000-0000A7010000}"/>
    <cellStyle name="F8" xfId="427" xr:uid="{00000000-0005-0000-0000-0000A8010000}"/>
    <cellStyle name="facha" xfId="428" xr:uid="{00000000-0005-0000-0000-0000A9010000}"/>
    <cellStyle name="Fecha" xfId="429" xr:uid="{00000000-0005-0000-0000-0000AA010000}"/>
    <cellStyle name="Fijo" xfId="430" xr:uid="{00000000-0005-0000-0000-0000AB010000}"/>
    <cellStyle name="Fixed" xfId="431" xr:uid="{00000000-0005-0000-0000-0000AC010000}"/>
    <cellStyle name="Fixed 2" xfId="432" xr:uid="{00000000-0005-0000-0000-0000AD010000}"/>
    <cellStyle name="Fixo" xfId="433" xr:uid="{00000000-0005-0000-0000-0000AE010000}"/>
    <cellStyle name="Followed Hyperlink" xfId="434" xr:uid="{00000000-0005-0000-0000-0000AF010000}"/>
    <cellStyle name="Footer1" xfId="435" xr:uid="{00000000-0005-0000-0000-0000B0010000}"/>
    <cellStyle name="Footnote" xfId="436" xr:uid="{00000000-0005-0000-0000-0000B1010000}"/>
    <cellStyle name="For Quote Pages" xfId="437" xr:uid="{00000000-0005-0000-0000-0000B2010000}"/>
    <cellStyle name="Formula" xfId="438" xr:uid="{00000000-0005-0000-0000-0000B3010000}"/>
    <cellStyle name="Good 2" xfId="439" xr:uid="{00000000-0005-0000-0000-0000B4010000}"/>
    <cellStyle name="GOVDATA" xfId="440" xr:uid="{00000000-0005-0000-0000-0000B5010000}"/>
    <cellStyle name="Grey" xfId="441" xr:uid="{00000000-0005-0000-0000-0000B6010000}"/>
    <cellStyle name="Gut" xfId="442" xr:uid="{00000000-0005-0000-0000-0000B7010000}"/>
    <cellStyle name="Header1" xfId="443" xr:uid="{00000000-0005-0000-0000-0000B8010000}"/>
    <cellStyle name="Heading 1 2" xfId="444" xr:uid="{00000000-0005-0000-0000-0000B9010000}"/>
    <cellStyle name="Heading 2 2" xfId="445" xr:uid="{00000000-0005-0000-0000-0000BA010000}"/>
    <cellStyle name="Heading 3 2" xfId="446" xr:uid="{00000000-0005-0000-0000-0000BB010000}"/>
    <cellStyle name="Heading 4 2" xfId="447" xr:uid="{00000000-0005-0000-0000-0000BC010000}"/>
    <cellStyle name="Heading1" xfId="448" xr:uid="{00000000-0005-0000-0000-0000BD010000}"/>
    <cellStyle name="Heading2" xfId="449" xr:uid="{00000000-0005-0000-0000-0000BE010000}"/>
    <cellStyle name="Headline" xfId="450" xr:uid="{00000000-0005-0000-0000-0000BF010000}"/>
    <cellStyle name="Hed Side" xfId="451" xr:uid="{00000000-0005-0000-0000-0000C0010000}"/>
    <cellStyle name="Hed Side bold" xfId="452" xr:uid="{00000000-0005-0000-0000-0000C1010000}"/>
    <cellStyle name="Hed Side bold 2" xfId="453" xr:uid="{00000000-0005-0000-0000-0000C2010000}"/>
    <cellStyle name="Hed Side bold 3" xfId="454" xr:uid="{00000000-0005-0000-0000-0000C3010000}"/>
    <cellStyle name="Hed Side Indent" xfId="455" xr:uid="{00000000-0005-0000-0000-0000C4010000}"/>
    <cellStyle name="Hed Side Regular" xfId="456" xr:uid="{00000000-0005-0000-0000-0000C5010000}"/>
    <cellStyle name="Hed Side_1-1A-Regular" xfId="457" xr:uid="{00000000-0005-0000-0000-0000C6010000}"/>
    <cellStyle name="Hed Top" xfId="458" xr:uid="{00000000-0005-0000-0000-0000C7010000}"/>
    <cellStyle name="Hed Top - SECTION" xfId="459" xr:uid="{00000000-0005-0000-0000-0000C8010000}"/>
    <cellStyle name="Hed Top_3-new4" xfId="460" xr:uid="{00000000-0005-0000-0000-0000C9010000}"/>
    <cellStyle name="Hide" xfId="461" xr:uid="{00000000-0005-0000-0000-0000CA010000}"/>
    <cellStyle name="Hipervínculo" xfId="462" xr:uid="{00000000-0005-0000-0000-0000CB010000}"/>
    <cellStyle name="Hipervínculo 2" xfId="463" xr:uid="{00000000-0005-0000-0000-0000CC010000}"/>
    <cellStyle name="Hipervínculo visitado" xfId="464" xr:uid="{00000000-0005-0000-0000-0000CD010000}"/>
    <cellStyle name="Hipervínculo_10-01-03 2003 2003 NUEVOS RON -NUEVOS INTERESES" xfId="465" xr:uid="{00000000-0005-0000-0000-0000CE010000}"/>
    <cellStyle name="Hyperlink 2" xfId="466" xr:uid="{00000000-0005-0000-0000-0000D0010000}"/>
    <cellStyle name="Hyperlink 2 2" xfId="467" xr:uid="{00000000-0005-0000-0000-0000D1010000}"/>
    <cellStyle name="Hyperlink 3" xfId="468" xr:uid="{00000000-0005-0000-0000-0000D2010000}"/>
    <cellStyle name="Hyperlink 4" xfId="469" xr:uid="{00000000-0005-0000-0000-0000D3010000}"/>
    <cellStyle name="Hyperlink 5" xfId="470" xr:uid="{00000000-0005-0000-0000-0000D4010000}"/>
    <cellStyle name="Hyperlink 6" xfId="471" xr:uid="{00000000-0005-0000-0000-0000D5010000}"/>
    <cellStyle name="Hyperlink seguido_NFGC_SPE_1995_2003" xfId="472" xr:uid="{00000000-0005-0000-0000-0000D6010000}"/>
    <cellStyle name="imf-one decimal" xfId="473" xr:uid="{00000000-0005-0000-0000-0000D7010000}"/>
    <cellStyle name="imf-one decimal 2" xfId="474" xr:uid="{00000000-0005-0000-0000-0000D8010000}"/>
    <cellStyle name="imf-zero decimal" xfId="475" xr:uid="{00000000-0005-0000-0000-0000D9010000}"/>
    <cellStyle name="imf-zero decimal 2" xfId="476" xr:uid="{00000000-0005-0000-0000-0000DA010000}"/>
    <cellStyle name="Indent formula 1" xfId="477" xr:uid="{00000000-0005-0000-0000-0000DB010000}"/>
    <cellStyle name="Input [yellow]" xfId="478" xr:uid="{00000000-0005-0000-0000-0000DC010000}"/>
    <cellStyle name="Input [yellow] 2" xfId="479" xr:uid="{00000000-0005-0000-0000-0000DD010000}"/>
    <cellStyle name="Input [yellow] 2 2" xfId="480" xr:uid="{00000000-0005-0000-0000-0000DE010000}"/>
    <cellStyle name="Input [yellow] 3" xfId="481" xr:uid="{00000000-0005-0000-0000-0000DF010000}"/>
    <cellStyle name="Input 2" xfId="482" xr:uid="{00000000-0005-0000-0000-0000E0010000}"/>
    <cellStyle name="Input 2 2" xfId="483" xr:uid="{00000000-0005-0000-0000-0000E1010000}"/>
    <cellStyle name="Input 2 2 2" xfId="484" xr:uid="{00000000-0005-0000-0000-0000E2010000}"/>
    <cellStyle name="Input 2 2 3" xfId="485" xr:uid="{00000000-0005-0000-0000-0000E3010000}"/>
    <cellStyle name="Input 2 2 4" xfId="486" xr:uid="{00000000-0005-0000-0000-0000E4010000}"/>
    <cellStyle name="Input 2 2 5" xfId="487" xr:uid="{00000000-0005-0000-0000-0000E5010000}"/>
    <cellStyle name="Input 2 2_Kosovo" xfId="488" xr:uid="{00000000-0005-0000-0000-0000E6010000}"/>
    <cellStyle name="Input 2 3" xfId="489" xr:uid="{00000000-0005-0000-0000-0000E7010000}"/>
    <cellStyle name="Input 2_Kosovo" xfId="490" xr:uid="{00000000-0005-0000-0000-0000E8010000}"/>
    <cellStyle name="Input Cell" xfId="491" xr:uid="{00000000-0005-0000-0000-0000E9010000}"/>
    <cellStyle name="InputCells" xfId="492" xr:uid="{00000000-0005-0000-0000-0000EA010000}"/>
    <cellStyle name="InputCells12" xfId="493" xr:uid="{00000000-0005-0000-0000-0000EB010000}"/>
    <cellStyle name="IntCells" xfId="494" xr:uid="{00000000-0005-0000-0000-0000EC010000}"/>
    <cellStyle name="jo[" xfId="495" xr:uid="{00000000-0005-0000-0000-0000ED010000}"/>
    <cellStyle name="Lien hypertexte" xfId="496" builtinId="8"/>
    <cellStyle name="Lien hypertexte visité" xfId="497" xr:uid="{00000000-0005-0000-0000-0000EF010000}"/>
    <cellStyle name="Linked Cell 2" xfId="498" xr:uid="{00000000-0005-0000-0000-0000F1010000}"/>
    <cellStyle name="MacroCode" xfId="499" xr:uid="{00000000-0005-0000-0000-0000F2010000}"/>
    <cellStyle name="Mheading1" xfId="500" xr:uid="{00000000-0005-0000-0000-0000F3010000}"/>
    <cellStyle name="Mheading2" xfId="501" xr:uid="{00000000-0005-0000-0000-0000F4010000}"/>
    <cellStyle name="Millares [0]_11.1.3. bis" xfId="502" xr:uid="{00000000-0005-0000-0000-0000F5010000}"/>
    <cellStyle name="Millares 10" xfId="503" xr:uid="{00000000-0005-0000-0000-0000F6010000}"/>
    <cellStyle name="Millares 11" xfId="504" xr:uid="{00000000-0005-0000-0000-0000F7010000}"/>
    <cellStyle name="Millares 16" xfId="505" xr:uid="{00000000-0005-0000-0000-0000F8010000}"/>
    <cellStyle name="Millares 2" xfId="506" xr:uid="{00000000-0005-0000-0000-0000F9010000}"/>
    <cellStyle name="Millares 2 2" xfId="507" xr:uid="{00000000-0005-0000-0000-0000FA010000}"/>
    <cellStyle name="Millares 2 3" xfId="508" xr:uid="{00000000-0005-0000-0000-0000FB010000}"/>
    <cellStyle name="Millares 2 4" xfId="509" xr:uid="{00000000-0005-0000-0000-0000FC010000}"/>
    <cellStyle name="Millares 2 5" xfId="510" xr:uid="{00000000-0005-0000-0000-0000FD010000}"/>
    <cellStyle name="Millares 2 6" xfId="511" xr:uid="{00000000-0005-0000-0000-0000FE010000}"/>
    <cellStyle name="Millares 2 7" xfId="1181" xr:uid="{00000000-0005-0000-0000-0000FF010000}"/>
    <cellStyle name="Millares 20" xfId="512" xr:uid="{00000000-0005-0000-0000-000000020000}"/>
    <cellStyle name="Millares 21" xfId="513" xr:uid="{00000000-0005-0000-0000-000001020000}"/>
    <cellStyle name="Millares 3" xfId="514" xr:uid="{00000000-0005-0000-0000-000002020000}"/>
    <cellStyle name="Millares 3 2" xfId="515" xr:uid="{00000000-0005-0000-0000-000003020000}"/>
    <cellStyle name="Millares 3 3" xfId="516" xr:uid="{00000000-0005-0000-0000-000004020000}"/>
    <cellStyle name="Millares 4" xfId="517" xr:uid="{00000000-0005-0000-0000-000005020000}"/>
    <cellStyle name="Millares 4 2" xfId="518" xr:uid="{00000000-0005-0000-0000-000006020000}"/>
    <cellStyle name="Millares 5" xfId="519" xr:uid="{00000000-0005-0000-0000-000007020000}"/>
    <cellStyle name="Millares 6" xfId="520" xr:uid="{00000000-0005-0000-0000-000008020000}"/>
    <cellStyle name="Millares 7" xfId="521" xr:uid="{00000000-0005-0000-0000-000009020000}"/>
    <cellStyle name="Millares_11.1.3. bis" xfId="522" xr:uid="{00000000-0005-0000-0000-00000A020000}"/>
    <cellStyle name="Moeda [0]_A" xfId="523" xr:uid="{00000000-0005-0000-0000-00000D020000}"/>
    <cellStyle name="Moeda_A" xfId="524" xr:uid="{00000000-0005-0000-0000-00000E020000}"/>
    <cellStyle name="Moeda0" xfId="525" xr:uid="{00000000-0005-0000-0000-00000F020000}"/>
    <cellStyle name="Moneda [0]_11.1.3. bis" xfId="526" xr:uid="{00000000-0005-0000-0000-000010020000}"/>
    <cellStyle name="Moneda_11.1.3. bis" xfId="527" xr:uid="{00000000-0005-0000-0000-000011020000}"/>
    <cellStyle name="Monetario" xfId="528" xr:uid="{00000000-0005-0000-0000-000014020000}"/>
    <cellStyle name="Monetario0" xfId="529" xr:uid="{00000000-0005-0000-0000-000015020000}"/>
    <cellStyle name="Month" xfId="530" xr:uid="{00000000-0005-0000-0000-000016020000}"/>
    <cellStyle name="n - Style1" xfId="531" xr:uid="{00000000-0005-0000-0000-000017020000}"/>
    <cellStyle name="Neutral 2" xfId="532" xr:uid="{00000000-0005-0000-0000-000018020000}"/>
    <cellStyle name="Nominal $" xfId="533" xr:uid="{00000000-0005-0000-0000-000019020000}"/>
    <cellStyle name="Non défini" xfId="534" xr:uid="{00000000-0005-0000-0000-00001A020000}"/>
    <cellStyle name="Normal" xfId="0" builtinId="0"/>
    <cellStyle name="Normal - Style1" xfId="535" xr:uid="{00000000-0005-0000-0000-00001C020000}"/>
    <cellStyle name="Normal - Style2" xfId="536" xr:uid="{00000000-0005-0000-0000-00001D020000}"/>
    <cellStyle name="Normal - Style3" xfId="537" xr:uid="{00000000-0005-0000-0000-00001E020000}"/>
    <cellStyle name="Normal - Style4" xfId="538" xr:uid="{00000000-0005-0000-0000-00001F020000}"/>
    <cellStyle name="Normal [2]" xfId="539" xr:uid="{00000000-0005-0000-0000-000020020000}"/>
    <cellStyle name="Normal 10" xfId="540" xr:uid="{00000000-0005-0000-0000-000021020000}"/>
    <cellStyle name="Normal 10 2" xfId="541" xr:uid="{00000000-0005-0000-0000-000022020000}"/>
    <cellStyle name="Normal 10 2 2" xfId="542" xr:uid="{00000000-0005-0000-0000-000023020000}"/>
    <cellStyle name="Normal 11" xfId="543" xr:uid="{00000000-0005-0000-0000-000024020000}"/>
    <cellStyle name="Normal 12" xfId="544" xr:uid="{00000000-0005-0000-0000-000025020000}"/>
    <cellStyle name="Normal 13" xfId="545" xr:uid="{00000000-0005-0000-0000-000026020000}"/>
    <cellStyle name="Normal 14" xfId="546" xr:uid="{00000000-0005-0000-0000-000027020000}"/>
    <cellStyle name="Normal 15" xfId="547" xr:uid="{00000000-0005-0000-0000-000028020000}"/>
    <cellStyle name="Normal 15 2" xfId="548" xr:uid="{00000000-0005-0000-0000-000029020000}"/>
    <cellStyle name="Normal 15 3" xfId="549" xr:uid="{00000000-0005-0000-0000-00002A020000}"/>
    <cellStyle name="Normal 16" xfId="550" xr:uid="{00000000-0005-0000-0000-00002B020000}"/>
    <cellStyle name="Normal 17" xfId="551" xr:uid="{00000000-0005-0000-0000-00002C020000}"/>
    <cellStyle name="Normal 18" xfId="552" xr:uid="{00000000-0005-0000-0000-00002D020000}"/>
    <cellStyle name="Normal 19" xfId="553" xr:uid="{00000000-0005-0000-0000-00002E020000}"/>
    <cellStyle name="Normal 2" xfId="554" xr:uid="{00000000-0005-0000-0000-00002F020000}"/>
    <cellStyle name="Normal 2 2" xfId="555" xr:uid="{00000000-0005-0000-0000-000030020000}"/>
    <cellStyle name="Normal 2 2 2" xfId="556" xr:uid="{00000000-0005-0000-0000-000031020000}"/>
    <cellStyle name="Normal 2 2 3" xfId="557" xr:uid="{00000000-0005-0000-0000-000032020000}"/>
    <cellStyle name="Normal 2 3" xfId="558" xr:uid="{00000000-0005-0000-0000-000033020000}"/>
    <cellStyle name="Normal 2 3 2" xfId="559" xr:uid="{00000000-0005-0000-0000-000034020000}"/>
    <cellStyle name="Normal 2 3 2 2" xfId="560" xr:uid="{00000000-0005-0000-0000-000035020000}"/>
    <cellStyle name="Normal 2 4" xfId="561" xr:uid="{00000000-0005-0000-0000-000036020000}"/>
    <cellStyle name="Normal 2 4 2" xfId="562" xr:uid="{00000000-0005-0000-0000-000037020000}"/>
    <cellStyle name="Normal 2 4 3" xfId="563" xr:uid="{00000000-0005-0000-0000-000038020000}"/>
    <cellStyle name="Normal 2 4 3 2" xfId="564" xr:uid="{00000000-0005-0000-0000-000039020000}"/>
    <cellStyle name="Normal 2 4 3 2 2" xfId="565" xr:uid="{00000000-0005-0000-0000-00003A020000}"/>
    <cellStyle name="Normal 2 4 3 2 2 2" xfId="566" xr:uid="{00000000-0005-0000-0000-00003B020000}"/>
    <cellStyle name="Normal 2 4 3 3" xfId="567" xr:uid="{00000000-0005-0000-0000-00003C020000}"/>
    <cellStyle name="Normal 2 5" xfId="568" xr:uid="{00000000-0005-0000-0000-00003D020000}"/>
    <cellStyle name="Normal 2 5 2" xfId="569" xr:uid="{00000000-0005-0000-0000-00003E020000}"/>
    <cellStyle name="Normal 2 6" xfId="570" xr:uid="{00000000-0005-0000-0000-00003F020000}"/>
    <cellStyle name="Normal 2 6 2" xfId="571" xr:uid="{00000000-0005-0000-0000-000040020000}"/>
    <cellStyle name="Normal 2 7" xfId="572" xr:uid="{00000000-0005-0000-0000-000041020000}"/>
    <cellStyle name="Normal 2 7 2" xfId="573" xr:uid="{00000000-0005-0000-0000-000042020000}"/>
    <cellStyle name="Normal 2 7 3" xfId="574" xr:uid="{00000000-0005-0000-0000-000043020000}"/>
    <cellStyle name="Normal 2 8" xfId="575" xr:uid="{00000000-0005-0000-0000-000044020000}"/>
    <cellStyle name="Normal 2 8 2" xfId="576" xr:uid="{00000000-0005-0000-0000-000045020000}"/>
    <cellStyle name="Normal 2 8 2 2" xfId="577" xr:uid="{00000000-0005-0000-0000-000046020000}"/>
    <cellStyle name="Normal 2 8 2 3" xfId="578" xr:uid="{00000000-0005-0000-0000-000047020000}"/>
    <cellStyle name="Normal 2 8 2 4" xfId="579" xr:uid="{00000000-0005-0000-0000-000048020000}"/>
    <cellStyle name="Normal 2 8 2 5" xfId="580" xr:uid="{00000000-0005-0000-0000-000049020000}"/>
    <cellStyle name="Normal 2 8 2 6" xfId="581" xr:uid="{00000000-0005-0000-0000-00004A020000}"/>
    <cellStyle name="Normal 2 8 2 6 10" xfId="582" xr:uid="{00000000-0005-0000-0000-00004B020000}"/>
    <cellStyle name="Normal 2 8 2 6 11" xfId="583" xr:uid="{00000000-0005-0000-0000-00004C020000}"/>
    <cellStyle name="Normal 2 8 2 6 12" xfId="584" xr:uid="{00000000-0005-0000-0000-00004D020000}"/>
    <cellStyle name="Normal 2 8 2 6 13" xfId="585" xr:uid="{00000000-0005-0000-0000-00004E020000}"/>
    <cellStyle name="Normal 2 8 2 6 14" xfId="586" xr:uid="{00000000-0005-0000-0000-00004F020000}"/>
    <cellStyle name="Normal 2 8 2 6 15" xfId="587" xr:uid="{00000000-0005-0000-0000-000050020000}"/>
    <cellStyle name="Normal 2 8 2 6 16" xfId="588" xr:uid="{00000000-0005-0000-0000-000051020000}"/>
    <cellStyle name="Normal 2 8 2 6 17" xfId="589" xr:uid="{00000000-0005-0000-0000-000052020000}"/>
    <cellStyle name="Normal 2 8 2 6 18" xfId="590" xr:uid="{00000000-0005-0000-0000-000053020000}"/>
    <cellStyle name="Normal 2 8 2 6 19" xfId="591" xr:uid="{00000000-0005-0000-0000-000054020000}"/>
    <cellStyle name="Normal 2 8 2 6 2" xfId="592" xr:uid="{00000000-0005-0000-0000-000055020000}"/>
    <cellStyle name="Normal 2 8 2 6 20" xfId="593" xr:uid="{00000000-0005-0000-0000-000056020000}"/>
    <cellStyle name="Normal 2 8 2 6 21" xfId="594" xr:uid="{00000000-0005-0000-0000-000057020000}"/>
    <cellStyle name="Normal 2 8 2 6 22" xfId="595" xr:uid="{00000000-0005-0000-0000-000058020000}"/>
    <cellStyle name="Normal 2 8 2 6 23" xfId="596" xr:uid="{00000000-0005-0000-0000-000059020000}"/>
    <cellStyle name="Normal 2 8 2 6 24" xfId="597" xr:uid="{00000000-0005-0000-0000-00005A020000}"/>
    <cellStyle name="Normal 2 8 2 6 25" xfId="598" xr:uid="{00000000-0005-0000-0000-00005B020000}"/>
    <cellStyle name="Normal 2 8 2 6 26" xfId="599" xr:uid="{00000000-0005-0000-0000-00005C020000}"/>
    <cellStyle name="Normal 2 8 2 6 27" xfId="600" xr:uid="{00000000-0005-0000-0000-00005D020000}"/>
    <cellStyle name="Normal 2 8 2 6 28" xfId="601" xr:uid="{00000000-0005-0000-0000-00005E020000}"/>
    <cellStyle name="Normal 2 8 2 6 29" xfId="602" xr:uid="{00000000-0005-0000-0000-00005F020000}"/>
    <cellStyle name="Normal 2 8 2 6 3" xfId="603" xr:uid="{00000000-0005-0000-0000-000060020000}"/>
    <cellStyle name="Normal 2 8 2 6 30" xfId="604" xr:uid="{00000000-0005-0000-0000-000061020000}"/>
    <cellStyle name="Normal 2 8 2 6 31" xfId="605" xr:uid="{00000000-0005-0000-0000-000062020000}"/>
    <cellStyle name="Normal 2 8 2 6 32" xfId="606" xr:uid="{00000000-0005-0000-0000-000063020000}"/>
    <cellStyle name="Normal 2 8 2 6 33" xfId="607" xr:uid="{00000000-0005-0000-0000-000064020000}"/>
    <cellStyle name="Normal 2 8 2 6 34" xfId="608" xr:uid="{00000000-0005-0000-0000-000065020000}"/>
    <cellStyle name="Normal 2 8 2 6 35" xfId="609" xr:uid="{00000000-0005-0000-0000-000066020000}"/>
    <cellStyle name="Normal 2 8 2 6 36" xfId="610" xr:uid="{00000000-0005-0000-0000-000067020000}"/>
    <cellStyle name="Normal 2 8 2 6 37" xfId="611" xr:uid="{00000000-0005-0000-0000-000068020000}"/>
    <cellStyle name="Normal 2 8 2 6 38" xfId="612" xr:uid="{00000000-0005-0000-0000-000069020000}"/>
    <cellStyle name="Normal 2 8 2 6 39" xfId="613" xr:uid="{00000000-0005-0000-0000-00006A020000}"/>
    <cellStyle name="Normal 2 8 2 6 4" xfId="614" xr:uid="{00000000-0005-0000-0000-00006B020000}"/>
    <cellStyle name="Normal 2 8 2 6 40" xfId="615" xr:uid="{00000000-0005-0000-0000-00006C020000}"/>
    <cellStyle name="Normal 2 8 2 6 41" xfId="616" xr:uid="{00000000-0005-0000-0000-00006D020000}"/>
    <cellStyle name="Normal 2 8 2 6 42" xfId="617" xr:uid="{00000000-0005-0000-0000-00006E020000}"/>
    <cellStyle name="Normal 2 8 2 6 43" xfId="618" xr:uid="{00000000-0005-0000-0000-00006F020000}"/>
    <cellStyle name="Normal 2 8 2 6 44" xfId="619" xr:uid="{00000000-0005-0000-0000-000070020000}"/>
    <cellStyle name="Normal 2 8 2 6 45" xfId="620" xr:uid="{00000000-0005-0000-0000-000071020000}"/>
    <cellStyle name="Normal 2 8 2 6 46" xfId="621" xr:uid="{00000000-0005-0000-0000-000072020000}"/>
    <cellStyle name="Normal 2 8 2 6 5" xfId="622" xr:uid="{00000000-0005-0000-0000-000073020000}"/>
    <cellStyle name="Normal 2 8 2 6 6" xfId="623" xr:uid="{00000000-0005-0000-0000-000074020000}"/>
    <cellStyle name="Normal 2 8 2 6 7" xfId="624" xr:uid="{00000000-0005-0000-0000-000075020000}"/>
    <cellStyle name="Normal 2 8 2 6 8" xfId="625" xr:uid="{00000000-0005-0000-0000-000076020000}"/>
    <cellStyle name="Normal 2 8 2 6 9" xfId="626" xr:uid="{00000000-0005-0000-0000-000077020000}"/>
    <cellStyle name="Normal 2 8 3" xfId="627" xr:uid="{00000000-0005-0000-0000-000078020000}"/>
    <cellStyle name="Normal 2 8 4" xfId="628" xr:uid="{00000000-0005-0000-0000-000079020000}"/>
    <cellStyle name="Normal 2 8 5" xfId="629" xr:uid="{00000000-0005-0000-0000-00007A020000}"/>
    <cellStyle name="Normal 2 8 6" xfId="630" xr:uid="{00000000-0005-0000-0000-00007B020000}"/>
    <cellStyle name="Normal 2 8 7" xfId="631" xr:uid="{00000000-0005-0000-0000-00007C020000}"/>
    <cellStyle name="Normal 2 8 8" xfId="632" xr:uid="{00000000-0005-0000-0000-00007D020000}"/>
    <cellStyle name="Normal 2 8 9" xfId="633" xr:uid="{00000000-0005-0000-0000-00007E020000}"/>
    <cellStyle name="Normal 2 9" xfId="634" xr:uid="{00000000-0005-0000-0000-00007F020000}"/>
    <cellStyle name="Normal 2_Kosovo" xfId="635" xr:uid="{00000000-0005-0000-0000-000080020000}"/>
    <cellStyle name="Normal 20" xfId="636" xr:uid="{00000000-0005-0000-0000-000081020000}"/>
    <cellStyle name="Normal 21" xfId="637" xr:uid="{00000000-0005-0000-0000-000082020000}"/>
    <cellStyle name="Normal 22" xfId="638" xr:uid="{00000000-0005-0000-0000-000083020000}"/>
    <cellStyle name="Normal 23" xfId="639" xr:uid="{00000000-0005-0000-0000-000084020000}"/>
    <cellStyle name="Normal 24" xfId="640" xr:uid="{00000000-0005-0000-0000-000085020000}"/>
    <cellStyle name="Normal 25" xfId="641" xr:uid="{00000000-0005-0000-0000-000086020000}"/>
    <cellStyle name="Normal 26" xfId="642" xr:uid="{00000000-0005-0000-0000-000087020000}"/>
    <cellStyle name="Normal 27" xfId="643" xr:uid="{00000000-0005-0000-0000-000088020000}"/>
    <cellStyle name="Normal 28" xfId="644" xr:uid="{00000000-0005-0000-0000-000089020000}"/>
    <cellStyle name="Normal 29" xfId="645" xr:uid="{00000000-0005-0000-0000-00008A020000}"/>
    <cellStyle name="Normal 3" xfId="646" xr:uid="{00000000-0005-0000-0000-00008B020000}"/>
    <cellStyle name="Normal 3 2" xfId="647" xr:uid="{00000000-0005-0000-0000-00008C020000}"/>
    <cellStyle name="Normal 3 2 2" xfId="648" xr:uid="{00000000-0005-0000-0000-00008D020000}"/>
    <cellStyle name="Normal 3 2 2 2" xfId="649" xr:uid="{00000000-0005-0000-0000-00008E020000}"/>
    <cellStyle name="Normal 3 2 2 2 2" xfId="650" xr:uid="{00000000-0005-0000-0000-00008F020000}"/>
    <cellStyle name="Normal 3 2 2 2 2 2" xfId="1182" xr:uid="{00000000-0005-0000-0000-000090020000}"/>
    <cellStyle name="Normal 3 2 2 2 3" xfId="651" xr:uid="{00000000-0005-0000-0000-000091020000}"/>
    <cellStyle name="Normal 3 2 2 2 3 2" xfId="652" xr:uid="{00000000-0005-0000-0000-000092020000}"/>
    <cellStyle name="Normal 3 2 2 2 3 2 2" xfId="653" xr:uid="{00000000-0005-0000-0000-000093020000}"/>
    <cellStyle name="Normal 3 2 2 2 4" xfId="654" xr:uid="{00000000-0005-0000-0000-000094020000}"/>
    <cellStyle name="Normal 3 2 2 2 5" xfId="655" xr:uid="{00000000-0005-0000-0000-000095020000}"/>
    <cellStyle name="Normal 3 3" xfId="656" xr:uid="{00000000-0005-0000-0000-000096020000}"/>
    <cellStyle name="Normal 3 4" xfId="657" xr:uid="{00000000-0005-0000-0000-000097020000}"/>
    <cellStyle name="Normal 30" xfId="658" xr:uid="{00000000-0005-0000-0000-000098020000}"/>
    <cellStyle name="Normal 31" xfId="659" xr:uid="{00000000-0005-0000-0000-000099020000}"/>
    <cellStyle name="Normal 32" xfId="660" xr:uid="{00000000-0005-0000-0000-00009A020000}"/>
    <cellStyle name="Normal 33" xfId="661" xr:uid="{00000000-0005-0000-0000-00009B020000}"/>
    <cellStyle name="Normal 34" xfId="662" xr:uid="{00000000-0005-0000-0000-00009C020000}"/>
    <cellStyle name="Normal 35" xfId="663" xr:uid="{00000000-0005-0000-0000-00009D020000}"/>
    <cellStyle name="Normal 35 2" xfId="664" xr:uid="{00000000-0005-0000-0000-00009E020000}"/>
    <cellStyle name="Normal 35 2 2" xfId="665" xr:uid="{00000000-0005-0000-0000-00009F020000}"/>
    <cellStyle name="Normal 35 2 2 2" xfId="666" xr:uid="{00000000-0005-0000-0000-0000A0020000}"/>
    <cellStyle name="Normal 35 2 2 3" xfId="667" xr:uid="{00000000-0005-0000-0000-0000A1020000}"/>
    <cellStyle name="Normal 35 2 2 4" xfId="668" xr:uid="{00000000-0005-0000-0000-0000A2020000}"/>
    <cellStyle name="Normal 35 2 2 5" xfId="669" xr:uid="{00000000-0005-0000-0000-0000A3020000}"/>
    <cellStyle name="Normal 35 2 2 6" xfId="670" xr:uid="{00000000-0005-0000-0000-0000A4020000}"/>
    <cellStyle name="Normal 35 2 2 6 10" xfId="671" xr:uid="{00000000-0005-0000-0000-0000A5020000}"/>
    <cellStyle name="Normal 35 2 2 6 11" xfId="672" xr:uid="{00000000-0005-0000-0000-0000A6020000}"/>
    <cellStyle name="Normal 35 2 2 6 12" xfId="673" xr:uid="{00000000-0005-0000-0000-0000A7020000}"/>
    <cellStyle name="Normal 35 2 2 6 13" xfId="674" xr:uid="{00000000-0005-0000-0000-0000A8020000}"/>
    <cellStyle name="Normal 35 2 2 6 14" xfId="675" xr:uid="{00000000-0005-0000-0000-0000A9020000}"/>
    <cellStyle name="Normal 35 2 2 6 15" xfId="676" xr:uid="{00000000-0005-0000-0000-0000AA020000}"/>
    <cellStyle name="Normal 35 2 2 6 16" xfId="677" xr:uid="{00000000-0005-0000-0000-0000AB020000}"/>
    <cellStyle name="Normal 35 2 2 6 17" xfId="678" xr:uid="{00000000-0005-0000-0000-0000AC020000}"/>
    <cellStyle name="Normal 35 2 2 6 18" xfId="679" xr:uid="{00000000-0005-0000-0000-0000AD020000}"/>
    <cellStyle name="Normal 35 2 2 6 19" xfId="680" xr:uid="{00000000-0005-0000-0000-0000AE020000}"/>
    <cellStyle name="Normal 35 2 2 6 2" xfId="681" xr:uid="{00000000-0005-0000-0000-0000AF020000}"/>
    <cellStyle name="Normal 35 2 2 6 20" xfId="682" xr:uid="{00000000-0005-0000-0000-0000B0020000}"/>
    <cellStyle name="Normal 35 2 2 6 21" xfId="683" xr:uid="{00000000-0005-0000-0000-0000B1020000}"/>
    <cellStyle name="Normal 35 2 2 6 22" xfId="684" xr:uid="{00000000-0005-0000-0000-0000B2020000}"/>
    <cellStyle name="Normal 35 2 2 6 23" xfId="685" xr:uid="{00000000-0005-0000-0000-0000B3020000}"/>
    <cellStyle name="Normal 35 2 2 6 24" xfId="686" xr:uid="{00000000-0005-0000-0000-0000B4020000}"/>
    <cellStyle name="Normal 35 2 2 6 25" xfId="687" xr:uid="{00000000-0005-0000-0000-0000B5020000}"/>
    <cellStyle name="Normal 35 2 2 6 26" xfId="688" xr:uid="{00000000-0005-0000-0000-0000B6020000}"/>
    <cellStyle name="Normal 35 2 2 6 27" xfId="689" xr:uid="{00000000-0005-0000-0000-0000B7020000}"/>
    <cellStyle name="Normal 35 2 2 6 28" xfId="690" xr:uid="{00000000-0005-0000-0000-0000B8020000}"/>
    <cellStyle name="Normal 35 2 2 6 29" xfId="691" xr:uid="{00000000-0005-0000-0000-0000B9020000}"/>
    <cellStyle name="Normal 35 2 2 6 3" xfId="692" xr:uid="{00000000-0005-0000-0000-0000BA020000}"/>
    <cellStyle name="Normal 35 2 2 6 30" xfId="693" xr:uid="{00000000-0005-0000-0000-0000BB020000}"/>
    <cellStyle name="Normal 35 2 2 6 31" xfId="694" xr:uid="{00000000-0005-0000-0000-0000BC020000}"/>
    <cellStyle name="Normal 35 2 2 6 32" xfId="695" xr:uid="{00000000-0005-0000-0000-0000BD020000}"/>
    <cellStyle name="Normal 35 2 2 6 33" xfId="696" xr:uid="{00000000-0005-0000-0000-0000BE020000}"/>
    <cellStyle name="Normal 35 2 2 6 34" xfId="697" xr:uid="{00000000-0005-0000-0000-0000BF020000}"/>
    <cellStyle name="Normal 35 2 2 6 35" xfId="698" xr:uid="{00000000-0005-0000-0000-0000C0020000}"/>
    <cellStyle name="Normal 35 2 2 6 36" xfId="699" xr:uid="{00000000-0005-0000-0000-0000C1020000}"/>
    <cellStyle name="Normal 35 2 2 6 37" xfId="700" xr:uid="{00000000-0005-0000-0000-0000C2020000}"/>
    <cellStyle name="Normal 35 2 2 6 38" xfId="701" xr:uid="{00000000-0005-0000-0000-0000C3020000}"/>
    <cellStyle name="Normal 35 2 2 6 39" xfId="702" xr:uid="{00000000-0005-0000-0000-0000C4020000}"/>
    <cellStyle name="Normal 35 2 2 6 4" xfId="703" xr:uid="{00000000-0005-0000-0000-0000C5020000}"/>
    <cellStyle name="Normal 35 2 2 6 40" xfId="704" xr:uid="{00000000-0005-0000-0000-0000C6020000}"/>
    <cellStyle name="Normal 35 2 2 6 41" xfId="705" xr:uid="{00000000-0005-0000-0000-0000C7020000}"/>
    <cellStyle name="Normal 35 2 2 6 42" xfId="706" xr:uid="{00000000-0005-0000-0000-0000C8020000}"/>
    <cellStyle name="Normal 35 2 2 6 43" xfId="707" xr:uid="{00000000-0005-0000-0000-0000C9020000}"/>
    <cellStyle name="Normal 35 2 2 6 44" xfId="708" xr:uid="{00000000-0005-0000-0000-0000CA020000}"/>
    <cellStyle name="Normal 35 2 2 6 45" xfId="709" xr:uid="{00000000-0005-0000-0000-0000CB020000}"/>
    <cellStyle name="Normal 35 2 2 6 46" xfId="710" xr:uid="{00000000-0005-0000-0000-0000CC020000}"/>
    <cellStyle name="Normal 35 2 2 6 5" xfId="711" xr:uid="{00000000-0005-0000-0000-0000CD020000}"/>
    <cellStyle name="Normal 35 2 2 6 6" xfId="712" xr:uid="{00000000-0005-0000-0000-0000CE020000}"/>
    <cellStyle name="Normal 35 2 2 6 7" xfId="713" xr:uid="{00000000-0005-0000-0000-0000CF020000}"/>
    <cellStyle name="Normal 35 2 2 6 8" xfId="714" xr:uid="{00000000-0005-0000-0000-0000D0020000}"/>
    <cellStyle name="Normal 35 2 2 6 9" xfId="715" xr:uid="{00000000-0005-0000-0000-0000D1020000}"/>
    <cellStyle name="Normal 35 2 3" xfId="716" xr:uid="{00000000-0005-0000-0000-0000D2020000}"/>
    <cellStyle name="Normal 35 2 3 10" xfId="717" xr:uid="{00000000-0005-0000-0000-0000D3020000}"/>
    <cellStyle name="Normal 35 2 3 11" xfId="718" xr:uid="{00000000-0005-0000-0000-0000D4020000}"/>
    <cellStyle name="Normal 35 2 3 12" xfId="719" xr:uid="{00000000-0005-0000-0000-0000D5020000}"/>
    <cellStyle name="Normal 35 2 3 13" xfId="720" xr:uid="{00000000-0005-0000-0000-0000D6020000}"/>
    <cellStyle name="Normal 35 2 3 14" xfId="721" xr:uid="{00000000-0005-0000-0000-0000D7020000}"/>
    <cellStyle name="Normal 35 2 3 15" xfId="722" xr:uid="{00000000-0005-0000-0000-0000D8020000}"/>
    <cellStyle name="Normal 35 2 3 16" xfId="723" xr:uid="{00000000-0005-0000-0000-0000D9020000}"/>
    <cellStyle name="Normal 35 2 3 17" xfId="724" xr:uid="{00000000-0005-0000-0000-0000DA020000}"/>
    <cellStyle name="Normal 35 2 3 18" xfId="725" xr:uid="{00000000-0005-0000-0000-0000DB020000}"/>
    <cellStyle name="Normal 35 2 3 19" xfId="726" xr:uid="{00000000-0005-0000-0000-0000DC020000}"/>
    <cellStyle name="Normal 35 2 3 2" xfId="727" xr:uid="{00000000-0005-0000-0000-0000DD020000}"/>
    <cellStyle name="Normal 35 2 3 20" xfId="728" xr:uid="{00000000-0005-0000-0000-0000DE020000}"/>
    <cellStyle name="Normal 35 2 3 21" xfId="729" xr:uid="{00000000-0005-0000-0000-0000DF020000}"/>
    <cellStyle name="Normal 35 2 3 22" xfId="730" xr:uid="{00000000-0005-0000-0000-0000E0020000}"/>
    <cellStyle name="Normal 35 2 3 23" xfId="731" xr:uid="{00000000-0005-0000-0000-0000E1020000}"/>
    <cellStyle name="Normal 35 2 3 24" xfId="732" xr:uid="{00000000-0005-0000-0000-0000E2020000}"/>
    <cellStyle name="Normal 35 2 3 25" xfId="733" xr:uid="{00000000-0005-0000-0000-0000E3020000}"/>
    <cellStyle name="Normal 35 2 3 26" xfId="734" xr:uid="{00000000-0005-0000-0000-0000E4020000}"/>
    <cellStyle name="Normal 35 2 3 27" xfId="735" xr:uid="{00000000-0005-0000-0000-0000E5020000}"/>
    <cellStyle name="Normal 35 2 3 28" xfId="736" xr:uid="{00000000-0005-0000-0000-0000E6020000}"/>
    <cellStyle name="Normal 35 2 3 29" xfId="737" xr:uid="{00000000-0005-0000-0000-0000E7020000}"/>
    <cellStyle name="Normal 35 2 3 3" xfId="738" xr:uid="{00000000-0005-0000-0000-0000E8020000}"/>
    <cellStyle name="Normal 35 2 3 30" xfId="739" xr:uid="{00000000-0005-0000-0000-0000E9020000}"/>
    <cellStyle name="Normal 35 2 3 31" xfId="740" xr:uid="{00000000-0005-0000-0000-0000EA020000}"/>
    <cellStyle name="Normal 35 2 3 32" xfId="741" xr:uid="{00000000-0005-0000-0000-0000EB020000}"/>
    <cellStyle name="Normal 35 2 3 33" xfId="742" xr:uid="{00000000-0005-0000-0000-0000EC020000}"/>
    <cellStyle name="Normal 35 2 3 34" xfId="743" xr:uid="{00000000-0005-0000-0000-0000ED020000}"/>
    <cellStyle name="Normal 35 2 3 35" xfId="744" xr:uid="{00000000-0005-0000-0000-0000EE020000}"/>
    <cellStyle name="Normal 35 2 3 36" xfId="745" xr:uid="{00000000-0005-0000-0000-0000EF020000}"/>
    <cellStyle name="Normal 35 2 3 37" xfId="746" xr:uid="{00000000-0005-0000-0000-0000F0020000}"/>
    <cellStyle name="Normal 35 2 3 38" xfId="747" xr:uid="{00000000-0005-0000-0000-0000F1020000}"/>
    <cellStyle name="Normal 35 2 3 39" xfId="748" xr:uid="{00000000-0005-0000-0000-0000F2020000}"/>
    <cellStyle name="Normal 35 2 3 4" xfId="749" xr:uid="{00000000-0005-0000-0000-0000F3020000}"/>
    <cellStyle name="Normal 35 2 3 40" xfId="750" xr:uid="{00000000-0005-0000-0000-0000F4020000}"/>
    <cellStyle name="Normal 35 2 3 41" xfId="751" xr:uid="{00000000-0005-0000-0000-0000F5020000}"/>
    <cellStyle name="Normal 35 2 3 42" xfId="752" xr:uid="{00000000-0005-0000-0000-0000F6020000}"/>
    <cellStyle name="Normal 35 2 3 43" xfId="753" xr:uid="{00000000-0005-0000-0000-0000F7020000}"/>
    <cellStyle name="Normal 35 2 3 44" xfId="754" xr:uid="{00000000-0005-0000-0000-0000F8020000}"/>
    <cellStyle name="Normal 35 2 3 45" xfId="755" xr:uid="{00000000-0005-0000-0000-0000F9020000}"/>
    <cellStyle name="Normal 35 2 3 46" xfId="756" xr:uid="{00000000-0005-0000-0000-0000FA020000}"/>
    <cellStyle name="Normal 35 2 3 5" xfId="757" xr:uid="{00000000-0005-0000-0000-0000FB020000}"/>
    <cellStyle name="Normal 35 2 3 6" xfId="758" xr:uid="{00000000-0005-0000-0000-0000FC020000}"/>
    <cellStyle name="Normal 35 2 3 7" xfId="759" xr:uid="{00000000-0005-0000-0000-0000FD020000}"/>
    <cellStyle name="Normal 35 2 3 8" xfId="760" xr:uid="{00000000-0005-0000-0000-0000FE020000}"/>
    <cellStyle name="Normal 35 2 3 9" xfId="761" xr:uid="{00000000-0005-0000-0000-0000FF020000}"/>
    <cellStyle name="Normal 35 2 4" xfId="762" xr:uid="{00000000-0005-0000-0000-000000030000}"/>
    <cellStyle name="Normal 35 2 5" xfId="763" xr:uid="{00000000-0005-0000-0000-000001030000}"/>
    <cellStyle name="Normal 35 2 6" xfId="764" xr:uid="{00000000-0005-0000-0000-000002030000}"/>
    <cellStyle name="Normal 35 2 7" xfId="765" xr:uid="{00000000-0005-0000-0000-000003030000}"/>
    <cellStyle name="Normal 35 2 8" xfId="766" xr:uid="{00000000-0005-0000-0000-000004030000}"/>
    <cellStyle name="Normal 35 2 9" xfId="767" xr:uid="{00000000-0005-0000-0000-000005030000}"/>
    <cellStyle name="Normal 35 3" xfId="768" xr:uid="{00000000-0005-0000-0000-000006030000}"/>
    <cellStyle name="Normal 36" xfId="769" xr:uid="{00000000-0005-0000-0000-000007030000}"/>
    <cellStyle name="Normal 37" xfId="770" xr:uid="{00000000-0005-0000-0000-000008030000}"/>
    <cellStyle name="Normal 37 2" xfId="771" xr:uid="{00000000-0005-0000-0000-000009030000}"/>
    <cellStyle name="Normal 37 3" xfId="772" xr:uid="{00000000-0005-0000-0000-00000A030000}"/>
    <cellStyle name="Normal 37 3 2" xfId="773" xr:uid="{00000000-0005-0000-0000-00000B030000}"/>
    <cellStyle name="Normal 37 3 2 2" xfId="774" xr:uid="{00000000-0005-0000-0000-00000C030000}"/>
    <cellStyle name="Normal 37 4" xfId="775" xr:uid="{00000000-0005-0000-0000-00000D030000}"/>
    <cellStyle name="Normal 37 5" xfId="776" xr:uid="{00000000-0005-0000-0000-00000E030000}"/>
    <cellStyle name="Normal 37 5 2" xfId="777" xr:uid="{00000000-0005-0000-0000-00000F030000}"/>
    <cellStyle name="Normal 37 5 2 2" xfId="778" xr:uid="{00000000-0005-0000-0000-000010030000}"/>
    <cellStyle name="Normal 37 5 2 2 2" xfId="779" xr:uid="{00000000-0005-0000-0000-000011030000}"/>
    <cellStyle name="Normal 37 5 2 2 2 2" xfId="780" xr:uid="{00000000-0005-0000-0000-000012030000}"/>
    <cellStyle name="Normal 37 5 2 2 2 2 2" xfId="781" xr:uid="{00000000-0005-0000-0000-000013030000}"/>
    <cellStyle name="Normal 37 5 2 2 3" xfId="1183" xr:uid="{00000000-0005-0000-0000-000014030000}"/>
    <cellStyle name="Normal 37 5 2 3" xfId="782" xr:uid="{00000000-0005-0000-0000-000015030000}"/>
    <cellStyle name="Normal 37 5 2 4" xfId="783" xr:uid="{00000000-0005-0000-0000-000016030000}"/>
    <cellStyle name="Normal 37 5 2 5" xfId="784" xr:uid="{00000000-0005-0000-0000-000017030000}"/>
    <cellStyle name="Normal 37 5 2 6" xfId="785" xr:uid="{00000000-0005-0000-0000-000018030000}"/>
    <cellStyle name="Normal 37 5 2 7" xfId="786" xr:uid="{00000000-0005-0000-0000-000019030000}"/>
    <cellStyle name="Normal 37 5 2 7 2" xfId="787" xr:uid="{00000000-0005-0000-0000-00001A030000}"/>
    <cellStyle name="Normal 37 6" xfId="788" xr:uid="{00000000-0005-0000-0000-00001B030000}"/>
    <cellStyle name="Normal 37 7" xfId="789" xr:uid="{00000000-0005-0000-0000-00001C030000}"/>
    <cellStyle name="Normal 38" xfId="790" xr:uid="{00000000-0005-0000-0000-00001D030000}"/>
    <cellStyle name="Normal 38 2" xfId="2" xr:uid="{00000000-0005-0000-0000-00001E030000}"/>
    <cellStyle name="Normal 38 3" xfId="791" xr:uid="{00000000-0005-0000-0000-00001F030000}"/>
    <cellStyle name="Normal 39" xfId="792" xr:uid="{00000000-0005-0000-0000-000020030000}"/>
    <cellStyle name="Normal 4" xfId="793" xr:uid="{00000000-0005-0000-0000-000021030000}"/>
    <cellStyle name="Normal 4 2" xfId="794" xr:uid="{00000000-0005-0000-0000-000022030000}"/>
    <cellStyle name="Normal 4 3" xfId="795" xr:uid="{00000000-0005-0000-0000-000023030000}"/>
    <cellStyle name="Normal 4 4" xfId="796" xr:uid="{00000000-0005-0000-0000-000024030000}"/>
    <cellStyle name="Normal 4_Kosovo" xfId="797" xr:uid="{00000000-0005-0000-0000-000025030000}"/>
    <cellStyle name="Normal 40" xfId="798" xr:uid="{00000000-0005-0000-0000-000026030000}"/>
    <cellStyle name="Normal 40 2" xfId="799" xr:uid="{00000000-0005-0000-0000-000027030000}"/>
    <cellStyle name="Normal 41" xfId="800" xr:uid="{00000000-0005-0000-0000-000028030000}"/>
    <cellStyle name="Normal 41 2" xfId="801" xr:uid="{00000000-0005-0000-0000-000029030000}"/>
    <cellStyle name="Normal 42" xfId="802" xr:uid="{00000000-0005-0000-0000-00002A030000}"/>
    <cellStyle name="Normal 43" xfId="803" xr:uid="{00000000-0005-0000-0000-00002B030000}"/>
    <cellStyle name="Normal 43 2" xfId="804" xr:uid="{00000000-0005-0000-0000-00002C030000}"/>
    <cellStyle name="Normal 44" xfId="805" xr:uid="{00000000-0005-0000-0000-00002D030000}"/>
    <cellStyle name="Normal 45" xfId="806" xr:uid="{00000000-0005-0000-0000-00002E030000}"/>
    <cellStyle name="Normal 46" xfId="807" xr:uid="{00000000-0005-0000-0000-00002F030000}"/>
    <cellStyle name="Normal 46 2" xfId="808" xr:uid="{00000000-0005-0000-0000-000030030000}"/>
    <cellStyle name="Normal 47" xfId="809" xr:uid="{00000000-0005-0000-0000-000031030000}"/>
    <cellStyle name="Normal 48" xfId="810" xr:uid="{00000000-0005-0000-0000-000032030000}"/>
    <cellStyle name="Normal 49" xfId="811" xr:uid="{00000000-0005-0000-0000-000033030000}"/>
    <cellStyle name="Normal 5" xfId="812" xr:uid="{00000000-0005-0000-0000-000034030000}"/>
    <cellStyle name="Normal 5 2" xfId="813" xr:uid="{00000000-0005-0000-0000-000035030000}"/>
    <cellStyle name="Normal 5 2 2" xfId="814" xr:uid="{00000000-0005-0000-0000-000036030000}"/>
    <cellStyle name="Normal 5 3" xfId="815" xr:uid="{00000000-0005-0000-0000-000037030000}"/>
    <cellStyle name="Normal 5 4" xfId="816" xr:uid="{00000000-0005-0000-0000-000038030000}"/>
    <cellStyle name="Normal 5 4 2" xfId="817" xr:uid="{00000000-0005-0000-0000-000039030000}"/>
    <cellStyle name="Normal 5 5" xfId="818" xr:uid="{00000000-0005-0000-0000-00003A030000}"/>
    <cellStyle name="Normal 50" xfId="1180" xr:uid="{00000000-0005-0000-0000-00003B030000}"/>
    <cellStyle name="Normal 6" xfId="819" xr:uid="{00000000-0005-0000-0000-00003C030000}"/>
    <cellStyle name="Normal 6 2" xfId="820" xr:uid="{00000000-0005-0000-0000-00003D030000}"/>
    <cellStyle name="Normal 6 2 2" xfId="821" xr:uid="{00000000-0005-0000-0000-00003E030000}"/>
    <cellStyle name="Normal 6 3" xfId="822" xr:uid="{00000000-0005-0000-0000-00003F030000}"/>
    <cellStyle name="Normal 6 4" xfId="823" xr:uid="{00000000-0005-0000-0000-000040030000}"/>
    <cellStyle name="Normal 7" xfId="824" xr:uid="{00000000-0005-0000-0000-000041030000}"/>
    <cellStyle name="Normal 7 2" xfId="825" xr:uid="{00000000-0005-0000-0000-000042030000}"/>
    <cellStyle name="Normal 8" xfId="826" xr:uid="{00000000-0005-0000-0000-000043030000}"/>
    <cellStyle name="Normal 8 2" xfId="827" xr:uid="{00000000-0005-0000-0000-000044030000}"/>
    <cellStyle name="Normal 9" xfId="828" xr:uid="{00000000-0005-0000-0000-000045030000}"/>
    <cellStyle name="Normal 9 2" xfId="829" xr:uid="{00000000-0005-0000-0000-000046030000}"/>
    <cellStyle name="Normal GHG Numbers (0.00)" xfId="830" xr:uid="{00000000-0005-0000-0000-000047030000}"/>
    <cellStyle name="Normal GHG Textfiels Bold" xfId="831" xr:uid="{00000000-0005-0000-0000-000048030000}"/>
    <cellStyle name="Normal GHG whole table" xfId="832" xr:uid="{00000000-0005-0000-0000-000049030000}"/>
    <cellStyle name="Normal GHG-Shade" xfId="833" xr:uid="{00000000-0005-0000-0000-00004A030000}"/>
    <cellStyle name="Normal Table" xfId="834" xr:uid="{00000000-0005-0000-0000-00004B030000}"/>
    <cellStyle name="Normale_Foglio1" xfId="835" xr:uid="{00000000-0005-0000-0000-00004C030000}"/>
    <cellStyle name="Normalny 2" xfId="836" xr:uid="{00000000-0005-0000-0000-00004D030000}"/>
    <cellStyle name="Notas 2 2" xfId="837" xr:uid="{00000000-0005-0000-0000-00004E030000}"/>
    <cellStyle name="Notas 2 3" xfId="838" xr:uid="{00000000-0005-0000-0000-00004F030000}"/>
    <cellStyle name="Notas 3" xfId="839" xr:uid="{00000000-0005-0000-0000-000050030000}"/>
    <cellStyle name="Note 2" xfId="840" xr:uid="{00000000-0005-0000-0000-000051030000}"/>
    <cellStyle name="Note 2 2" xfId="841" xr:uid="{00000000-0005-0000-0000-000052030000}"/>
    <cellStyle name="Note 2 2 2" xfId="842" xr:uid="{00000000-0005-0000-0000-000053030000}"/>
    <cellStyle name="Note 2 2 3" xfId="843" xr:uid="{00000000-0005-0000-0000-000054030000}"/>
    <cellStyle name="Note 2 2 4" xfId="844" xr:uid="{00000000-0005-0000-0000-000055030000}"/>
    <cellStyle name="Note 2 2 5" xfId="845" xr:uid="{00000000-0005-0000-0000-000056030000}"/>
    <cellStyle name="Note 2 2_Kosovo" xfId="846" xr:uid="{00000000-0005-0000-0000-000057030000}"/>
    <cellStyle name="Note 2 3" xfId="847" xr:uid="{00000000-0005-0000-0000-000058030000}"/>
    <cellStyle name="Note 2_Kosovo" xfId="848" xr:uid="{00000000-0005-0000-0000-000059030000}"/>
    <cellStyle name="Note 3" xfId="849" xr:uid="{00000000-0005-0000-0000-00005A030000}"/>
    <cellStyle name="Notes" xfId="850" xr:uid="{00000000-0005-0000-0000-00005B030000}"/>
    <cellStyle name="Notiz" xfId="851" xr:uid="{00000000-0005-0000-0000-00005C030000}"/>
    <cellStyle name="Of which" xfId="852" xr:uid="{00000000-0005-0000-0000-00005D030000}"/>
    <cellStyle name="Output 2" xfId="853" xr:uid="{00000000-0005-0000-0000-00005E030000}"/>
    <cellStyle name="Output 2 2" xfId="854" xr:uid="{00000000-0005-0000-0000-00005F030000}"/>
    <cellStyle name="Output 2 2 2" xfId="855" xr:uid="{00000000-0005-0000-0000-000060030000}"/>
    <cellStyle name="Output 2 2 3" xfId="856" xr:uid="{00000000-0005-0000-0000-000061030000}"/>
    <cellStyle name="Output 2 2 4" xfId="857" xr:uid="{00000000-0005-0000-0000-000062030000}"/>
    <cellStyle name="Output 2 2 5" xfId="858" xr:uid="{00000000-0005-0000-0000-000063030000}"/>
    <cellStyle name="Output 2 2_Kosovo" xfId="859" xr:uid="{00000000-0005-0000-0000-000064030000}"/>
    <cellStyle name="Output 2 3" xfId="860" xr:uid="{00000000-0005-0000-0000-000065030000}"/>
    <cellStyle name="Output 2_Kosovo" xfId="861" xr:uid="{00000000-0005-0000-0000-000066030000}"/>
    <cellStyle name="Percent [2]" xfId="862" xr:uid="{00000000-0005-0000-0000-000068030000}"/>
    <cellStyle name="Percent 10" xfId="863" xr:uid="{00000000-0005-0000-0000-000069030000}"/>
    <cellStyle name="Percent 11" xfId="864" xr:uid="{00000000-0005-0000-0000-00006A030000}"/>
    <cellStyle name="Percent 12" xfId="865" xr:uid="{00000000-0005-0000-0000-00006B030000}"/>
    <cellStyle name="Percent 13" xfId="866" xr:uid="{00000000-0005-0000-0000-00006C030000}"/>
    <cellStyle name="Percent 14" xfId="867" xr:uid="{00000000-0005-0000-0000-00006D030000}"/>
    <cellStyle name="Percent 15" xfId="868" xr:uid="{00000000-0005-0000-0000-00006E030000}"/>
    <cellStyle name="Percent 16" xfId="869" xr:uid="{00000000-0005-0000-0000-00006F030000}"/>
    <cellStyle name="Percent 17" xfId="870" xr:uid="{00000000-0005-0000-0000-000070030000}"/>
    <cellStyle name="Percent 18" xfId="871" xr:uid="{00000000-0005-0000-0000-000071030000}"/>
    <cellStyle name="Percent 19" xfId="872" xr:uid="{00000000-0005-0000-0000-000072030000}"/>
    <cellStyle name="Percent 19 2" xfId="873" xr:uid="{00000000-0005-0000-0000-000073030000}"/>
    <cellStyle name="Percent 2" xfId="874" xr:uid="{00000000-0005-0000-0000-000074030000}"/>
    <cellStyle name="Percent 2 2" xfId="875" xr:uid="{00000000-0005-0000-0000-000075030000}"/>
    <cellStyle name="Percent 2 2 2" xfId="876" xr:uid="{00000000-0005-0000-0000-000076030000}"/>
    <cellStyle name="Percent 2 2 2 2" xfId="877" xr:uid="{00000000-0005-0000-0000-000077030000}"/>
    <cellStyle name="Percent 2 2 2 3" xfId="878" xr:uid="{00000000-0005-0000-0000-000078030000}"/>
    <cellStyle name="Percent 2 2 2 4" xfId="879" xr:uid="{00000000-0005-0000-0000-000079030000}"/>
    <cellStyle name="Percent 2 2 2 5" xfId="880" xr:uid="{00000000-0005-0000-0000-00007A030000}"/>
    <cellStyle name="Percent 2 2 2 6" xfId="881" xr:uid="{00000000-0005-0000-0000-00007B030000}"/>
    <cellStyle name="Percent 2 2 2 6 10" xfId="882" xr:uid="{00000000-0005-0000-0000-00007C030000}"/>
    <cellStyle name="Percent 2 2 2 6 11" xfId="883" xr:uid="{00000000-0005-0000-0000-00007D030000}"/>
    <cellStyle name="Percent 2 2 2 6 12" xfId="884" xr:uid="{00000000-0005-0000-0000-00007E030000}"/>
    <cellStyle name="Percent 2 2 2 6 13" xfId="885" xr:uid="{00000000-0005-0000-0000-00007F030000}"/>
    <cellStyle name="Percent 2 2 2 6 14" xfId="886" xr:uid="{00000000-0005-0000-0000-000080030000}"/>
    <cellStyle name="Percent 2 2 2 6 15" xfId="887" xr:uid="{00000000-0005-0000-0000-000081030000}"/>
    <cellStyle name="Percent 2 2 2 6 16" xfId="888" xr:uid="{00000000-0005-0000-0000-000082030000}"/>
    <cellStyle name="Percent 2 2 2 6 17" xfId="889" xr:uid="{00000000-0005-0000-0000-000083030000}"/>
    <cellStyle name="Percent 2 2 2 6 18" xfId="890" xr:uid="{00000000-0005-0000-0000-000084030000}"/>
    <cellStyle name="Percent 2 2 2 6 19" xfId="891" xr:uid="{00000000-0005-0000-0000-000085030000}"/>
    <cellStyle name="Percent 2 2 2 6 2" xfId="892" xr:uid="{00000000-0005-0000-0000-000086030000}"/>
    <cellStyle name="Percent 2 2 2 6 20" xfId="893" xr:uid="{00000000-0005-0000-0000-000087030000}"/>
    <cellStyle name="Percent 2 2 2 6 21" xfId="894" xr:uid="{00000000-0005-0000-0000-000088030000}"/>
    <cellStyle name="Percent 2 2 2 6 22" xfId="895" xr:uid="{00000000-0005-0000-0000-000089030000}"/>
    <cellStyle name="Percent 2 2 2 6 23" xfId="896" xr:uid="{00000000-0005-0000-0000-00008A030000}"/>
    <cellStyle name="Percent 2 2 2 6 24" xfId="897" xr:uid="{00000000-0005-0000-0000-00008B030000}"/>
    <cellStyle name="Percent 2 2 2 6 25" xfId="898" xr:uid="{00000000-0005-0000-0000-00008C030000}"/>
    <cellStyle name="Percent 2 2 2 6 26" xfId="899" xr:uid="{00000000-0005-0000-0000-00008D030000}"/>
    <cellStyle name="Percent 2 2 2 6 27" xfId="900" xr:uid="{00000000-0005-0000-0000-00008E030000}"/>
    <cellStyle name="Percent 2 2 2 6 28" xfId="901" xr:uid="{00000000-0005-0000-0000-00008F030000}"/>
    <cellStyle name="Percent 2 2 2 6 29" xfId="902" xr:uid="{00000000-0005-0000-0000-000090030000}"/>
    <cellStyle name="Percent 2 2 2 6 3" xfId="903" xr:uid="{00000000-0005-0000-0000-000091030000}"/>
    <cellStyle name="Percent 2 2 2 6 30" xfId="904" xr:uid="{00000000-0005-0000-0000-000092030000}"/>
    <cellStyle name="Percent 2 2 2 6 31" xfId="905" xr:uid="{00000000-0005-0000-0000-000093030000}"/>
    <cellStyle name="Percent 2 2 2 6 32" xfId="906" xr:uid="{00000000-0005-0000-0000-000094030000}"/>
    <cellStyle name="Percent 2 2 2 6 33" xfId="907" xr:uid="{00000000-0005-0000-0000-000095030000}"/>
    <cellStyle name="Percent 2 2 2 6 34" xfId="908" xr:uid="{00000000-0005-0000-0000-000096030000}"/>
    <cellStyle name="Percent 2 2 2 6 35" xfId="909" xr:uid="{00000000-0005-0000-0000-000097030000}"/>
    <cellStyle name="Percent 2 2 2 6 36" xfId="910" xr:uid="{00000000-0005-0000-0000-000098030000}"/>
    <cellStyle name="Percent 2 2 2 6 37" xfId="911" xr:uid="{00000000-0005-0000-0000-000099030000}"/>
    <cellStyle name="Percent 2 2 2 6 38" xfId="912" xr:uid="{00000000-0005-0000-0000-00009A030000}"/>
    <cellStyle name="Percent 2 2 2 6 39" xfId="913" xr:uid="{00000000-0005-0000-0000-00009B030000}"/>
    <cellStyle name="Percent 2 2 2 6 4" xfId="914" xr:uid="{00000000-0005-0000-0000-00009C030000}"/>
    <cellStyle name="Percent 2 2 2 6 40" xfId="915" xr:uid="{00000000-0005-0000-0000-00009D030000}"/>
    <cellStyle name="Percent 2 2 2 6 41" xfId="916" xr:uid="{00000000-0005-0000-0000-00009E030000}"/>
    <cellStyle name="Percent 2 2 2 6 42" xfId="917" xr:uid="{00000000-0005-0000-0000-00009F030000}"/>
    <cellStyle name="Percent 2 2 2 6 43" xfId="918" xr:uid="{00000000-0005-0000-0000-0000A0030000}"/>
    <cellStyle name="Percent 2 2 2 6 44" xfId="919" xr:uid="{00000000-0005-0000-0000-0000A1030000}"/>
    <cellStyle name="Percent 2 2 2 6 45" xfId="920" xr:uid="{00000000-0005-0000-0000-0000A2030000}"/>
    <cellStyle name="Percent 2 2 2 6 46" xfId="921" xr:uid="{00000000-0005-0000-0000-0000A3030000}"/>
    <cellStyle name="Percent 2 2 2 6 5" xfId="922" xr:uid="{00000000-0005-0000-0000-0000A4030000}"/>
    <cellStyle name="Percent 2 2 2 6 6" xfId="923" xr:uid="{00000000-0005-0000-0000-0000A5030000}"/>
    <cellStyle name="Percent 2 2 2 6 7" xfId="924" xr:uid="{00000000-0005-0000-0000-0000A6030000}"/>
    <cellStyle name="Percent 2 2 2 6 8" xfId="925" xr:uid="{00000000-0005-0000-0000-0000A7030000}"/>
    <cellStyle name="Percent 2 2 2 6 9" xfId="926" xr:uid="{00000000-0005-0000-0000-0000A8030000}"/>
    <cellStyle name="Percent 2 2 3" xfId="927" xr:uid="{00000000-0005-0000-0000-0000A9030000}"/>
    <cellStyle name="Percent 2 2 4" xfId="928" xr:uid="{00000000-0005-0000-0000-0000AA030000}"/>
    <cellStyle name="Percent 2 2 5" xfId="929" xr:uid="{00000000-0005-0000-0000-0000AB030000}"/>
    <cellStyle name="Percent 2 2 6" xfId="930" xr:uid="{00000000-0005-0000-0000-0000AC030000}"/>
    <cellStyle name="Percent 2 2 7" xfId="931" xr:uid="{00000000-0005-0000-0000-0000AD030000}"/>
    <cellStyle name="Percent 2 2 8" xfId="932" xr:uid="{00000000-0005-0000-0000-0000AE030000}"/>
    <cellStyle name="Percent 2 2 9" xfId="933" xr:uid="{00000000-0005-0000-0000-0000AF030000}"/>
    <cellStyle name="Percent 2 3" xfId="934" xr:uid="{00000000-0005-0000-0000-0000B0030000}"/>
    <cellStyle name="Percent 2 4" xfId="935" xr:uid="{00000000-0005-0000-0000-0000B1030000}"/>
    <cellStyle name="Percent 2 5" xfId="936" xr:uid="{00000000-0005-0000-0000-0000B2030000}"/>
    <cellStyle name="Percent 2 decimal calc" xfId="937" xr:uid="{00000000-0005-0000-0000-0000B3030000}"/>
    <cellStyle name="Percent 2 decimal input" xfId="938" xr:uid="{00000000-0005-0000-0000-0000B4030000}"/>
    <cellStyle name="Percent 20" xfId="939" xr:uid="{00000000-0005-0000-0000-0000B5030000}"/>
    <cellStyle name="Percent 21" xfId="940" xr:uid="{00000000-0005-0000-0000-0000B6030000}"/>
    <cellStyle name="Percent 22" xfId="1184" xr:uid="{00000000-0005-0000-0000-0000B7030000}"/>
    <cellStyle name="Percent 3" xfId="941" xr:uid="{00000000-0005-0000-0000-0000B8030000}"/>
    <cellStyle name="Percent 3 2" xfId="942" xr:uid="{00000000-0005-0000-0000-0000B9030000}"/>
    <cellStyle name="Percent 3 3" xfId="943" xr:uid="{00000000-0005-0000-0000-0000BA030000}"/>
    <cellStyle name="Percent 4" xfId="944" xr:uid="{00000000-0005-0000-0000-0000BB030000}"/>
    <cellStyle name="Percent 4 2" xfId="945" xr:uid="{00000000-0005-0000-0000-0000BC030000}"/>
    <cellStyle name="Percent 4 3" xfId="946" xr:uid="{00000000-0005-0000-0000-0000BD030000}"/>
    <cellStyle name="Percent 5" xfId="947" xr:uid="{00000000-0005-0000-0000-0000BE030000}"/>
    <cellStyle name="Percent 6" xfId="948" xr:uid="{00000000-0005-0000-0000-0000BF030000}"/>
    <cellStyle name="Percent 7" xfId="949" xr:uid="{00000000-0005-0000-0000-0000C0030000}"/>
    <cellStyle name="Percent 8" xfId="950" xr:uid="{00000000-0005-0000-0000-0000C1030000}"/>
    <cellStyle name="Percent 9" xfId="951" xr:uid="{00000000-0005-0000-0000-0000C2030000}"/>
    <cellStyle name="Percent1" xfId="952" xr:uid="{00000000-0005-0000-0000-0000C3030000}"/>
    <cellStyle name="percentage difference" xfId="953" xr:uid="{00000000-0005-0000-0000-0000C4030000}"/>
    <cellStyle name="percentage difference one decimal" xfId="954" xr:uid="{00000000-0005-0000-0000-0000C5030000}"/>
    <cellStyle name="percentage difference zero decimal" xfId="955" xr:uid="{00000000-0005-0000-0000-0000C6030000}"/>
    <cellStyle name="Percentual" xfId="956" xr:uid="{00000000-0005-0000-0000-0000C7030000}"/>
    <cellStyle name="Ponto" xfId="957" xr:uid="{00000000-0005-0000-0000-0000C8030000}"/>
    <cellStyle name="Porcentagem_SEP1196" xfId="958" xr:uid="{00000000-0005-0000-0000-0000C9030000}"/>
    <cellStyle name="Porcentaje" xfId="959" xr:uid="{00000000-0005-0000-0000-0000CA030000}"/>
    <cellStyle name="Porcentaje 2" xfId="960" xr:uid="{00000000-0005-0000-0000-0000CB030000}"/>
    <cellStyle name="Porcentual 2" xfId="961" xr:uid="{00000000-0005-0000-0000-0000CC030000}"/>
    <cellStyle name="Porcentual 2 2" xfId="962" xr:uid="{00000000-0005-0000-0000-0000CD030000}"/>
    <cellStyle name="Porcentual 2 3" xfId="963" xr:uid="{00000000-0005-0000-0000-0000CE030000}"/>
    <cellStyle name="Porcentual 2 4" xfId="964" xr:uid="{00000000-0005-0000-0000-0000CF030000}"/>
    <cellStyle name="Porcentual 2 5" xfId="965" xr:uid="{00000000-0005-0000-0000-0000D0030000}"/>
    <cellStyle name="Porcentual 2 6" xfId="966" xr:uid="{00000000-0005-0000-0000-0000D1030000}"/>
    <cellStyle name="Porcentual 2 7" xfId="967" xr:uid="{00000000-0005-0000-0000-0000D2030000}"/>
    <cellStyle name="Porcentual 3" xfId="968" xr:uid="{00000000-0005-0000-0000-0000D3030000}"/>
    <cellStyle name="Porcentual 4" xfId="969" xr:uid="{00000000-0005-0000-0000-0000D4030000}"/>
    <cellStyle name="Pourcentage" xfId="1" builtinId="5"/>
    <cellStyle name="Presentation" xfId="970" xr:uid="{00000000-0005-0000-0000-0000D5030000}"/>
    <cellStyle name="Prozent_Imp02" xfId="971" xr:uid="{00000000-0005-0000-0000-0000D6030000}"/>
    <cellStyle name="PSChar" xfId="972" xr:uid="{00000000-0005-0000-0000-0000D7030000}"/>
    <cellStyle name="PSHeading" xfId="973" xr:uid="{00000000-0005-0000-0000-0000D8030000}"/>
    <cellStyle name="PSSpacer" xfId="974" xr:uid="{00000000-0005-0000-0000-0000D9030000}"/>
    <cellStyle name="Publication" xfId="975" xr:uid="{00000000-0005-0000-0000-0000DA030000}"/>
    <cellStyle name="Punto" xfId="976" xr:uid="{00000000-0005-0000-0000-0000DB030000}"/>
    <cellStyle name="Punto0" xfId="977" xr:uid="{00000000-0005-0000-0000-0000DC030000}"/>
    <cellStyle name="Punto0 - Estilo1" xfId="978" xr:uid="{00000000-0005-0000-0000-0000DD030000}"/>
    <cellStyle name="Punto0_Hoja1" xfId="979" xr:uid="{00000000-0005-0000-0000-0000DE030000}"/>
    <cellStyle name="Real $" xfId="980" xr:uid="{00000000-0005-0000-0000-0000DF030000}"/>
    <cellStyle name="Red Text" xfId="981" xr:uid="{00000000-0005-0000-0000-0000E0030000}"/>
    <cellStyle name="Reference" xfId="982" xr:uid="{00000000-0005-0000-0000-0000E1030000}"/>
    <cellStyle name="Row heading" xfId="983" xr:uid="{00000000-0005-0000-0000-0000E2030000}"/>
    <cellStyle name="RTCP 1 - User Selected Input Cell" xfId="984" xr:uid="{00000000-0005-0000-0000-0000E3030000}"/>
    <cellStyle name="RTCP 1 - User Selected Input Cell 2" xfId="985" xr:uid="{00000000-0005-0000-0000-0000E4030000}"/>
    <cellStyle name="RTCP 1 - User Selected Input Cell 2 2" xfId="986" xr:uid="{00000000-0005-0000-0000-0000E5030000}"/>
    <cellStyle name="RTCP 1 - User Selected Input Cell 2 2 2" xfId="987" xr:uid="{00000000-0005-0000-0000-0000E6030000}"/>
    <cellStyle name="RTCP 1 - User Selected Input Cell 2 3" xfId="988" xr:uid="{00000000-0005-0000-0000-0000E7030000}"/>
    <cellStyle name="RTCP 1 - User Selected Input Cell 2 3 2" xfId="989" xr:uid="{00000000-0005-0000-0000-0000E8030000}"/>
    <cellStyle name="RTCP 1 - User Selected Input Cell 2 4" xfId="990" xr:uid="{00000000-0005-0000-0000-0000E9030000}"/>
    <cellStyle name="RTCP 1 - User Selected Input Cell 2 4 2" xfId="991" xr:uid="{00000000-0005-0000-0000-0000EA030000}"/>
    <cellStyle name="RTCP 1 - User Selected Input Cell 2 5" xfId="992" xr:uid="{00000000-0005-0000-0000-0000EB030000}"/>
    <cellStyle name="RTCP 1 - User Selected Input Cell 2 5 2" xfId="993" xr:uid="{00000000-0005-0000-0000-0000EC030000}"/>
    <cellStyle name="RTCP 1 - User Selected Input Cell 2 6" xfId="994" xr:uid="{00000000-0005-0000-0000-0000ED030000}"/>
    <cellStyle name="RTCP 1 - User Selected Input Cell 2_Kosovo" xfId="995" xr:uid="{00000000-0005-0000-0000-0000EE030000}"/>
    <cellStyle name="RTCP 1 - User Selected Input Cell 3" xfId="996" xr:uid="{00000000-0005-0000-0000-0000EF030000}"/>
    <cellStyle name="RTCP 1 - User Selected Input Cell 3 2" xfId="997" xr:uid="{00000000-0005-0000-0000-0000F0030000}"/>
    <cellStyle name="RTCP 1 - User Selected Input Cell 3 2 2" xfId="998" xr:uid="{00000000-0005-0000-0000-0000F1030000}"/>
    <cellStyle name="RTCP 1 - User Selected Input Cell 3 3" xfId="999" xr:uid="{00000000-0005-0000-0000-0000F2030000}"/>
    <cellStyle name="RTCP 1 - User Selected Input Cell 3_Kosovo" xfId="1000" xr:uid="{00000000-0005-0000-0000-0000F3030000}"/>
    <cellStyle name="RTCP 1 - User Selected Input Cell 4" xfId="1001" xr:uid="{00000000-0005-0000-0000-0000F4030000}"/>
    <cellStyle name="RTCP 1 - User Selected Input Cell_Kosovo" xfId="1002" xr:uid="{00000000-0005-0000-0000-0000F5030000}"/>
    <cellStyle name="RTCP 2 - Formula linked to another worksheet" xfId="1003" xr:uid="{00000000-0005-0000-0000-0000F6030000}"/>
    <cellStyle name="RTCP 2 - Formula linked to another worksheet 2" xfId="1004" xr:uid="{00000000-0005-0000-0000-0000F7030000}"/>
    <cellStyle name="RTCP 2 - Formula linked to another worksheet 2 2" xfId="1005" xr:uid="{00000000-0005-0000-0000-0000F8030000}"/>
    <cellStyle name="RTCP 2 - Formula linked to another worksheet 2 3" xfId="1006" xr:uid="{00000000-0005-0000-0000-0000F9030000}"/>
    <cellStyle name="RTCP 2 - Formula linked to another worksheet 2 4" xfId="1007" xr:uid="{00000000-0005-0000-0000-0000FA030000}"/>
    <cellStyle name="RTCP 2 - Formula linked to another worksheet 2 5" xfId="1008" xr:uid="{00000000-0005-0000-0000-0000FB030000}"/>
    <cellStyle name="RTCP 2 - Formula linked to another worksheet 2_Kosovo" xfId="1009" xr:uid="{00000000-0005-0000-0000-0000FC030000}"/>
    <cellStyle name="RTCP 2 - Formula linked to another worksheet 3" xfId="1010" xr:uid="{00000000-0005-0000-0000-0000FD030000}"/>
    <cellStyle name="RTCP 2 - Formula linked to another worksheet 3 2" xfId="1011" xr:uid="{00000000-0005-0000-0000-0000FE030000}"/>
    <cellStyle name="RTCP 2 - Formula linked to another worksheet 3_Kosovo" xfId="1012" xr:uid="{00000000-0005-0000-0000-0000FF030000}"/>
    <cellStyle name="RTCP 2 - Formula linked to another worksheet_Kosovo" xfId="1013" xr:uid="{00000000-0005-0000-0000-000000040000}"/>
    <cellStyle name="RTCP 3 - Formula linked to cell on same worksheet" xfId="1014" xr:uid="{00000000-0005-0000-0000-000001040000}"/>
    <cellStyle name="RTCP 3 - Formula linked to cell on same worksheet 2" xfId="1015" xr:uid="{00000000-0005-0000-0000-000002040000}"/>
    <cellStyle name="RTCP 3 - Formula linked to cell on same worksheet 2 2" xfId="1016" xr:uid="{00000000-0005-0000-0000-000003040000}"/>
    <cellStyle name="RTCP 3 - Formula linked to cell on same worksheet 2 3" xfId="1017" xr:uid="{00000000-0005-0000-0000-000004040000}"/>
    <cellStyle name="RTCP 3 - Formula linked to cell on same worksheet 2 4" xfId="1018" xr:uid="{00000000-0005-0000-0000-000005040000}"/>
    <cellStyle name="RTCP 3 - Formula linked to cell on same worksheet 2 5" xfId="1019" xr:uid="{00000000-0005-0000-0000-000006040000}"/>
    <cellStyle name="RTCP 3 - Formula linked to cell on same worksheet 2_Kosovo" xfId="1020" xr:uid="{00000000-0005-0000-0000-000007040000}"/>
    <cellStyle name="RTCP 3 - Formula linked to cell on same worksheet 3" xfId="1021" xr:uid="{00000000-0005-0000-0000-000008040000}"/>
    <cellStyle name="RTCP 3 - Formula linked to cell on same worksheet 3 2" xfId="1022" xr:uid="{00000000-0005-0000-0000-000009040000}"/>
    <cellStyle name="RTCP 3 - Formula linked to cell on same worksheet_Kosovo" xfId="1023" xr:uid="{00000000-0005-0000-0000-00000A040000}"/>
    <cellStyle name="RTCP 4 - NPV Calculation" xfId="1024" xr:uid="{00000000-0005-0000-0000-00000B040000}"/>
    <cellStyle name="Rubrique" xfId="1025" xr:uid="{00000000-0005-0000-0000-00000C040000}"/>
    <cellStyle name="Russian Normal" xfId="1026" xr:uid="{00000000-0005-0000-0000-00000D040000}"/>
    <cellStyle name="SAPBEXaggData" xfId="1027" xr:uid="{00000000-0005-0000-0000-00000E040000}"/>
    <cellStyle name="SAPBEXaggDataEmph" xfId="1028" xr:uid="{00000000-0005-0000-0000-00000F040000}"/>
    <cellStyle name="SAPBEXaggItem" xfId="1029" xr:uid="{00000000-0005-0000-0000-000010040000}"/>
    <cellStyle name="SAPBEXaggItemX" xfId="1030" xr:uid="{00000000-0005-0000-0000-000011040000}"/>
    <cellStyle name="SAPBEXchaText" xfId="1031" xr:uid="{00000000-0005-0000-0000-000012040000}"/>
    <cellStyle name="SAPBEXexcBad" xfId="1032" xr:uid="{00000000-0005-0000-0000-000013040000}"/>
    <cellStyle name="SAPBEXexcBad7" xfId="1033" xr:uid="{00000000-0005-0000-0000-000014040000}"/>
    <cellStyle name="SAPBEXexcBad8" xfId="1034" xr:uid="{00000000-0005-0000-0000-000015040000}"/>
    <cellStyle name="SAPBEXexcBad9" xfId="1035" xr:uid="{00000000-0005-0000-0000-000016040000}"/>
    <cellStyle name="SAPBEXexcCritical" xfId="1036" xr:uid="{00000000-0005-0000-0000-000017040000}"/>
    <cellStyle name="SAPBEXexcCritical4" xfId="1037" xr:uid="{00000000-0005-0000-0000-000018040000}"/>
    <cellStyle name="SAPBEXexcCritical5" xfId="1038" xr:uid="{00000000-0005-0000-0000-000019040000}"/>
    <cellStyle name="SAPBEXexcCritical6" xfId="1039" xr:uid="{00000000-0005-0000-0000-00001A040000}"/>
    <cellStyle name="SAPBEXexcGood" xfId="1040" xr:uid="{00000000-0005-0000-0000-00001B040000}"/>
    <cellStyle name="SAPBEXexcGood1" xfId="1041" xr:uid="{00000000-0005-0000-0000-00001C040000}"/>
    <cellStyle name="SAPBEXexcGood2" xfId="1042" xr:uid="{00000000-0005-0000-0000-00001D040000}"/>
    <cellStyle name="SAPBEXexcGood3" xfId="1043" xr:uid="{00000000-0005-0000-0000-00001E040000}"/>
    <cellStyle name="SAPBEXexcVeryBad" xfId="1044" xr:uid="{00000000-0005-0000-0000-00001F040000}"/>
    <cellStyle name="SAPBEXfilterDrill" xfId="1045" xr:uid="{00000000-0005-0000-0000-000020040000}"/>
    <cellStyle name="SAPBEXfilterItem" xfId="1046" xr:uid="{00000000-0005-0000-0000-000021040000}"/>
    <cellStyle name="SAPBEXfilterText" xfId="1047" xr:uid="{00000000-0005-0000-0000-000022040000}"/>
    <cellStyle name="SAPBEXformats" xfId="1048" xr:uid="{00000000-0005-0000-0000-000023040000}"/>
    <cellStyle name="SAPBEXheaderData" xfId="1049" xr:uid="{00000000-0005-0000-0000-000024040000}"/>
    <cellStyle name="SAPBEXheaderItem" xfId="1050" xr:uid="{00000000-0005-0000-0000-000025040000}"/>
    <cellStyle name="SAPBEXheaderText" xfId="1051" xr:uid="{00000000-0005-0000-0000-000026040000}"/>
    <cellStyle name="SAPBEXHLevel0" xfId="1052" xr:uid="{00000000-0005-0000-0000-000027040000}"/>
    <cellStyle name="SAPBEXHLevel0X" xfId="1053" xr:uid="{00000000-0005-0000-0000-000028040000}"/>
    <cellStyle name="SAPBEXHLevel1" xfId="1054" xr:uid="{00000000-0005-0000-0000-000029040000}"/>
    <cellStyle name="SAPBEXHLevel1X" xfId="1055" xr:uid="{00000000-0005-0000-0000-00002A040000}"/>
    <cellStyle name="SAPBEXHLevel2" xfId="1056" xr:uid="{00000000-0005-0000-0000-00002B040000}"/>
    <cellStyle name="SAPBEXHLevel2X" xfId="1057" xr:uid="{00000000-0005-0000-0000-00002C040000}"/>
    <cellStyle name="SAPBEXHLevel3" xfId="1058" xr:uid="{00000000-0005-0000-0000-00002D040000}"/>
    <cellStyle name="SAPBEXHLevel3X" xfId="1059" xr:uid="{00000000-0005-0000-0000-00002E040000}"/>
    <cellStyle name="SAPBEXinputData" xfId="1060" xr:uid="{00000000-0005-0000-0000-00002F040000}"/>
    <cellStyle name="SAPBEXresData" xfId="1061" xr:uid="{00000000-0005-0000-0000-000030040000}"/>
    <cellStyle name="SAPBEXresDataEmph" xfId="1062" xr:uid="{00000000-0005-0000-0000-000031040000}"/>
    <cellStyle name="SAPBEXresItem" xfId="1063" xr:uid="{00000000-0005-0000-0000-000032040000}"/>
    <cellStyle name="SAPBEXresItemX" xfId="1064" xr:uid="{00000000-0005-0000-0000-000033040000}"/>
    <cellStyle name="SAPBEXstdData" xfId="1065" xr:uid="{00000000-0005-0000-0000-000034040000}"/>
    <cellStyle name="SAPBEXstdDataEmph" xfId="1066" xr:uid="{00000000-0005-0000-0000-000035040000}"/>
    <cellStyle name="SAPBEXstdItem" xfId="1067" xr:uid="{00000000-0005-0000-0000-000036040000}"/>
    <cellStyle name="SAPBEXstdItemX" xfId="1068" xr:uid="{00000000-0005-0000-0000-000037040000}"/>
    <cellStyle name="SAPBEXsubData" xfId="1069" xr:uid="{00000000-0005-0000-0000-000038040000}"/>
    <cellStyle name="SAPBEXsubDataEmph" xfId="1070" xr:uid="{00000000-0005-0000-0000-000039040000}"/>
    <cellStyle name="SAPBEXsubItem" xfId="1071" xr:uid="{00000000-0005-0000-0000-00003A040000}"/>
    <cellStyle name="SAPBEXtitle" xfId="1072" xr:uid="{00000000-0005-0000-0000-00003B040000}"/>
    <cellStyle name="SAPBEXundefined" xfId="1073" xr:uid="{00000000-0005-0000-0000-00003C040000}"/>
    <cellStyle name="Schlecht" xfId="1074" xr:uid="{00000000-0005-0000-0000-00003D040000}"/>
    <cellStyle name="Sep. milhar [2]" xfId="1075" xr:uid="{00000000-0005-0000-0000-00003E040000}"/>
    <cellStyle name="Separador de m" xfId="1076" xr:uid="{00000000-0005-0000-0000-00003F040000}"/>
    <cellStyle name="Separador de milhares [0]_A" xfId="1077" xr:uid="{00000000-0005-0000-0000-000040040000}"/>
    <cellStyle name="Separador de milhares_A" xfId="1078" xr:uid="{00000000-0005-0000-0000-000041040000}"/>
    <cellStyle name="Shade" xfId="1079" xr:uid="{00000000-0005-0000-0000-000042040000}"/>
    <cellStyle name="Shaded" xfId="1080" xr:uid="{00000000-0005-0000-0000-000043040000}"/>
    <cellStyle name="Sheet Link" xfId="1081" xr:uid="{00000000-0005-0000-0000-000044040000}"/>
    <cellStyle name="Sheet Title" xfId="1082" xr:uid="{00000000-0005-0000-0000-000045040000}"/>
    <cellStyle name="Source Hed" xfId="1083" xr:uid="{00000000-0005-0000-0000-000046040000}"/>
    <cellStyle name="Source Letter" xfId="1084" xr:uid="{00000000-0005-0000-0000-000047040000}"/>
    <cellStyle name="Source Superscript" xfId="1085" xr:uid="{00000000-0005-0000-0000-000048040000}"/>
    <cellStyle name="Source Text" xfId="1086" xr:uid="{00000000-0005-0000-0000-000049040000}"/>
    <cellStyle name="Sous-rubrique" xfId="1087" xr:uid="{00000000-0005-0000-0000-00004A040000}"/>
    <cellStyle name="Standard_0 - Inhalt, Erläuterungen, Einheiten" xfId="1088" xr:uid="{00000000-0005-0000-0000-00004B040000}"/>
    <cellStyle name="State" xfId="1089" xr:uid="{00000000-0005-0000-0000-00004C040000}"/>
    <cellStyle name="Style 1" xfId="1090" xr:uid="{00000000-0005-0000-0000-00004D040000}"/>
    <cellStyle name="Style 21" xfId="1091" xr:uid="{00000000-0005-0000-0000-00004E040000}"/>
    <cellStyle name="Style 22" xfId="1092" xr:uid="{00000000-0005-0000-0000-00004F040000}"/>
    <cellStyle name="Style 23" xfId="1093" xr:uid="{00000000-0005-0000-0000-000050040000}"/>
    <cellStyle name="Style 24" xfId="1094" xr:uid="{00000000-0005-0000-0000-000051040000}"/>
    <cellStyle name="Style 25" xfId="1095" xr:uid="{00000000-0005-0000-0000-000052040000}"/>
    <cellStyle name="Style 26" xfId="1096" xr:uid="{00000000-0005-0000-0000-000053040000}"/>
    <cellStyle name="Style 35" xfId="1097" xr:uid="{00000000-0005-0000-0000-000054040000}"/>
    <cellStyle name="SubHead1" xfId="1098" xr:uid="{00000000-0005-0000-0000-000055040000}"/>
    <cellStyle name="SubHead2" xfId="1099" xr:uid="{00000000-0005-0000-0000-000056040000}"/>
    <cellStyle name="SubHead2 2" xfId="1100" xr:uid="{00000000-0005-0000-0000-000057040000}"/>
    <cellStyle name="SubHead2 3" xfId="1101" xr:uid="{00000000-0005-0000-0000-000058040000}"/>
    <cellStyle name="SubHeading" xfId="1102" xr:uid="{00000000-0005-0000-0000-000059040000}"/>
    <cellStyle name="Superscript" xfId="1103" xr:uid="{00000000-0005-0000-0000-00005A040000}"/>
    <cellStyle name="Superscript- regular" xfId="1104" xr:uid="{00000000-0005-0000-0000-00005B040000}"/>
    <cellStyle name="Superscript_1-1A-Regular" xfId="1105" xr:uid="{00000000-0005-0000-0000-00005C040000}"/>
    <cellStyle name="Table Data" xfId="1106" xr:uid="{00000000-0005-0000-0000-00005D040000}"/>
    <cellStyle name="Table Head Aligned" xfId="1107" xr:uid="{00000000-0005-0000-0000-00005E040000}"/>
    <cellStyle name="Table Head Top" xfId="1108" xr:uid="{00000000-0005-0000-0000-00005F040000}"/>
    <cellStyle name="Table Hed Side" xfId="1109" xr:uid="{00000000-0005-0000-0000-000060040000}"/>
    <cellStyle name="Table Hed Side 2" xfId="1110" xr:uid="{00000000-0005-0000-0000-000061040000}"/>
    <cellStyle name="Table Title" xfId="1111" xr:uid="{00000000-0005-0000-0000-000062040000}"/>
    <cellStyle name="Table Units" xfId="1112" xr:uid="{00000000-0005-0000-0000-000063040000}"/>
    <cellStyle name="Text" xfId="1113" xr:uid="{00000000-0005-0000-0000-000064040000}"/>
    <cellStyle name="Title Text" xfId="1114" xr:uid="{00000000-0005-0000-0000-000065040000}"/>
    <cellStyle name="Title Text 1" xfId="1115" xr:uid="{00000000-0005-0000-0000-000066040000}"/>
    <cellStyle name="Title Text 2" xfId="1116" xr:uid="{00000000-0005-0000-0000-000067040000}"/>
    <cellStyle name="Title-1" xfId="1117" xr:uid="{00000000-0005-0000-0000-000068040000}"/>
    <cellStyle name="Title-2" xfId="1118" xr:uid="{00000000-0005-0000-0000-000069040000}"/>
    <cellStyle name="Title-3" xfId="1119" xr:uid="{00000000-0005-0000-0000-00006A040000}"/>
    <cellStyle name="Titre" xfId="1120" xr:uid="{00000000-0005-0000-0000-00006B040000}"/>
    <cellStyle name="Titulo1" xfId="1121" xr:uid="{00000000-0005-0000-0000-00006C040000}"/>
    <cellStyle name="Titulo2" xfId="1122" xr:uid="{00000000-0005-0000-0000-00006D040000}"/>
    <cellStyle name="TopGrey" xfId="1123" xr:uid="{00000000-0005-0000-0000-00006E040000}"/>
    <cellStyle name="Total 2" xfId="1124" xr:uid="{00000000-0005-0000-0000-00006F040000}"/>
    <cellStyle name="Überschrift" xfId="1125" xr:uid="{00000000-0005-0000-0000-000070040000}"/>
    <cellStyle name="Überschrift 1" xfId="1126" xr:uid="{00000000-0005-0000-0000-000071040000}"/>
    <cellStyle name="Überschrift 2" xfId="1127" xr:uid="{00000000-0005-0000-0000-000072040000}"/>
    <cellStyle name="Überschrift 3" xfId="1128" xr:uid="{00000000-0005-0000-0000-000073040000}"/>
    <cellStyle name="Überschrift 3 2" xfId="1129" xr:uid="{00000000-0005-0000-0000-000074040000}"/>
    <cellStyle name="Überschrift 4" xfId="1130" xr:uid="{00000000-0005-0000-0000-000075040000}"/>
    <cellStyle name="User_Defined_A" xfId="1131" xr:uid="{00000000-0005-0000-0000-000076040000}"/>
    <cellStyle name="V¡rgula" xfId="1132" xr:uid="{00000000-0005-0000-0000-000077040000}"/>
    <cellStyle name="V¡rgula0" xfId="1133" xr:uid="{00000000-0005-0000-0000-000078040000}"/>
    <cellStyle name="vaca" xfId="1134" xr:uid="{00000000-0005-0000-0000-000079040000}"/>
    <cellStyle name="Verknüpfte Zelle" xfId="1135" xr:uid="{00000000-0005-0000-0000-00007A040000}"/>
    <cellStyle name="Vírgula" xfId="1136" xr:uid="{00000000-0005-0000-0000-00007B040000}"/>
    <cellStyle name="Währung [0]_Imp02" xfId="1137" xr:uid="{00000000-0005-0000-0000-00007C040000}"/>
    <cellStyle name="Währung_Imp02" xfId="1138" xr:uid="{00000000-0005-0000-0000-00007D040000}"/>
    <cellStyle name="Warnender Text" xfId="1139" xr:uid="{00000000-0005-0000-0000-00007E040000}"/>
    <cellStyle name="Warning Text 2" xfId="1140" xr:uid="{00000000-0005-0000-0000-00007F040000}"/>
    <cellStyle name="WebAnchor1" xfId="1141" xr:uid="{00000000-0005-0000-0000-000080040000}"/>
    <cellStyle name="WebAnchor2" xfId="1142" xr:uid="{00000000-0005-0000-0000-000081040000}"/>
    <cellStyle name="WebAnchor3" xfId="1143" xr:uid="{00000000-0005-0000-0000-000082040000}"/>
    <cellStyle name="WebAnchor4" xfId="1144" xr:uid="{00000000-0005-0000-0000-000083040000}"/>
    <cellStyle name="WebAnchor5" xfId="1145" xr:uid="{00000000-0005-0000-0000-000084040000}"/>
    <cellStyle name="WebAnchor6" xfId="1146" xr:uid="{00000000-0005-0000-0000-000085040000}"/>
    <cellStyle name="WebAnchor7" xfId="1147" xr:uid="{00000000-0005-0000-0000-000086040000}"/>
    <cellStyle name="Webexclude" xfId="1148" xr:uid="{00000000-0005-0000-0000-000087040000}"/>
    <cellStyle name="WebFN" xfId="1149" xr:uid="{00000000-0005-0000-0000-000088040000}"/>
    <cellStyle name="WebFN1" xfId="1150" xr:uid="{00000000-0005-0000-0000-000089040000}"/>
    <cellStyle name="WebFN2" xfId="1151" xr:uid="{00000000-0005-0000-0000-00008A040000}"/>
    <cellStyle name="WebFN3" xfId="1152" xr:uid="{00000000-0005-0000-0000-00008B040000}"/>
    <cellStyle name="WebFN4" xfId="1153" xr:uid="{00000000-0005-0000-0000-00008C040000}"/>
    <cellStyle name="WebHR" xfId="1154" xr:uid="{00000000-0005-0000-0000-00008D040000}"/>
    <cellStyle name="WebIndent1" xfId="1155" xr:uid="{00000000-0005-0000-0000-00008E040000}"/>
    <cellStyle name="WebIndent1wFN3" xfId="1156" xr:uid="{00000000-0005-0000-0000-00008F040000}"/>
    <cellStyle name="WebIndent2" xfId="1157" xr:uid="{00000000-0005-0000-0000-000090040000}"/>
    <cellStyle name="WebNoBR" xfId="1158" xr:uid="{00000000-0005-0000-0000-000091040000}"/>
    <cellStyle name="Wrap" xfId="1159" xr:uid="{00000000-0005-0000-0000-000092040000}"/>
    <cellStyle name="Wrap Bold" xfId="1160" xr:uid="{00000000-0005-0000-0000-000093040000}"/>
    <cellStyle name="Wrap Bold 2" xfId="1161" xr:uid="{00000000-0005-0000-0000-000094040000}"/>
    <cellStyle name="Wrap Bold 3" xfId="1162" xr:uid="{00000000-0005-0000-0000-000095040000}"/>
    <cellStyle name="Wrap Title" xfId="1163" xr:uid="{00000000-0005-0000-0000-000096040000}"/>
    <cellStyle name="Wrap_NTS99-~11" xfId="1164" xr:uid="{00000000-0005-0000-0000-000097040000}"/>
    <cellStyle name="Year" xfId="1165" xr:uid="{00000000-0005-0000-0000-000098040000}"/>
    <cellStyle name="Years" xfId="1166" xr:uid="{00000000-0005-0000-0000-000099040000}"/>
    <cellStyle name="Zelle überprüfen" xfId="1167" xr:uid="{00000000-0005-0000-0000-00009A040000}"/>
    <cellStyle name="Гиперссылка" xfId="1168" xr:uid="{00000000-0005-0000-0000-00009B040000}"/>
    <cellStyle name="ДАТА" xfId="1169" xr:uid="{00000000-0005-0000-0000-00009C040000}"/>
    <cellStyle name="ДЕНЕЖНЫЙ_BOPENGC" xfId="1170" xr:uid="{00000000-0005-0000-0000-00009D040000}"/>
    <cellStyle name="ЗАГОЛОВОК1" xfId="1171" xr:uid="{00000000-0005-0000-0000-00009E040000}"/>
    <cellStyle name="ЗАГОЛОВОК2" xfId="1172" xr:uid="{00000000-0005-0000-0000-00009F040000}"/>
    <cellStyle name="ИТОГОВЫЙ" xfId="1173" xr:uid="{00000000-0005-0000-0000-0000A0040000}"/>
    <cellStyle name="Обычный_2++" xfId="1174" xr:uid="{00000000-0005-0000-0000-0000A1040000}"/>
    <cellStyle name="ПРОЦЕНТНЫЙ_BOPENGC" xfId="1175" xr:uid="{00000000-0005-0000-0000-0000A2040000}"/>
    <cellStyle name="ТЕКСТ" xfId="1176" xr:uid="{00000000-0005-0000-0000-0000A3040000}"/>
    <cellStyle name="ФИКСИРОВАННЫЙ" xfId="1177" xr:uid="{00000000-0005-0000-0000-0000A4040000}"/>
    <cellStyle name="ФИНАНСОВЫЙ_BOPENGC" xfId="1178" xr:uid="{00000000-0005-0000-0000-0000A5040000}"/>
    <cellStyle name="常规_0-3报价汇总表" xfId="1179" xr:uid="{00000000-0005-0000-0000-0000A6040000}"/>
  </cellStyles>
  <dxfs count="14">
    <dxf>
      <fill>
        <patternFill>
          <bgColor rgb="FFFF0000"/>
        </patternFill>
      </fill>
    </dxf>
    <dxf>
      <fill>
        <patternFill>
          <bgColor rgb="FFFF0000"/>
        </patternFill>
      </fill>
    </dxf>
    <dxf>
      <font>
        <b/>
        <i val="0"/>
        <color theme="0"/>
      </font>
      <fill>
        <patternFill>
          <bgColor rgb="FFFF0000"/>
        </patternFill>
      </fill>
    </dxf>
    <dxf>
      <font>
        <condense val="0"/>
        <extend val="0"/>
        <color indexed="48"/>
      </font>
    </dxf>
    <dxf>
      <font>
        <b/>
        <i val="0"/>
        <condense val="0"/>
        <extend val="0"/>
        <color indexed="9"/>
      </font>
      <fill>
        <patternFill>
          <bgColor indexed="10"/>
        </patternFill>
      </fill>
      <border>
        <left style="thin">
          <color indexed="13"/>
        </left>
        <right style="thin">
          <color indexed="13"/>
        </right>
        <top style="thin">
          <color indexed="13"/>
        </top>
        <bottom style="thin">
          <color indexed="13"/>
        </bottom>
      </border>
    </dxf>
    <dxf>
      <fill>
        <patternFill>
          <bgColor rgb="FFFF0000"/>
        </patternFill>
      </fill>
    </dxf>
    <dxf>
      <fill>
        <patternFill>
          <bgColor rgb="FFFF0000"/>
        </patternFill>
      </fill>
    </dxf>
    <dxf>
      <font>
        <b/>
        <i val="0"/>
        <color theme="0"/>
      </font>
      <fill>
        <patternFill>
          <bgColor rgb="FFFF0000"/>
        </patternFill>
      </fill>
    </dxf>
    <dxf>
      <font>
        <condense val="0"/>
        <extend val="0"/>
        <color indexed="48"/>
      </font>
    </dxf>
    <dxf>
      <font>
        <b/>
        <i val="0"/>
        <condense val="0"/>
        <extend val="0"/>
        <color indexed="9"/>
      </font>
      <fill>
        <patternFill>
          <bgColor indexed="10"/>
        </patternFill>
      </fill>
      <border>
        <left style="thin">
          <color indexed="13"/>
        </left>
        <right style="thin">
          <color indexed="13"/>
        </right>
        <top style="thin">
          <color indexed="13"/>
        </top>
        <bottom style="thin">
          <color indexed="13"/>
        </bottom>
      </border>
    </dxf>
    <dxf>
      <font>
        <b/>
        <i val="0"/>
        <color theme="0"/>
      </font>
      <fill>
        <patternFill>
          <bgColor rgb="FFFF0000"/>
        </patternFill>
      </fill>
    </dxf>
    <dxf>
      <font>
        <condense val="0"/>
        <extend val="0"/>
        <color indexed="48"/>
      </font>
    </dxf>
    <dxf>
      <font>
        <b/>
        <i val="0"/>
        <condense val="0"/>
        <extend val="0"/>
        <color indexed="9"/>
      </font>
      <fill>
        <patternFill>
          <bgColor indexed="10"/>
        </patternFill>
      </fill>
      <border>
        <left style="thin">
          <color indexed="13"/>
        </left>
        <right style="thin">
          <color indexed="13"/>
        </right>
        <top style="thin">
          <color indexed="13"/>
        </top>
        <bottom style="thin">
          <color indexed="13"/>
        </bottom>
      </border>
    </dxf>
    <dxf>
      <font>
        <b/>
        <i val="0"/>
        <condense val="0"/>
        <extend val="0"/>
        <color indexed="9"/>
      </font>
      <fill>
        <patternFill>
          <bgColor indexed="10"/>
        </patternFill>
      </fill>
      <border>
        <left style="thin">
          <color indexed="13"/>
        </left>
        <right style="thin">
          <color indexed="13"/>
        </right>
        <top style="thin">
          <color indexed="13"/>
        </top>
        <bottom style="thin">
          <color indexed="13"/>
        </bottom>
      </border>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Government Revenue ($mm)</a:t>
            </a:r>
            <a:endParaRPr lang="en-US"/>
          </a:p>
        </c:rich>
      </c:tx>
      <c:overlay val="1"/>
    </c:title>
    <c:autoTitleDeleted val="0"/>
    <c:plotArea>
      <c:layout>
        <c:manualLayout>
          <c:layoutTarget val="inner"/>
          <c:xMode val="edge"/>
          <c:yMode val="edge"/>
          <c:x val="0.11409981682146743"/>
          <c:y val="0.11040526184226972"/>
          <c:w val="0.83830988090146918"/>
          <c:h val="0.76928915135608322"/>
        </c:manualLayout>
      </c:layout>
      <c:barChart>
        <c:barDir val="col"/>
        <c:grouping val="clustered"/>
        <c:varyColors val="0"/>
        <c:ser>
          <c:idx val="5"/>
          <c:order val="5"/>
          <c:tx>
            <c:strRef>
              <c:f>'Petroleum model'!$D$426</c:f>
              <c:strCache>
                <c:ptCount val="1"/>
                <c:pt idx="0">
                  <c:v>Project pre-tax cash flow</c:v>
                </c:pt>
              </c:strCache>
            </c:strRef>
          </c:tx>
          <c:spPr>
            <a:solidFill>
              <a:schemeClr val="accent1">
                <a:lumMod val="40000"/>
                <a:lumOff val="60000"/>
              </a:schemeClr>
            </a:solidFill>
          </c:spPr>
          <c:invertIfNegative val="0"/>
          <c:val>
            <c:numRef>
              <c:f>'Petroleum model'!$G$426:$S$426</c:f>
              <c:numCache>
                <c:formatCode>#\ ##0;\-#\ ##0;\-</c:formatCode>
                <c:ptCount val="13"/>
                <c:pt idx="0">
                  <c:v>-250</c:v>
                </c:pt>
                <c:pt idx="1">
                  <c:v>-500</c:v>
                </c:pt>
                <c:pt idx="2">
                  <c:v>79.900000000000006</c:v>
                </c:pt>
                <c:pt idx="3">
                  <c:v>222.25000000000006</c:v>
                </c:pt>
                <c:pt idx="4">
                  <c:v>696.75</c:v>
                </c:pt>
                <c:pt idx="5">
                  <c:v>554.4</c:v>
                </c:pt>
                <c:pt idx="6">
                  <c:v>440.52</c:v>
                </c:pt>
                <c:pt idx="7">
                  <c:v>364.41600000000017</c:v>
                </c:pt>
                <c:pt idx="8">
                  <c:v>291.53280000000007</c:v>
                </c:pt>
                <c:pt idx="9">
                  <c:v>233.22624000000025</c:v>
                </c:pt>
                <c:pt idx="10">
                  <c:v>186.58099200000021</c:v>
                </c:pt>
                <c:pt idx="11">
                  <c:v>-200</c:v>
                </c:pt>
                <c:pt idx="12">
                  <c:v>0</c:v>
                </c:pt>
              </c:numCache>
            </c:numRef>
          </c:val>
          <c:extLst>
            <c:ext xmlns:c16="http://schemas.microsoft.com/office/drawing/2014/chart" uri="{C3380CC4-5D6E-409C-BE32-E72D297353CC}">
              <c16:uniqueId val="{00000000-0E18-4928-8EAB-49D9450C1A84}"/>
            </c:ext>
          </c:extLst>
        </c:ser>
        <c:dLbls>
          <c:showLegendKey val="0"/>
          <c:showVal val="0"/>
          <c:showCatName val="0"/>
          <c:showSerName val="0"/>
          <c:showPercent val="0"/>
          <c:showBubbleSize val="0"/>
        </c:dLbls>
        <c:gapWidth val="10"/>
        <c:axId val="474515040"/>
        <c:axId val="474515432"/>
      </c:barChart>
      <c:lineChart>
        <c:grouping val="standard"/>
        <c:varyColors val="0"/>
        <c:ser>
          <c:idx val="0"/>
          <c:order val="0"/>
          <c:tx>
            <c:strRef>
              <c:f>'Petroleum model'!$D$488</c:f>
              <c:strCache>
                <c:ptCount val="1"/>
                <c:pt idx="0">
                  <c:v>DROP</c:v>
                </c:pt>
              </c:strCache>
            </c:strRef>
          </c:tx>
          <c:marker>
            <c:symbol val="none"/>
          </c:marker>
          <c:cat>
            <c:numRef>
              <c:f>'Petroleum model'!$G$1:$S$1</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'Petroleum model'!$G$488:$S$488</c:f>
              <c:numCache>
                <c:formatCode>#\ ##0;\-#\ ##0;\-</c:formatCode>
                <c:ptCount val="13"/>
                <c:pt idx="0">
                  <c:v>0</c:v>
                </c:pt>
                <c:pt idx="1">
                  <c:v>-50</c:v>
                </c:pt>
                <c:pt idx="2">
                  <c:v>65.959395155709345</c:v>
                </c:pt>
                <c:pt idx="3">
                  <c:v>62.696200000000005</c:v>
                </c:pt>
                <c:pt idx="4">
                  <c:v>314.07548056039309</c:v>
                </c:pt>
                <c:pt idx="5">
                  <c:v>333.51066253658558</c:v>
                </c:pt>
                <c:pt idx="6">
                  <c:v>210.23157557413484</c:v>
                </c:pt>
                <c:pt idx="7">
                  <c:v>191.29343504086475</c:v>
                </c:pt>
                <c:pt idx="8">
                  <c:v>146.23086141696012</c:v>
                </c:pt>
                <c:pt idx="9">
                  <c:v>112.86716809856163</c:v>
                </c:pt>
                <c:pt idx="10">
                  <c:v>112.53599189329283</c:v>
                </c:pt>
                <c:pt idx="11">
                  <c:v>4.1544117769676113E-14</c:v>
                </c:pt>
                <c:pt idx="12">
                  <c:v>0</c:v>
                </c:pt>
              </c:numCache>
            </c:numRef>
          </c:val>
          <c:smooth val="0"/>
          <c:extLst>
            <c:ext xmlns:c16="http://schemas.microsoft.com/office/drawing/2014/chart" uri="{C3380CC4-5D6E-409C-BE32-E72D297353CC}">
              <c16:uniqueId val="{00000001-0E18-4928-8EAB-49D9450C1A84}"/>
            </c:ext>
          </c:extLst>
        </c:ser>
        <c:ser>
          <c:idx val="1"/>
          <c:order val="1"/>
          <c:tx>
            <c:strRef>
              <c:f>'Petroleum model'!$D$489</c:f>
              <c:strCache>
                <c:ptCount val="1"/>
                <c:pt idx="0">
                  <c:v>Rfactor</c:v>
                </c:pt>
              </c:strCache>
            </c:strRef>
          </c:tx>
          <c:marker>
            <c:symbol val="none"/>
          </c:marker>
          <c:cat>
            <c:numRef>
              <c:f>'Petroleum model'!$G$1:$S$1</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'Petroleum model'!$G$489:$S$489</c:f>
              <c:numCache>
                <c:formatCode>#\ ##0;\-#\ ##0;\-</c:formatCode>
                <c:ptCount val="13"/>
                <c:pt idx="0">
                  <c:v>0</c:v>
                </c:pt>
                <c:pt idx="1">
                  <c:v>-50</c:v>
                </c:pt>
                <c:pt idx="2">
                  <c:v>65.959395155709345</c:v>
                </c:pt>
                <c:pt idx="3">
                  <c:v>59.01700000000001</c:v>
                </c:pt>
                <c:pt idx="4">
                  <c:v>227.22872772264418</c:v>
                </c:pt>
                <c:pt idx="5">
                  <c:v>301.31728846642676</c:v>
                </c:pt>
                <c:pt idx="6">
                  <c:v>212.75717894883124</c:v>
                </c:pt>
                <c:pt idx="7">
                  <c:v>221.80883644982333</c:v>
                </c:pt>
                <c:pt idx="8">
                  <c:v>185.50386466027066</c:v>
                </c:pt>
                <c:pt idx="9">
                  <c:v>148.00044710013071</c:v>
                </c:pt>
                <c:pt idx="10">
                  <c:v>116.92393201643378</c:v>
                </c:pt>
                <c:pt idx="11">
                  <c:v>5.6849165111572445E-14</c:v>
                </c:pt>
                <c:pt idx="12">
                  <c:v>0</c:v>
                </c:pt>
              </c:numCache>
            </c:numRef>
          </c:val>
          <c:smooth val="0"/>
          <c:extLst>
            <c:ext xmlns:c16="http://schemas.microsoft.com/office/drawing/2014/chart" uri="{C3380CC4-5D6E-409C-BE32-E72D297353CC}">
              <c16:uniqueId val="{00000002-0E18-4928-8EAB-49D9450C1A84}"/>
            </c:ext>
          </c:extLst>
        </c:ser>
        <c:ser>
          <c:idx val="2"/>
          <c:order val="2"/>
          <c:tx>
            <c:strRef>
              <c:f>'Petroleum model'!$D$490</c:f>
              <c:strCache>
                <c:ptCount val="1"/>
                <c:pt idx="0">
                  <c:v>Royalty + CIT</c:v>
                </c:pt>
              </c:strCache>
            </c:strRef>
          </c:tx>
          <c:marker>
            <c:symbol val="none"/>
          </c:marker>
          <c:cat>
            <c:numRef>
              <c:f>'Petroleum model'!$G$1:$S$1</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'Petroleum model'!$G$490:$S$490</c:f>
              <c:numCache>
                <c:formatCode>#\ ##0;\-#\ ##0;\-</c:formatCode>
                <c:ptCount val="13"/>
                <c:pt idx="0">
                  <c:v>0</c:v>
                </c:pt>
                <c:pt idx="1">
                  <c:v>-50</c:v>
                </c:pt>
                <c:pt idx="2">
                  <c:v>78.836595155709333</c:v>
                </c:pt>
                <c:pt idx="3">
                  <c:v>91.210000000000008</c:v>
                </c:pt>
                <c:pt idx="4">
                  <c:v>299.95072536440199</c:v>
                </c:pt>
                <c:pt idx="5">
                  <c:v>301.26190462514739</c:v>
                </c:pt>
                <c:pt idx="6">
                  <c:v>212.69291959500822</c:v>
                </c:pt>
                <c:pt idx="7">
                  <c:v>194.19302958201175</c:v>
                </c:pt>
                <c:pt idx="8">
                  <c:v>155.17292707536578</c:v>
                </c:pt>
                <c:pt idx="9">
                  <c:v>123.80273858224378</c:v>
                </c:pt>
                <c:pt idx="10">
                  <c:v>98.085846884064864</c:v>
                </c:pt>
                <c:pt idx="11">
                  <c:v>2.7533099870080024E-14</c:v>
                </c:pt>
                <c:pt idx="12">
                  <c:v>0</c:v>
                </c:pt>
              </c:numCache>
            </c:numRef>
          </c:val>
          <c:smooth val="0"/>
          <c:extLst>
            <c:ext xmlns:c16="http://schemas.microsoft.com/office/drawing/2014/chart" uri="{C3380CC4-5D6E-409C-BE32-E72D297353CC}">
              <c16:uniqueId val="{00000003-0E18-4928-8EAB-49D9450C1A84}"/>
            </c:ext>
          </c:extLst>
        </c:ser>
        <c:ser>
          <c:idx val="3"/>
          <c:order val="3"/>
          <c:tx>
            <c:strRef>
              <c:f>'Petroleum model'!$D$491</c:f>
              <c:strCache>
                <c:ptCount val="1"/>
                <c:pt idx="0">
                  <c:v>Alt1</c:v>
                </c:pt>
              </c:strCache>
            </c:strRef>
          </c:tx>
          <c:marker>
            <c:symbol val="none"/>
          </c:marker>
          <c:cat>
            <c:numRef>
              <c:f>'Petroleum model'!$G$1:$S$1</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'Petroleum model'!$G$491:$S$491</c:f>
              <c:numCache>
                <c:formatCode>#\ ##0;\-#\ ##0;\-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4-0E18-4928-8EAB-49D9450C1A84}"/>
            </c:ext>
          </c:extLst>
        </c:ser>
        <c:ser>
          <c:idx val="4"/>
          <c:order val="4"/>
          <c:tx>
            <c:strRef>
              <c:f>'Petroleum model'!$D$492</c:f>
              <c:strCache>
                <c:ptCount val="1"/>
                <c:pt idx="0">
                  <c:v>Alt2</c:v>
                </c:pt>
              </c:strCache>
            </c:strRef>
          </c:tx>
          <c:marker>
            <c:symbol val="none"/>
          </c:marker>
          <c:cat>
            <c:numRef>
              <c:f>'Petroleum model'!$G$1:$S$1</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'Petroleum model'!$G$492:$S$492</c:f>
              <c:numCache>
                <c:formatCode>#\ ##0;\-#\ ##0;\-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smooth val="0"/>
          <c:extLst>
            <c:ext xmlns:c16="http://schemas.microsoft.com/office/drawing/2014/chart" uri="{C3380CC4-5D6E-409C-BE32-E72D297353CC}">
              <c16:uniqueId val="{00000005-0E18-4928-8EAB-49D9450C1A84}"/>
            </c:ext>
          </c:extLst>
        </c:ser>
        <c:dLbls>
          <c:showLegendKey val="0"/>
          <c:showVal val="0"/>
          <c:showCatName val="0"/>
          <c:showSerName val="0"/>
          <c:showPercent val="0"/>
          <c:showBubbleSize val="0"/>
        </c:dLbls>
        <c:marker val="1"/>
        <c:smooth val="0"/>
        <c:axId val="474515040"/>
        <c:axId val="474515432"/>
      </c:lineChart>
      <c:catAx>
        <c:axId val="474515040"/>
        <c:scaling>
          <c:orientation val="minMax"/>
        </c:scaling>
        <c:delete val="0"/>
        <c:axPos val="b"/>
        <c:numFmt formatCode="General" sourceLinked="1"/>
        <c:majorTickMark val="out"/>
        <c:minorTickMark val="none"/>
        <c:tickLblPos val="nextTo"/>
        <c:crossAx val="474515432"/>
        <c:crosses val="autoZero"/>
        <c:auto val="1"/>
        <c:lblAlgn val="ctr"/>
        <c:lblOffset val="100"/>
        <c:noMultiLvlLbl val="0"/>
      </c:catAx>
      <c:valAx>
        <c:axId val="474515432"/>
        <c:scaling>
          <c:orientation val="minMax"/>
        </c:scaling>
        <c:delete val="0"/>
        <c:axPos val="l"/>
        <c:majorGridlines>
          <c:spPr>
            <a:ln>
              <a:solidFill>
                <a:schemeClr val="bg1">
                  <a:lumMod val="85000"/>
                </a:schemeClr>
              </a:solidFill>
              <a:prstDash val="dash"/>
            </a:ln>
          </c:spPr>
        </c:majorGridlines>
        <c:title>
          <c:tx>
            <c:rich>
              <a:bodyPr rot="-5400000" vert="horz"/>
              <a:lstStyle/>
              <a:p>
                <a:pPr>
                  <a:defRPr/>
                </a:pPr>
                <a:r>
                  <a:rPr lang="en-US"/>
                  <a:t>$mm constant</a:t>
                </a:r>
              </a:p>
            </c:rich>
          </c:tx>
          <c:overlay val="0"/>
        </c:title>
        <c:numFmt formatCode="#\ ##0;\-#\ ##0;\-" sourceLinked="1"/>
        <c:majorTickMark val="out"/>
        <c:minorTickMark val="none"/>
        <c:tickLblPos val="nextTo"/>
        <c:crossAx val="474515040"/>
        <c:crosses val="autoZero"/>
        <c:crossBetween val="between"/>
        <c:majorUnit val="200"/>
      </c:valAx>
    </c:plotArea>
    <c:legend>
      <c:legendPos val="b"/>
      <c:overlay val="0"/>
    </c:legend>
    <c:plotVisOnly val="1"/>
    <c:dispBlanksAs val="gap"/>
    <c:showDLblsOverMax val="0"/>
  </c:chart>
  <c:printSettings>
    <c:headerFooter/>
    <c:pageMargins b="0.75000000000000633" l="0.70000000000000062" r="0.70000000000000062" t="0.75000000000000633"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Breakeven</a:t>
            </a:r>
            <a:r>
              <a:rPr lang="en-US" sz="1400" baseline="0"/>
              <a:t> Price</a:t>
            </a:r>
            <a:endParaRPr lang="en-US" sz="1400"/>
          </a:p>
        </c:rich>
      </c:tx>
      <c:overlay val="0"/>
    </c:title>
    <c:autoTitleDeleted val="0"/>
    <c:plotArea>
      <c:layout/>
      <c:barChart>
        <c:barDir val="col"/>
        <c:grouping val="clustered"/>
        <c:varyColors val="0"/>
        <c:ser>
          <c:idx val="0"/>
          <c:order val="0"/>
          <c:invertIfNegative val="0"/>
          <c:dLbls>
            <c:numFmt formatCode="#,##0.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'Petroleum model'!$D$609:$D$613</c:f>
              <c:strCache>
                <c:ptCount val="5"/>
                <c:pt idx="0">
                  <c:v>DROP</c:v>
                </c:pt>
                <c:pt idx="1">
                  <c:v>Rfactor</c:v>
                </c:pt>
                <c:pt idx="2">
                  <c:v>Royalty + CIT</c:v>
                </c:pt>
                <c:pt idx="3">
                  <c:v>Alt1</c:v>
                </c:pt>
                <c:pt idx="4">
                  <c:v>Alt2</c:v>
                </c:pt>
              </c:strCache>
            </c:strRef>
          </c:cat>
          <c:val>
            <c:numRef>
              <c:f>'Petroleum model'!$G$609:$G$613</c:f>
              <c:numCache>
                <c:formatCode>#\ ##0_);[Red]\(#\ ##0\);\-</c:formatCode>
                <c:ptCount val="5"/>
                <c:pt idx="0">
                  <c:v>56.534847677806106</c:v>
                </c:pt>
                <c:pt idx="1">
                  <c:v>55.10801580784242</c:v>
                </c:pt>
                <c:pt idx="2">
                  <c:v>58.501095066868174</c:v>
                </c:pt>
                <c:pt idx="3">
                  <c:v>0</c:v>
                </c:pt>
                <c:pt idx="4">
                  <c:v>0</c:v>
                </c:pt>
              </c:numCache>
            </c:numRef>
          </c:val>
          <c:extLst>
            <c:ext xmlns:c16="http://schemas.microsoft.com/office/drawing/2014/chart" uri="{C3380CC4-5D6E-409C-BE32-E72D297353CC}">
              <c16:uniqueId val="{00000000-7FEF-4AE5-A5D7-A2FB01275D80}"/>
            </c:ext>
          </c:extLst>
        </c:ser>
        <c:dLbls>
          <c:showLegendKey val="0"/>
          <c:showVal val="0"/>
          <c:showCatName val="0"/>
          <c:showSerName val="0"/>
          <c:showPercent val="0"/>
          <c:showBubbleSize val="0"/>
        </c:dLbls>
        <c:gapWidth val="150"/>
        <c:axId val="474516216"/>
        <c:axId val="474516608"/>
      </c:barChart>
      <c:catAx>
        <c:axId val="474516216"/>
        <c:scaling>
          <c:orientation val="minMax"/>
        </c:scaling>
        <c:delete val="0"/>
        <c:axPos val="b"/>
        <c:numFmt formatCode="General" sourceLinked="1"/>
        <c:majorTickMark val="out"/>
        <c:minorTickMark val="none"/>
        <c:tickLblPos val="nextTo"/>
        <c:crossAx val="474516608"/>
        <c:crosses val="autoZero"/>
        <c:auto val="1"/>
        <c:lblAlgn val="ctr"/>
        <c:lblOffset val="100"/>
        <c:noMultiLvlLbl val="0"/>
      </c:catAx>
      <c:valAx>
        <c:axId val="474516608"/>
        <c:scaling>
          <c:orientation val="minMax"/>
          <c:max val="75"/>
          <c:min val="0"/>
        </c:scaling>
        <c:delete val="0"/>
        <c:axPos val="l"/>
        <c:majorGridlines>
          <c:spPr>
            <a:ln>
              <a:solidFill>
                <a:schemeClr val="bg1">
                  <a:lumMod val="85000"/>
                </a:schemeClr>
              </a:solidFill>
              <a:prstDash val="dash"/>
            </a:ln>
          </c:spPr>
        </c:majorGridlines>
        <c:title>
          <c:tx>
            <c:rich>
              <a:bodyPr rot="-5400000" vert="horz"/>
              <a:lstStyle/>
              <a:p>
                <a:pPr>
                  <a:defRPr/>
                </a:pPr>
                <a:r>
                  <a:rPr lang="en-US"/>
                  <a:t>Oil price required to achieve a 12.5% post-tax IRR in real terms</a:t>
                </a:r>
              </a:p>
            </c:rich>
          </c:tx>
          <c:overlay val="0"/>
        </c:title>
        <c:numFmt formatCode="#\ ##0_);[Red]\(#\ ##0\);\-" sourceLinked="1"/>
        <c:majorTickMark val="out"/>
        <c:minorTickMark val="none"/>
        <c:tickLblPos val="nextTo"/>
        <c:crossAx val="474516216"/>
        <c:crosses val="autoZero"/>
        <c:crossBetween val="between"/>
      </c:valAx>
    </c:plotArea>
    <c:plotVisOnly val="1"/>
    <c:dispBlanksAs val="gap"/>
    <c:showDLblsOverMax val="0"/>
  </c:chart>
  <c:printSettings>
    <c:headerFooter/>
    <c:pageMargins b="0.75000000000000655" l="0.70000000000000062" r="0.70000000000000062" t="0.7500000000000065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'Petroleum model'!$G$462</c:f>
          <c:strCache>
            <c:ptCount val="1"/>
            <c:pt idx="0">
              <c:v>Government Revenue ($mm), regime: DROP</c:v>
            </c:pt>
          </c:strCache>
        </c:strRef>
      </c:tx>
      <c:overlay val="1"/>
      <c:txPr>
        <a:bodyPr/>
        <a:lstStyle/>
        <a:p>
          <a:pPr>
            <a:defRPr sz="1400"/>
          </a:pPr>
          <a:endParaRPr lang="fr-FR"/>
        </a:p>
      </c:txPr>
    </c:title>
    <c:autoTitleDeleted val="0"/>
    <c:plotArea>
      <c:layout>
        <c:manualLayout>
          <c:layoutTarget val="inner"/>
          <c:xMode val="edge"/>
          <c:yMode val="edge"/>
          <c:x val="0.12305826857955596"/>
          <c:y val="0.13468003999500061"/>
          <c:w val="0.85030355508105548"/>
          <c:h val="0.64715629296338306"/>
        </c:manualLayout>
      </c:layout>
      <c:barChart>
        <c:barDir val="col"/>
        <c:grouping val="stacked"/>
        <c:varyColors val="0"/>
        <c:ser>
          <c:idx val="4"/>
          <c:order val="0"/>
          <c:tx>
            <c:strRef>
              <c:f>'Petroleum model'!$D$450</c:f>
              <c:strCache>
                <c:ptCount val="1"/>
                <c:pt idx="0">
                  <c:v>Royalty</c:v>
                </c:pt>
              </c:strCache>
            </c:strRef>
          </c:tx>
          <c:invertIfNegative val="0"/>
          <c:val>
            <c:numRef>
              <c:f>'Petroleum model'!$G$450:$S$450</c:f>
              <c:numCache>
                <c:formatCode>#\ ##0;\-#\ ##0;\-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676D-46FC-AA9A-8FF3A979EC19}"/>
            </c:ext>
          </c:extLst>
        </c:ser>
        <c:ser>
          <c:idx val="2"/>
          <c:order val="1"/>
          <c:tx>
            <c:strRef>
              <c:f>'Petroleum model'!$D$451</c:f>
              <c:strCache>
                <c:ptCount val="1"/>
                <c:pt idx="0">
                  <c:v>Production bonus</c:v>
                </c:pt>
              </c:strCache>
            </c:strRef>
          </c:tx>
          <c:invertIfNegative val="0"/>
          <c:cat>
            <c:numRef>
              <c:f>'Petroleum model'!$G$1:$S$1</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'Petroleum model'!$G$451:$S$451</c:f>
              <c:numCache>
                <c:formatCode>#\ ##0;\-#\ ##0;\-</c:formatCode>
                <c:ptCount val="13"/>
                <c:pt idx="0">
                  <c:v>0</c:v>
                </c:pt>
                <c:pt idx="1">
                  <c:v>0</c:v>
                </c:pt>
                <c:pt idx="2">
                  <c:v>48.058439061899271</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676D-46FC-AA9A-8FF3A979EC19}"/>
            </c:ext>
          </c:extLst>
        </c:ser>
        <c:ser>
          <c:idx val="1"/>
          <c:order val="2"/>
          <c:tx>
            <c:strRef>
              <c:f>'Petroleum model'!$D$452</c:f>
              <c:strCache>
                <c:ptCount val="1"/>
                <c:pt idx="0">
                  <c:v>Profit petroleum</c:v>
                </c:pt>
              </c:strCache>
            </c:strRef>
          </c:tx>
          <c:invertIfNegative val="0"/>
          <c:cat>
            <c:numRef>
              <c:f>'Petroleum model'!$G$1:$S$1</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'Petroleum model'!$G$452:$S$452</c:f>
              <c:numCache>
                <c:formatCode>#\ ##0;\-#\ ##0;\-</c:formatCode>
                <c:ptCount val="13"/>
                <c:pt idx="0">
                  <c:v>0</c:v>
                </c:pt>
                <c:pt idx="1">
                  <c:v>0</c:v>
                </c:pt>
                <c:pt idx="2">
                  <c:v>16.35199999999999</c:v>
                </c:pt>
                <c:pt idx="3">
                  <c:v>44.967999999999996</c:v>
                </c:pt>
                <c:pt idx="4">
                  <c:v>211.63235431216305</c:v>
                </c:pt>
                <c:pt idx="5">
                  <c:v>250.13304657393033</c:v>
                </c:pt>
                <c:pt idx="6">
                  <c:v>147.6364069897065</c:v>
                </c:pt>
                <c:pt idx="7">
                  <c:v>146.79499697310598</c:v>
                </c:pt>
                <c:pt idx="8">
                  <c:v>110.21254821585644</c:v>
                </c:pt>
                <c:pt idx="9">
                  <c:v>85.162427951242933</c:v>
                </c:pt>
                <c:pt idx="10">
                  <c:v>91.321086406591135</c:v>
                </c:pt>
                <c:pt idx="11">
                  <c:v>2.9055893198676278E-14</c:v>
                </c:pt>
                <c:pt idx="12">
                  <c:v>0</c:v>
                </c:pt>
              </c:numCache>
            </c:numRef>
          </c:val>
          <c:extLst>
            <c:ext xmlns:c16="http://schemas.microsoft.com/office/drawing/2014/chart" uri="{C3380CC4-5D6E-409C-BE32-E72D297353CC}">
              <c16:uniqueId val="{00000002-676D-46FC-AA9A-8FF3A979EC19}"/>
            </c:ext>
          </c:extLst>
        </c:ser>
        <c:ser>
          <c:idx val="5"/>
          <c:order val="3"/>
          <c:tx>
            <c:strRef>
              <c:f>'Petroleum model'!$D$453</c:f>
              <c:strCache>
                <c:ptCount val="1"/>
                <c:pt idx="0">
                  <c:v>Corporate Income Tax</c:v>
                </c:pt>
              </c:strCache>
            </c:strRef>
          </c:tx>
          <c:invertIfNegative val="0"/>
          <c:val>
            <c:numRef>
              <c:f>'Petroleum model'!$G$453:$S$453</c:f>
              <c:numCache>
                <c:formatCode>#\ ##0;\-#\ ##0;\-</c:formatCode>
                <c:ptCount val="13"/>
                <c:pt idx="0">
                  <c:v>0</c:v>
                </c:pt>
                <c:pt idx="1">
                  <c:v>0</c:v>
                </c:pt>
                <c:pt idx="2">
                  <c:v>0</c:v>
                </c:pt>
                <c:pt idx="3">
                  <c:v>0</c:v>
                </c:pt>
                <c:pt idx="4">
                  <c:v>53.93136167944634</c:v>
                </c:pt>
                <c:pt idx="5">
                  <c:v>46.280241175699324</c:v>
                </c:pt>
                <c:pt idx="6">
                  <c:v>34.120961804413241</c:v>
                </c:pt>
                <c:pt idx="7">
                  <c:v>21.096152717359683</c:v>
                </c:pt>
                <c:pt idx="8">
                  <c:v>16.34905593885491</c:v>
                </c:pt>
                <c:pt idx="9">
                  <c:v>11.695196052144475</c:v>
                </c:pt>
                <c:pt idx="10">
                  <c:v>2.9503536062914102</c:v>
                </c:pt>
                <c:pt idx="11">
                  <c:v>7.1135456417087656E-15</c:v>
                </c:pt>
                <c:pt idx="12">
                  <c:v>0</c:v>
                </c:pt>
              </c:numCache>
            </c:numRef>
          </c:val>
          <c:extLst>
            <c:ext xmlns:c16="http://schemas.microsoft.com/office/drawing/2014/chart" uri="{C3380CC4-5D6E-409C-BE32-E72D297353CC}">
              <c16:uniqueId val="{00000003-676D-46FC-AA9A-8FF3A979EC19}"/>
            </c:ext>
          </c:extLst>
        </c:ser>
        <c:ser>
          <c:idx val="6"/>
          <c:order val="4"/>
          <c:tx>
            <c:strRef>
              <c:f>'Petroleum model'!$D$454</c:f>
              <c:strCache>
                <c:ptCount val="1"/>
                <c:pt idx="0">
                  <c:v>Dividend Withholding Tax</c:v>
                </c:pt>
              </c:strCache>
            </c:strRef>
          </c:tx>
          <c:invertIfNegative val="0"/>
          <c:val>
            <c:numRef>
              <c:f>'Petroleum model'!$G$454:$S$454</c:f>
              <c:numCache>
                <c:formatCode>#\ ##0;\-#\ ##0;\-</c:formatCode>
                <c:ptCount val="13"/>
                <c:pt idx="0">
                  <c:v>0</c:v>
                </c:pt>
                <c:pt idx="1">
                  <c:v>0</c:v>
                </c:pt>
                <c:pt idx="2">
                  <c:v>0</c:v>
                </c:pt>
                <c:pt idx="3">
                  <c:v>0</c:v>
                </c:pt>
                <c:pt idx="4">
                  <c:v>0</c:v>
                </c:pt>
                <c:pt idx="5">
                  <c:v>6.6706794443489583</c:v>
                </c:pt>
                <c:pt idx="6">
                  <c:v>5.254386270037636</c:v>
                </c:pt>
                <c:pt idx="7">
                  <c:v>6.5353246702149024</c:v>
                </c:pt>
                <c:pt idx="8">
                  <c:v>5.5404917041856541</c:v>
                </c:pt>
                <c:pt idx="9">
                  <c:v>4.565196579462885</c:v>
                </c:pt>
                <c:pt idx="10">
                  <c:v>5.5665728730138317</c:v>
                </c:pt>
                <c:pt idx="11">
                  <c:v>1.4227091283417532E-15</c:v>
                </c:pt>
                <c:pt idx="12">
                  <c:v>0</c:v>
                </c:pt>
              </c:numCache>
            </c:numRef>
          </c:val>
          <c:extLst>
            <c:ext xmlns:c16="http://schemas.microsoft.com/office/drawing/2014/chart" uri="{C3380CC4-5D6E-409C-BE32-E72D297353CC}">
              <c16:uniqueId val="{00000004-676D-46FC-AA9A-8FF3A979EC19}"/>
            </c:ext>
          </c:extLst>
        </c:ser>
        <c:ser>
          <c:idx val="0"/>
          <c:order val="5"/>
          <c:tx>
            <c:strRef>
              <c:f>'Petroleum model'!$D$455</c:f>
              <c:strCache>
                <c:ptCount val="1"/>
                <c:pt idx="0">
                  <c:v>SOC</c:v>
                </c:pt>
              </c:strCache>
            </c:strRef>
          </c:tx>
          <c:invertIfNegative val="0"/>
          <c:cat>
            <c:numRef>
              <c:f>'Petroleum model'!$G$1:$S$1</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'Petroleum model'!$G$455:$S$455</c:f>
              <c:numCache>
                <c:formatCode>#\ ##0;\-#\ ##0;\-</c:formatCode>
                <c:ptCount val="13"/>
                <c:pt idx="0">
                  <c:v>0</c:v>
                </c:pt>
                <c:pt idx="1">
                  <c:v>-50</c:v>
                </c:pt>
                <c:pt idx="2">
                  <c:v>1.5489560938100759</c:v>
                </c:pt>
                <c:pt idx="3">
                  <c:v>17.728200000000005</c:v>
                </c:pt>
                <c:pt idx="4">
                  <c:v>48.511764568783683</c:v>
                </c:pt>
                <c:pt idx="5">
                  <c:v>30.42669534260698</c:v>
                </c:pt>
                <c:pt idx="6">
                  <c:v>23.219820509977474</c:v>
                </c:pt>
                <c:pt idx="7">
                  <c:v>16.866960680184203</c:v>
                </c:pt>
                <c:pt idx="8">
                  <c:v>14.128765558063117</c:v>
                </c:pt>
                <c:pt idx="9">
                  <c:v>11.444347515711357</c:v>
                </c:pt>
                <c:pt idx="10">
                  <c:v>12.697979007396455</c:v>
                </c:pt>
                <c:pt idx="11">
                  <c:v>3.9519698009493147E-15</c:v>
                </c:pt>
                <c:pt idx="12">
                  <c:v>0</c:v>
                </c:pt>
              </c:numCache>
            </c:numRef>
          </c:val>
          <c:extLst>
            <c:ext xmlns:c16="http://schemas.microsoft.com/office/drawing/2014/chart" uri="{C3380CC4-5D6E-409C-BE32-E72D297353CC}">
              <c16:uniqueId val="{00000005-676D-46FC-AA9A-8FF3A979EC19}"/>
            </c:ext>
          </c:extLst>
        </c:ser>
        <c:dLbls>
          <c:showLegendKey val="0"/>
          <c:showVal val="0"/>
          <c:showCatName val="0"/>
          <c:showSerName val="0"/>
          <c:showPercent val="0"/>
          <c:showBubbleSize val="0"/>
        </c:dLbls>
        <c:gapWidth val="39"/>
        <c:overlap val="100"/>
        <c:axId val="615289824"/>
        <c:axId val="615290216"/>
      </c:barChart>
      <c:lineChart>
        <c:grouping val="standard"/>
        <c:varyColors val="0"/>
        <c:ser>
          <c:idx val="3"/>
          <c:order val="6"/>
          <c:tx>
            <c:v>Project pre-tax cash flow</c:v>
          </c:tx>
          <c:spPr>
            <a:ln>
              <a:solidFill>
                <a:schemeClr val="tx1"/>
              </a:solidFill>
              <a:prstDash val="dash"/>
            </a:ln>
          </c:spPr>
          <c:marker>
            <c:symbol val="none"/>
          </c:marker>
          <c:cat>
            <c:numRef>
              <c:f>'Petroleum model'!$G$335:$S$335</c:f>
              <c:numCache>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Cache>
            </c:numRef>
          </c:cat>
          <c:val>
            <c:numRef>
              <c:f>'Petroleum model'!$G$415:$S$415</c:f>
              <c:numCache>
                <c:formatCode>#\ ##0;\-#\ ##0;\-</c:formatCode>
                <c:ptCount val="13"/>
                <c:pt idx="0">
                  <c:v>-250</c:v>
                </c:pt>
                <c:pt idx="1">
                  <c:v>-500</c:v>
                </c:pt>
                <c:pt idx="2">
                  <c:v>79.900000000000006</c:v>
                </c:pt>
                <c:pt idx="3">
                  <c:v>222.25</c:v>
                </c:pt>
                <c:pt idx="4">
                  <c:v>696.75</c:v>
                </c:pt>
                <c:pt idx="5">
                  <c:v>554.40000000000009</c:v>
                </c:pt>
                <c:pt idx="6">
                  <c:v>440.52</c:v>
                </c:pt>
                <c:pt idx="7">
                  <c:v>364.41600000000017</c:v>
                </c:pt>
                <c:pt idx="8">
                  <c:v>291.53280000000007</c:v>
                </c:pt>
                <c:pt idx="9">
                  <c:v>233.2262400000003</c:v>
                </c:pt>
                <c:pt idx="10">
                  <c:v>186.58099200000024</c:v>
                </c:pt>
                <c:pt idx="11">
                  <c:v>-200</c:v>
                </c:pt>
                <c:pt idx="12">
                  <c:v>0</c:v>
                </c:pt>
              </c:numCache>
            </c:numRef>
          </c:val>
          <c:smooth val="0"/>
          <c:extLst>
            <c:ext xmlns:c16="http://schemas.microsoft.com/office/drawing/2014/chart" uri="{C3380CC4-5D6E-409C-BE32-E72D297353CC}">
              <c16:uniqueId val="{00000006-676D-46FC-AA9A-8FF3A979EC19}"/>
            </c:ext>
          </c:extLst>
        </c:ser>
        <c:dLbls>
          <c:showLegendKey val="0"/>
          <c:showVal val="0"/>
          <c:showCatName val="0"/>
          <c:showSerName val="0"/>
          <c:showPercent val="0"/>
          <c:showBubbleSize val="0"/>
        </c:dLbls>
        <c:marker val="1"/>
        <c:smooth val="0"/>
        <c:axId val="615289824"/>
        <c:axId val="615290216"/>
      </c:lineChart>
      <c:catAx>
        <c:axId val="615289824"/>
        <c:scaling>
          <c:orientation val="minMax"/>
        </c:scaling>
        <c:delete val="0"/>
        <c:axPos val="b"/>
        <c:numFmt formatCode="General" sourceLinked="1"/>
        <c:majorTickMark val="out"/>
        <c:minorTickMark val="none"/>
        <c:tickLblPos val="nextTo"/>
        <c:crossAx val="615290216"/>
        <c:crosses val="autoZero"/>
        <c:auto val="1"/>
        <c:lblAlgn val="ctr"/>
        <c:lblOffset val="100"/>
        <c:noMultiLvlLbl val="0"/>
      </c:catAx>
      <c:valAx>
        <c:axId val="615290216"/>
        <c:scaling>
          <c:orientation val="minMax"/>
        </c:scaling>
        <c:delete val="0"/>
        <c:axPos val="l"/>
        <c:majorGridlines>
          <c:spPr>
            <a:ln>
              <a:prstDash val="dash"/>
            </a:ln>
          </c:spPr>
        </c:majorGridlines>
        <c:title>
          <c:tx>
            <c:rich>
              <a:bodyPr rot="-5400000" vert="horz"/>
              <a:lstStyle/>
              <a:p>
                <a:pPr>
                  <a:defRPr/>
                </a:pPr>
                <a:r>
                  <a:rPr lang="en-US"/>
                  <a:t>$mm constant</a:t>
                </a:r>
              </a:p>
            </c:rich>
          </c:tx>
          <c:overlay val="0"/>
        </c:title>
        <c:numFmt formatCode="#\ ##0;\-#\ ##0;\-" sourceLinked="1"/>
        <c:majorTickMark val="out"/>
        <c:minorTickMark val="none"/>
        <c:tickLblPos val="nextTo"/>
        <c:crossAx val="615289824"/>
        <c:crosses val="autoZero"/>
        <c:crossBetween val="between"/>
      </c:valAx>
    </c:plotArea>
    <c:legend>
      <c:legendPos val="b"/>
      <c:layout>
        <c:manualLayout>
          <c:xMode val="edge"/>
          <c:yMode val="edge"/>
          <c:x val="2.6930900856596846E-2"/>
          <c:y val="0.80305457104889511"/>
          <c:w val="0.95841392556902749"/>
          <c:h val="0.17282989465435825"/>
        </c:manualLayout>
      </c:layout>
      <c:overlay val="0"/>
      <c:txPr>
        <a:bodyPr/>
        <a:lstStyle/>
        <a:p>
          <a:pPr>
            <a:defRPr sz="900"/>
          </a:pPr>
          <a:endParaRPr lang="fr-FR"/>
        </a:p>
      </c:txPr>
    </c:legend>
    <c:plotVisOnly val="1"/>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'Petroleum model'!$D$522</c:f>
          <c:strCache>
            <c:ptCount val="1"/>
            <c:pt idx="0">
              <c:v>Average Effective Tax Rate (AETR) NPV12.5</c:v>
            </c:pt>
          </c:strCache>
        </c:strRef>
      </c:tx>
      <c:overlay val="0"/>
      <c:txPr>
        <a:bodyPr/>
        <a:lstStyle/>
        <a:p>
          <a:pPr>
            <a:defRPr sz="1400"/>
          </a:pPr>
          <a:endParaRPr lang="fr-FR"/>
        </a:p>
      </c:txPr>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'Petroleum model'!$G$518:$K$518</c:f>
              <c:strCache>
                <c:ptCount val="5"/>
                <c:pt idx="0">
                  <c:v>DROP</c:v>
                </c:pt>
                <c:pt idx="1">
                  <c:v>Rfactor</c:v>
                </c:pt>
                <c:pt idx="2">
                  <c:v>Royalty + CIT</c:v>
                </c:pt>
                <c:pt idx="3">
                  <c:v>Alt1</c:v>
                </c:pt>
                <c:pt idx="4">
                  <c:v>Alt2</c:v>
                </c:pt>
              </c:strCache>
            </c:strRef>
          </c:cat>
          <c:val>
            <c:numRef>
              <c:f>'Petroleum model'!$G$522:$K$522</c:f>
              <c:numCache>
                <c:formatCode>0.0%</c:formatCode>
                <c:ptCount val="5"/>
                <c:pt idx="0">
                  <c:v>0.89254068061505265</c:v>
                </c:pt>
                <c:pt idx="1">
                  <c:v>0.85545490854657036</c:v>
                </c:pt>
                <c:pt idx="2">
                  <c:v>0.90299215845987768</c:v>
                </c:pt>
                <c:pt idx="3">
                  <c:v>0</c:v>
                </c:pt>
                <c:pt idx="4">
                  <c:v>0</c:v>
                </c:pt>
              </c:numCache>
            </c:numRef>
          </c:val>
          <c:extLst>
            <c:ext xmlns:c16="http://schemas.microsoft.com/office/drawing/2014/chart" uri="{C3380CC4-5D6E-409C-BE32-E72D297353CC}">
              <c16:uniqueId val="{00000000-81BC-439F-BC7E-712D038C1654}"/>
            </c:ext>
          </c:extLst>
        </c:ser>
        <c:dLbls>
          <c:showLegendKey val="0"/>
          <c:showVal val="0"/>
          <c:showCatName val="0"/>
          <c:showSerName val="0"/>
          <c:showPercent val="0"/>
          <c:showBubbleSize val="0"/>
        </c:dLbls>
        <c:gapWidth val="150"/>
        <c:axId val="615291000"/>
        <c:axId val="615291392"/>
      </c:barChart>
      <c:catAx>
        <c:axId val="615291000"/>
        <c:scaling>
          <c:orientation val="minMax"/>
        </c:scaling>
        <c:delete val="0"/>
        <c:axPos val="b"/>
        <c:numFmt formatCode="General" sourceLinked="1"/>
        <c:majorTickMark val="out"/>
        <c:minorTickMark val="none"/>
        <c:tickLblPos val="nextTo"/>
        <c:crossAx val="615291392"/>
        <c:crosses val="autoZero"/>
        <c:auto val="1"/>
        <c:lblAlgn val="ctr"/>
        <c:lblOffset val="100"/>
        <c:noMultiLvlLbl val="0"/>
      </c:catAx>
      <c:valAx>
        <c:axId val="615291392"/>
        <c:scaling>
          <c:orientation val="minMax"/>
          <c:min val="0"/>
        </c:scaling>
        <c:delete val="0"/>
        <c:axPos val="l"/>
        <c:majorGridlines>
          <c:spPr>
            <a:ln>
              <a:solidFill>
                <a:schemeClr val="bg1">
                  <a:lumMod val="85000"/>
                </a:schemeClr>
              </a:solidFill>
              <a:prstDash val="dash"/>
            </a:ln>
          </c:spPr>
        </c:majorGridlines>
        <c:numFmt formatCode="0%" sourceLinked="0"/>
        <c:majorTickMark val="out"/>
        <c:minorTickMark val="none"/>
        <c:tickLblPos val="nextTo"/>
        <c:crossAx val="615291000"/>
        <c:crosses val="autoZero"/>
        <c:crossBetween val="between"/>
        <c:majorUnit val="0.25"/>
      </c:valAx>
    </c:plotArea>
    <c:plotVisOnly val="1"/>
    <c:dispBlanksAs val="gap"/>
    <c:showDLblsOverMax val="0"/>
  </c:chart>
  <c:printSettings>
    <c:headerFooter/>
    <c:pageMargins b="0.75000000000000655" l="0.70000000000000062" r="0.70000000000000062" t="0.7500000000000065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baseline="0"/>
              <a:t>Government Share of Total Benefits (Progessivity)</a:t>
            </a:r>
            <a:endParaRPr lang="en-US" sz="1400"/>
          </a:p>
        </c:rich>
      </c:tx>
      <c:overlay val="0"/>
    </c:title>
    <c:autoTitleDeleted val="0"/>
    <c:plotArea>
      <c:layout>
        <c:manualLayout>
          <c:layoutTarget val="inner"/>
          <c:xMode val="edge"/>
          <c:yMode val="edge"/>
          <c:x val="9.0013681237625459E-2"/>
          <c:y val="0.21037164237449044"/>
          <c:w val="0.88849206666695357"/>
          <c:h val="0.56748562014854564"/>
        </c:manualLayout>
      </c:layout>
      <c:lineChart>
        <c:grouping val="standard"/>
        <c:varyColors val="0"/>
        <c:ser>
          <c:idx val="0"/>
          <c:order val="0"/>
          <c:tx>
            <c:strRef>
              <c:f>'Petroleum model'!$D$566</c:f>
              <c:strCache>
                <c:ptCount val="1"/>
                <c:pt idx="0">
                  <c:v>DROP</c:v>
                </c:pt>
              </c:strCache>
            </c:strRef>
          </c:tx>
          <c:marker>
            <c:symbol val="none"/>
          </c:marker>
          <c:cat>
            <c:numRef>
              <c:f>'Petroleum model'!$G$565:$L$565</c:f>
              <c:numCache>
                <c:formatCode>#\ ##0_);[Red]\(#\ ##0\);\-</c:formatCode>
                <c:ptCount val="6"/>
                <c:pt idx="0">
                  <c:v>50</c:v>
                </c:pt>
                <c:pt idx="1">
                  <c:v>60</c:v>
                </c:pt>
                <c:pt idx="2">
                  <c:v>70</c:v>
                </c:pt>
                <c:pt idx="3">
                  <c:v>80</c:v>
                </c:pt>
                <c:pt idx="4">
                  <c:v>90</c:v>
                </c:pt>
                <c:pt idx="5">
                  <c:v>100</c:v>
                </c:pt>
              </c:numCache>
            </c:numRef>
          </c:cat>
          <c:val>
            <c:numRef>
              <c:f>'Petroleum model'!$G$566:$L$566</c:f>
              <c:numCache>
                <c:formatCode>0.0%</c:formatCode>
                <c:ptCount val="6"/>
                <c:pt idx="0">
                  <c:v>0.42025587202733555</c:v>
                </c:pt>
                <c:pt idx="1">
                  <c:v>0.48902926422632109</c:v>
                </c:pt>
                <c:pt idx="2">
                  <c:v>0.5398867676679352</c:v>
                </c:pt>
                <c:pt idx="3">
                  <c:v>0.56841338534128771</c:v>
                </c:pt>
                <c:pt idx="4">
                  <c:v>0.58605304406182324</c:v>
                </c:pt>
                <c:pt idx="5">
                  <c:v>0.59787655274398677</c:v>
                </c:pt>
              </c:numCache>
            </c:numRef>
          </c:val>
          <c:smooth val="0"/>
          <c:extLst>
            <c:ext xmlns:c16="http://schemas.microsoft.com/office/drawing/2014/chart" uri="{C3380CC4-5D6E-409C-BE32-E72D297353CC}">
              <c16:uniqueId val="{00000000-EBD7-4124-BB30-6AE6411CDD4F}"/>
            </c:ext>
          </c:extLst>
        </c:ser>
        <c:ser>
          <c:idx val="2"/>
          <c:order val="2"/>
          <c:tx>
            <c:strRef>
              <c:f>'Petroleum model'!$D$568</c:f>
              <c:strCache>
                <c:ptCount val="1"/>
                <c:pt idx="0">
                  <c:v>Royalty + CIT</c:v>
                </c:pt>
              </c:strCache>
            </c:strRef>
          </c:tx>
          <c:marker>
            <c:symbol val="none"/>
          </c:marker>
          <c:cat>
            <c:numRef>
              <c:f>'Petroleum model'!$G$565:$L$565</c:f>
              <c:numCache>
                <c:formatCode>#\ ##0_);[Red]\(#\ ##0\);\-</c:formatCode>
                <c:ptCount val="6"/>
                <c:pt idx="0">
                  <c:v>50</c:v>
                </c:pt>
                <c:pt idx="1">
                  <c:v>60</c:v>
                </c:pt>
                <c:pt idx="2">
                  <c:v>70</c:v>
                </c:pt>
                <c:pt idx="3">
                  <c:v>80</c:v>
                </c:pt>
                <c:pt idx="4">
                  <c:v>90</c:v>
                </c:pt>
                <c:pt idx="5">
                  <c:v>100</c:v>
                </c:pt>
              </c:numCache>
            </c:numRef>
          </c:cat>
          <c:val>
            <c:numRef>
              <c:f>'Petroleum model'!$G$568:$L$568</c:f>
              <c:numCache>
                <c:formatCode>0.0%</c:formatCode>
                <c:ptCount val="6"/>
                <c:pt idx="0">
                  <c:v>0.51976840073910524</c:v>
                </c:pt>
                <c:pt idx="1">
                  <c:v>0.49475570183475642</c:v>
                </c:pt>
                <c:pt idx="2">
                  <c:v>0.49185588306448536</c:v>
                </c:pt>
                <c:pt idx="3">
                  <c:v>0.49033418357911218</c:v>
                </c:pt>
                <c:pt idx="4">
                  <c:v>0.48966397812248225</c:v>
                </c:pt>
                <c:pt idx="5">
                  <c:v>0.48960432897822348</c:v>
                </c:pt>
              </c:numCache>
            </c:numRef>
          </c:val>
          <c:smooth val="0"/>
          <c:extLst>
            <c:ext xmlns:c16="http://schemas.microsoft.com/office/drawing/2014/chart" uri="{C3380CC4-5D6E-409C-BE32-E72D297353CC}">
              <c16:uniqueId val="{00000001-EBD7-4124-BB30-6AE6411CDD4F}"/>
            </c:ext>
          </c:extLst>
        </c:ser>
        <c:dLbls>
          <c:showLegendKey val="0"/>
          <c:showVal val="0"/>
          <c:showCatName val="0"/>
          <c:showSerName val="0"/>
          <c:showPercent val="0"/>
          <c:showBubbleSize val="0"/>
        </c:dLbls>
        <c:marker val="1"/>
        <c:smooth val="0"/>
        <c:axId val="615292568"/>
        <c:axId val="615292960"/>
      </c:lineChart>
      <c:lineChart>
        <c:grouping val="standard"/>
        <c:varyColors val="0"/>
        <c:ser>
          <c:idx val="1"/>
          <c:order val="1"/>
          <c:tx>
            <c:strRef>
              <c:f>'Petroleum model'!$D$567</c:f>
              <c:strCache>
                <c:ptCount val="1"/>
                <c:pt idx="0">
                  <c:v>Rfactor</c:v>
                </c:pt>
              </c:strCache>
            </c:strRef>
          </c:tx>
          <c:marker>
            <c:symbol val="none"/>
          </c:marker>
          <c:cat>
            <c:numRef>
              <c:f>'Petroleum model'!$G$573:$L$573</c:f>
              <c:numCache>
                <c:formatCode>0.0%</c:formatCode>
                <c:ptCount val="6"/>
                <c:pt idx="0">
                  <c:v>0.19605610047607991</c:v>
                </c:pt>
                <c:pt idx="1">
                  <c:v>0.35457462421423069</c:v>
                </c:pt>
                <c:pt idx="2">
                  <c:v>0.47586680919498181</c:v>
                </c:pt>
                <c:pt idx="3">
                  <c:v>0.57775949841007423</c:v>
                </c:pt>
                <c:pt idx="4">
                  <c:v>0.66718063285038465</c:v>
                </c:pt>
                <c:pt idx="5">
                  <c:v>0.74771542497769738</c:v>
                </c:pt>
              </c:numCache>
            </c:numRef>
          </c:cat>
          <c:val>
            <c:numRef>
              <c:f>'Petroleum model'!$G$567:$L$567</c:f>
              <c:numCache>
                <c:formatCode>0.0%</c:formatCode>
                <c:ptCount val="6"/>
                <c:pt idx="0">
                  <c:v>0.37243476635638273</c:v>
                </c:pt>
                <c:pt idx="1">
                  <c:v>0.46870971104313469</c:v>
                </c:pt>
                <c:pt idx="2">
                  <c:v>0.5498396609244971</c:v>
                </c:pt>
                <c:pt idx="3">
                  <c:v>0.59360295013662445</c:v>
                </c:pt>
                <c:pt idx="4">
                  <c:v>0.61965459776717902</c:v>
                </c:pt>
                <c:pt idx="5">
                  <c:v>0.64647361542630855</c:v>
                </c:pt>
              </c:numCache>
            </c:numRef>
          </c:val>
          <c:smooth val="0"/>
          <c:extLst>
            <c:ext xmlns:c16="http://schemas.microsoft.com/office/drawing/2014/chart" uri="{C3380CC4-5D6E-409C-BE32-E72D297353CC}">
              <c16:uniqueId val="{00000002-EBD7-4124-BB30-6AE6411CDD4F}"/>
            </c:ext>
          </c:extLst>
        </c:ser>
        <c:ser>
          <c:idx val="3"/>
          <c:order val="3"/>
          <c:tx>
            <c:strRef>
              <c:f>'Petroleum model'!$D$569</c:f>
              <c:strCache>
                <c:ptCount val="1"/>
                <c:pt idx="0">
                  <c:v>Alt1</c:v>
                </c:pt>
              </c:strCache>
            </c:strRef>
          </c:tx>
          <c:marker>
            <c:symbol val="none"/>
          </c:marker>
          <c:val>
            <c:numRef>
              <c:f>'Petroleum model'!$G$569:$L$569</c:f>
              <c:numCache>
                <c:formatCode>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3-EBD7-4124-BB30-6AE6411CDD4F}"/>
            </c:ext>
          </c:extLst>
        </c:ser>
        <c:ser>
          <c:idx val="4"/>
          <c:order val="4"/>
          <c:tx>
            <c:strRef>
              <c:f>'Petroleum model'!$D$570</c:f>
              <c:strCache>
                <c:ptCount val="1"/>
                <c:pt idx="0">
                  <c:v>Alt2</c:v>
                </c:pt>
              </c:strCache>
            </c:strRef>
          </c:tx>
          <c:marker>
            <c:symbol val="none"/>
          </c:marker>
          <c:val>
            <c:numRef>
              <c:f>'Petroleum model'!$G$570:$L$570</c:f>
              <c:numCache>
                <c:formatCode>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4-EBD7-4124-BB30-6AE6411CDD4F}"/>
            </c:ext>
          </c:extLst>
        </c:ser>
        <c:dLbls>
          <c:showLegendKey val="0"/>
          <c:showVal val="0"/>
          <c:showCatName val="0"/>
          <c:showSerName val="0"/>
          <c:showPercent val="0"/>
          <c:showBubbleSize val="0"/>
        </c:dLbls>
        <c:marker val="1"/>
        <c:smooth val="0"/>
        <c:axId val="615293744"/>
        <c:axId val="615293352"/>
      </c:lineChart>
      <c:catAx>
        <c:axId val="615292568"/>
        <c:scaling>
          <c:orientation val="minMax"/>
        </c:scaling>
        <c:delete val="0"/>
        <c:axPos val="b"/>
        <c:title>
          <c:tx>
            <c:rich>
              <a:bodyPr/>
              <a:lstStyle/>
              <a:p>
                <a:pPr>
                  <a:defRPr/>
                </a:pPr>
                <a:r>
                  <a:rPr lang="en-US"/>
                  <a:t>Oil price $/bbl in real terms</a:t>
                </a:r>
              </a:p>
            </c:rich>
          </c:tx>
          <c:overlay val="0"/>
        </c:title>
        <c:numFmt formatCode="#\ ##0_);[Red]\(#\ ##0\);\-" sourceLinked="1"/>
        <c:majorTickMark val="out"/>
        <c:minorTickMark val="none"/>
        <c:tickLblPos val="nextTo"/>
        <c:crossAx val="615292960"/>
        <c:crosses val="autoZero"/>
        <c:auto val="1"/>
        <c:lblAlgn val="ctr"/>
        <c:lblOffset val="100"/>
        <c:noMultiLvlLbl val="0"/>
      </c:catAx>
      <c:valAx>
        <c:axId val="615292960"/>
        <c:scaling>
          <c:orientation val="minMax"/>
          <c:max val="0.70000000000000062"/>
          <c:min val="0.30000000000000032"/>
        </c:scaling>
        <c:delete val="0"/>
        <c:axPos val="l"/>
        <c:majorGridlines>
          <c:spPr>
            <a:ln>
              <a:solidFill>
                <a:schemeClr val="bg1">
                  <a:lumMod val="85000"/>
                </a:schemeClr>
              </a:solidFill>
              <a:prstDash val="dash"/>
            </a:ln>
          </c:spPr>
        </c:majorGridlines>
        <c:numFmt formatCode="0%" sourceLinked="0"/>
        <c:majorTickMark val="out"/>
        <c:minorTickMark val="none"/>
        <c:tickLblPos val="nextTo"/>
        <c:crossAx val="615292568"/>
        <c:crosses val="autoZero"/>
        <c:crossBetween val="between"/>
        <c:majorUnit val="0.1"/>
      </c:valAx>
      <c:valAx>
        <c:axId val="615293352"/>
        <c:scaling>
          <c:orientation val="minMax"/>
          <c:max val="0.70000000000000062"/>
          <c:min val="0.30000000000000032"/>
        </c:scaling>
        <c:delete val="0"/>
        <c:axPos val="r"/>
        <c:numFmt formatCode="0%" sourceLinked="0"/>
        <c:majorTickMark val="out"/>
        <c:minorTickMark val="none"/>
        <c:tickLblPos val="nextTo"/>
        <c:crossAx val="615293744"/>
        <c:crosses val="max"/>
        <c:crossBetween val="between"/>
        <c:majorUnit val="0.1"/>
      </c:valAx>
      <c:catAx>
        <c:axId val="615293744"/>
        <c:scaling>
          <c:orientation val="minMax"/>
        </c:scaling>
        <c:delete val="0"/>
        <c:axPos val="t"/>
        <c:title>
          <c:tx>
            <c:rich>
              <a:bodyPr/>
              <a:lstStyle/>
              <a:p>
                <a:pPr>
                  <a:defRPr/>
                </a:pPr>
                <a:r>
                  <a:rPr lang="en-US"/>
                  <a:t>Real pre-tax IRR</a:t>
                </a:r>
              </a:p>
            </c:rich>
          </c:tx>
          <c:overlay val="0"/>
        </c:title>
        <c:numFmt formatCode="0.0%" sourceLinked="1"/>
        <c:majorTickMark val="out"/>
        <c:minorTickMark val="none"/>
        <c:tickLblPos val="nextTo"/>
        <c:crossAx val="615293352"/>
        <c:crosses val="max"/>
        <c:auto val="1"/>
        <c:lblAlgn val="ctr"/>
        <c:lblOffset val="100"/>
        <c:noMultiLvlLbl val="0"/>
      </c:catAx>
    </c:plotArea>
    <c:legend>
      <c:legendPos val="b"/>
      <c:layout>
        <c:manualLayout>
          <c:xMode val="edge"/>
          <c:yMode val="edge"/>
          <c:x val="0.14205780952024838"/>
          <c:y val="0.92427415323084661"/>
          <c:w val="0.74665729349736409"/>
          <c:h val="6.0276377952755922E-2"/>
        </c:manualLayout>
      </c:layout>
      <c:overlay val="0"/>
    </c:legend>
    <c:plotVisOnly val="1"/>
    <c:dispBlanksAs val="gap"/>
    <c:showDLblsOverMax val="0"/>
  </c:chart>
  <c:printSettings>
    <c:headerFooter/>
    <c:pageMargins b="0.750000000000003" l="0.70000000000000062" r="0.70000000000000062" t="0.75000000000000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Breakeven</a:t>
            </a:r>
            <a:r>
              <a:rPr lang="en-US" sz="1400" baseline="0"/>
              <a:t> Price</a:t>
            </a:r>
            <a:endParaRPr lang="en-US" sz="1400"/>
          </a:p>
        </c:rich>
      </c:tx>
      <c:overlay val="0"/>
    </c:title>
    <c:autoTitleDeleted val="0"/>
    <c:plotArea>
      <c:layout>
        <c:manualLayout>
          <c:layoutTarget val="inner"/>
          <c:xMode val="edge"/>
          <c:yMode val="edge"/>
          <c:x val="0.16888188976377952"/>
          <c:y val="0.12734595653772876"/>
          <c:w val="0.80746212973377995"/>
          <c:h val="0.78687801079924569"/>
        </c:manualLayout>
      </c:layout>
      <c:barChart>
        <c:barDir val="col"/>
        <c:grouping val="clustered"/>
        <c:varyColors val="0"/>
        <c:ser>
          <c:idx val="0"/>
          <c:order val="0"/>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'Mining model'!$D$497:$D$500</c:f>
              <c:strCache>
                <c:ptCount val="4"/>
                <c:pt idx="0">
                  <c:v>SGO SENEGAL</c:v>
                </c:pt>
                <c:pt idx="1">
                  <c:v>Royalty + CIT + SCF</c:v>
                </c:pt>
                <c:pt idx="2">
                  <c:v>Royalty + CIT + RRT</c:v>
                </c:pt>
                <c:pt idx="3">
                  <c:v>Alt1</c:v>
                </c:pt>
              </c:strCache>
            </c:strRef>
          </c:cat>
          <c:val>
            <c:numRef>
              <c:f>'Mining model'!$G$497:$G$500</c:f>
              <c:numCache>
                <c:formatCode>#\ ##0_);[Red]\(#\ ##0\);\-</c:formatCode>
                <c:ptCount val="4"/>
                <c:pt idx="0">
                  <c:v>951.80255545696548</c:v>
                </c:pt>
                <c:pt idx="1">
                  <c:v>990.04462241729016</c:v>
                </c:pt>
                <c:pt idx="2">
                  <c:v>972.22381921377894</c:v>
                </c:pt>
                <c:pt idx="3">
                  <c:v>0</c:v>
                </c:pt>
              </c:numCache>
            </c:numRef>
          </c:val>
          <c:extLst>
            <c:ext xmlns:c16="http://schemas.microsoft.com/office/drawing/2014/chart" uri="{C3380CC4-5D6E-409C-BE32-E72D297353CC}">
              <c16:uniqueId val="{00000000-1A2A-46E5-BD4D-33F8BBC9BF6E}"/>
            </c:ext>
          </c:extLst>
        </c:ser>
        <c:dLbls>
          <c:showLegendKey val="0"/>
          <c:showVal val="0"/>
          <c:showCatName val="0"/>
          <c:showSerName val="0"/>
          <c:showPercent val="0"/>
          <c:showBubbleSize val="0"/>
        </c:dLbls>
        <c:gapWidth val="150"/>
        <c:axId val="615289432"/>
        <c:axId val="615289040"/>
      </c:barChart>
      <c:catAx>
        <c:axId val="615289432"/>
        <c:scaling>
          <c:orientation val="minMax"/>
        </c:scaling>
        <c:delete val="0"/>
        <c:axPos val="b"/>
        <c:numFmt formatCode="General" sourceLinked="1"/>
        <c:majorTickMark val="out"/>
        <c:minorTickMark val="none"/>
        <c:tickLblPos val="nextTo"/>
        <c:crossAx val="615289040"/>
        <c:crosses val="autoZero"/>
        <c:auto val="1"/>
        <c:lblAlgn val="ctr"/>
        <c:lblOffset val="100"/>
        <c:noMultiLvlLbl val="0"/>
      </c:catAx>
      <c:valAx>
        <c:axId val="615289040"/>
        <c:scaling>
          <c:orientation val="minMax"/>
        </c:scaling>
        <c:delete val="0"/>
        <c:axPos val="l"/>
        <c:majorGridlines>
          <c:spPr>
            <a:ln>
              <a:prstDash val="dash"/>
            </a:ln>
          </c:spPr>
        </c:majorGridlines>
        <c:title>
          <c:tx>
            <c:rich>
              <a:bodyPr rot="-5400000" vert="horz"/>
              <a:lstStyle/>
              <a:p>
                <a:pPr>
                  <a:defRPr/>
                </a:pPr>
                <a:r>
                  <a:rPr lang="en-US"/>
                  <a:t>Gold price required to achieve a 12.5% post-tax IRR on total funds in real terms</a:t>
                </a:r>
              </a:p>
            </c:rich>
          </c:tx>
          <c:overlay val="0"/>
        </c:title>
        <c:numFmt formatCode="#\ ##0_);[Red]\(#\ ##0\);\-" sourceLinked="1"/>
        <c:majorTickMark val="out"/>
        <c:minorTickMark val="none"/>
        <c:tickLblPos val="nextTo"/>
        <c:crossAx val="615289432"/>
        <c:crosses val="autoZero"/>
        <c:crossBetween val="between"/>
      </c:valAx>
    </c:plotArea>
    <c:plotVisOnly val="1"/>
    <c:dispBlanksAs val="gap"/>
    <c:showDLblsOverMax val="0"/>
  </c:chart>
  <c:printSettings>
    <c:headerFooter/>
    <c:pageMargins b="0.75000000000000699" l="0.70000000000000062" r="0.70000000000000062" t="0.750000000000006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 model'!$I$505</c:f>
          <c:strCache>
            <c:ptCount val="1"/>
            <c:pt idx="0">
              <c:v>Government Revenue ($mm), regime: SGO SENEGAL</c:v>
            </c:pt>
          </c:strCache>
        </c:strRef>
      </c:tx>
      <c:overlay val="1"/>
      <c:txPr>
        <a:bodyPr/>
        <a:lstStyle/>
        <a:p>
          <a:pPr>
            <a:defRPr sz="1400"/>
          </a:pPr>
          <a:endParaRPr lang="fr-FR"/>
        </a:p>
      </c:txPr>
    </c:title>
    <c:autoTitleDeleted val="0"/>
    <c:plotArea>
      <c:layout>
        <c:manualLayout>
          <c:layoutTarget val="inner"/>
          <c:xMode val="edge"/>
          <c:yMode val="edge"/>
          <c:x val="9.9248687664041949E-2"/>
          <c:y val="0.10373444495908739"/>
          <c:w val="0.87411307961504814"/>
          <c:h val="0.70077196232824479"/>
        </c:manualLayout>
      </c:layout>
      <c:barChart>
        <c:barDir val="col"/>
        <c:grouping val="stacked"/>
        <c:varyColors val="0"/>
        <c:ser>
          <c:idx val="7"/>
          <c:order val="0"/>
          <c:tx>
            <c:strRef>
              <c:f>'Mining model'!$D$339</c:f>
              <c:strCache>
                <c:ptCount val="1"/>
                <c:pt idx="0">
                  <c:v>Signature bonus</c:v>
                </c:pt>
              </c:strCache>
            </c:strRef>
          </c:tx>
          <c:invertIfNegative val="0"/>
          <c:val>
            <c:numRef>
              <c:f>'Mining model'!$G$339:$S$339</c:f>
              <c:numCache>
                <c:formatCode>#\ ##0_);[Red]\(#\ ##0\);\-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DDE-4C6A-801E-F4D0E221417C}"/>
            </c:ext>
          </c:extLst>
        </c:ser>
        <c:ser>
          <c:idx val="1"/>
          <c:order val="1"/>
          <c:tx>
            <c:strRef>
              <c:f>'Mining model'!$D$340</c:f>
              <c:strCache>
                <c:ptCount val="1"/>
                <c:pt idx="0">
                  <c:v>Royalty</c:v>
                </c:pt>
              </c:strCache>
            </c:strRef>
          </c:tx>
          <c:invertIfNegative val="0"/>
          <c:cat>
            <c:numLit>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Lit>
          </c:cat>
          <c:val>
            <c:numRef>
              <c:f>'Mining model'!$G$340:$S$340</c:f>
              <c:numCache>
                <c:formatCode>#\ ##0_);[Red]\(#\ ##0\);\-</c:formatCode>
                <c:ptCount val="13"/>
                <c:pt idx="0">
                  <c:v>0</c:v>
                </c:pt>
                <c:pt idx="1">
                  <c:v>0</c:v>
                </c:pt>
                <c:pt idx="2">
                  <c:v>38</c:v>
                </c:pt>
                <c:pt idx="3">
                  <c:v>38.000000000000007</c:v>
                </c:pt>
                <c:pt idx="4">
                  <c:v>38</c:v>
                </c:pt>
                <c:pt idx="5">
                  <c:v>38</c:v>
                </c:pt>
                <c:pt idx="6">
                  <c:v>38.000000000000007</c:v>
                </c:pt>
                <c:pt idx="7">
                  <c:v>38.000000000000007</c:v>
                </c:pt>
                <c:pt idx="8">
                  <c:v>38</c:v>
                </c:pt>
                <c:pt idx="9">
                  <c:v>38</c:v>
                </c:pt>
                <c:pt idx="10">
                  <c:v>38</c:v>
                </c:pt>
                <c:pt idx="11">
                  <c:v>38</c:v>
                </c:pt>
                <c:pt idx="12">
                  <c:v>0</c:v>
                </c:pt>
              </c:numCache>
            </c:numRef>
          </c:val>
          <c:extLst>
            <c:ext xmlns:c16="http://schemas.microsoft.com/office/drawing/2014/chart" uri="{C3380CC4-5D6E-409C-BE32-E72D297353CC}">
              <c16:uniqueId val="{00000001-3DDE-4C6A-801E-F4D0E221417C}"/>
            </c:ext>
          </c:extLst>
        </c:ser>
        <c:ser>
          <c:idx val="0"/>
          <c:order val="2"/>
          <c:tx>
            <c:strRef>
              <c:f>'Mining model'!$D$341</c:f>
              <c:strCache>
                <c:ptCount val="1"/>
                <c:pt idx="0">
                  <c:v>Corporate Income Tax</c:v>
                </c:pt>
              </c:strCache>
            </c:strRef>
          </c:tx>
          <c:invertIfNegative val="0"/>
          <c:cat>
            <c:numLit>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Lit>
          </c:cat>
          <c:val>
            <c:numRef>
              <c:f>'Mining model'!$G$341:$S$341</c:f>
              <c:numCache>
                <c:formatCode>#\ ##0_);[Red]\(#\ ##0\);\-</c:formatCode>
                <c:ptCount val="13"/>
                <c:pt idx="0">
                  <c:v>0</c:v>
                </c:pt>
                <c:pt idx="1">
                  <c:v>0</c:v>
                </c:pt>
                <c:pt idx="2">
                  <c:v>25.214971164936525</c:v>
                </c:pt>
                <c:pt idx="3">
                  <c:v>121.76770203469738</c:v>
                </c:pt>
                <c:pt idx="4">
                  <c:v>122.49690466637541</c:v>
                </c:pt>
                <c:pt idx="5">
                  <c:v>123.25856788444248</c:v>
                </c:pt>
                <c:pt idx="6">
                  <c:v>124.05532831421702</c:v>
                </c:pt>
                <c:pt idx="7">
                  <c:v>124.88999999999997</c:v>
                </c:pt>
                <c:pt idx="8">
                  <c:v>121.065</c:v>
                </c:pt>
                <c:pt idx="9">
                  <c:v>121.03999999999999</c:v>
                </c:pt>
                <c:pt idx="10">
                  <c:v>120.96549019607839</c:v>
                </c:pt>
                <c:pt idx="11">
                  <c:v>120.74244136870431</c:v>
                </c:pt>
                <c:pt idx="12">
                  <c:v>0</c:v>
                </c:pt>
              </c:numCache>
            </c:numRef>
          </c:val>
          <c:extLst>
            <c:ext xmlns:c16="http://schemas.microsoft.com/office/drawing/2014/chart" uri="{C3380CC4-5D6E-409C-BE32-E72D297353CC}">
              <c16:uniqueId val="{00000002-3DDE-4C6A-801E-F4D0E221417C}"/>
            </c:ext>
          </c:extLst>
        </c:ser>
        <c:ser>
          <c:idx val="2"/>
          <c:order val="3"/>
          <c:tx>
            <c:strRef>
              <c:f>'Mining model'!$D$342</c:f>
              <c:strCache>
                <c:ptCount val="1"/>
                <c:pt idx="0">
                  <c:v>Surcharge on Cash Flows</c:v>
                </c:pt>
              </c:strCache>
            </c:strRef>
          </c:tx>
          <c:invertIfNegative val="0"/>
          <c:cat>
            <c:numLit>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Lit>
          </c:cat>
          <c:val>
            <c:numRef>
              <c:f>'Mining model'!$G$342:$S$342</c:f>
              <c:numCache>
                <c:formatCode>#\ ##0_);[Red]\(#\ ##0\);\-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3DDE-4C6A-801E-F4D0E221417C}"/>
            </c:ext>
          </c:extLst>
        </c:ser>
        <c:ser>
          <c:idx val="4"/>
          <c:order val="4"/>
          <c:tx>
            <c:strRef>
              <c:f>'Mining model'!$D$343</c:f>
              <c:strCache>
                <c:ptCount val="1"/>
                <c:pt idx="0">
                  <c:v>Resource Rent Tax</c:v>
                </c:pt>
              </c:strCache>
            </c:strRef>
          </c:tx>
          <c:invertIfNegative val="0"/>
          <c:val>
            <c:numRef>
              <c:f>'Mining model'!$G$343:$S$343</c:f>
              <c:numCache>
                <c:formatCode>#\ ##0_);[Red]\(#\ ##0\);\-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3DDE-4C6A-801E-F4D0E221417C}"/>
            </c:ext>
          </c:extLst>
        </c:ser>
        <c:ser>
          <c:idx val="5"/>
          <c:order val="5"/>
          <c:tx>
            <c:strRef>
              <c:f>'Mining model'!$D$344</c:f>
              <c:strCache>
                <c:ptCount val="1"/>
                <c:pt idx="0">
                  <c:v>State participation</c:v>
                </c:pt>
              </c:strCache>
            </c:strRef>
          </c:tx>
          <c:invertIfNegative val="0"/>
          <c:val>
            <c:numRef>
              <c:f>'Mining model'!$G$344:$S$344</c:f>
              <c:numCache>
                <c:formatCode>#\ ##0_);[Red]\(#\ ##0\);\-</c:formatCode>
                <c:ptCount val="13"/>
                <c:pt idx="0">
                  <c:v>0</c:v>
                </c:pt>
                <c:pt idx="1">
                  <c:v>0</c:v>
                </c:pt>
                <c:pt idx="2">
                  <c:v>17.498168416270175</c:v>
                </c:pt>
                <c:pt idx="3">
                  <c:v>25.927632571751978</c:v>
                </c:pt>
                <c:pt idx="4">
                  <c:v>25.923841665932777</c:v>
                </c:pt>
                <c:pt idx="5">
                  <c:v>25.915449223879591</c:v>
                </c:pt>
                <c:pt idx="6">
                  <c:v>25.902218161052652</c:v>
                </c:pt>
                <c:pt idx="7">
                  <c:v>29.141000000000002</c:v>
                </c:pt>
                <c:pt idx="8">
                  <c:v>28.248499999999996</c:v>
                </c:pt>
                <c:pt idx="9">
                  <c:v>28.242666666666665</c:v>
                </c:pt>
                <c:pt idx="10">
                  <c:v>28.225281045751629</c:v>
                </c:pt>
                <c:pt idx="11">
                  <c:v>28.173236319364349</c:v>
                </c:pt>
                <c:pt idx="12">
                  <c:v>0</c:v>
                </c:pt>
              </c:numCache>
            </c:numRef>
          </c:val>
          <c:extLst>
            <c:ext xmlns:c16="http://schemas.microsoft.com/office/drawing/2014/chart" uri="{C3380CC4-5D6E-409C-BE32-E72D297353CC}">
              <c16:uniqueId val="{00000005-3DDE-4C6A-801E-F4D0E221417C}"/>
            </c:ext>
          </c:extLst>
        </c:ser>
        <c:ser>
          <c:idx val="6"/>
          <c:order val="6"/>
          <c:tx>
            <c:strRef>
              <c:f>'Mining model'!$D$345</c:f>
              <c:strCache>
                <c:ptCount val="1"/>
                <c:pt idx="0">
                  <c:v>Dividend Withholding Tax</c:v>
                </c:pt>
              </c:strCache>
            </c:strRef>
          </c:tx>
          <c:invertIfNegative val="0"/>
          <c:val>
            <c:numRef>
              <c:f>'Mining model'!$G$345:$S$345</c:f>
              <c:numCache>
                <c:formatCode>#\ ##0_);[Red]\(#\ ##0\);\-</c:formatCode>
                <c:ptCount val="13"/>
                <c:pt idx="0">
                  <c:v>0</c:v>
                </c:pt>
                <c:pt idx="1">
                  <c:v>0</c:v>
                </c:pt>
                <c:pt idx="2">
                  <c:v>15.748351574643159</c:v>
                </c:pt>
                <c:pt idx="3">
                  <c:v>23.334869314576782</c:v>
                </c:pt>
                <c:pt idx="4">
                  <c:v>23.3314574993395</c:v>
                </c:pt>
                <c:pt idx="5">
                  <c:v>23.323904301491631</c:v>
                </c:pt>
                <c:pt idx="6">
                  <c:v>23.311996344947385</c:v>
                </c:pt>
                <c:pt idx="7">
                  <c:v>26.226900000000001</c:v>
                </c:pt>
                <c:pt idx="8">
                  <c:v>25.423650000000002</c:v>
                </c:pt>
                <c:pt idx="9">
                  <c:v>25.418399999999998</c:v>
                </c:pt>
                <c:pt idx="10">
                  <c:v>25.40275294117647</c:v>
                </c:pt>
                <c:pt idx="11">
                  <c:v>25.35591268742791</c:v>
                </c:pt>
                <c:pt idx="12">
                  <c:v>0</c:v>
                </c:pt>
              </c:numCache>
            </c:numRef>
          </c:val>
          <c:extLst>
            <c:ext xmlns:c16="http://schemas.microsoft.com/office/drawing/2014/chart" uri="{C3380CC4-5D6E-409C-BE32-E72D297353CC}">
              <c16:uniqueId val="{00000006-3DDE-4C6A-801E-F4D0E221417C}"/>
            </c:ext>
          </c:extLst>
        </c:ser>
        <c:dLbls>
          <c:showLegendKey val="0"/>
          <c:showVal val="0"/>
          <c:showCatName val="0"/>
          <c:showSerName val="0"/>
          <c:showPercent val="0"/>
          <c:showBubbleSize val="0"/>
        </c:dLbls>
        <c:gapWidth val="56"/>
        <c:overlap val="100"/>
        <c:axId val="615292176"/>
        <c:axId val="615288256"/>
      </c:barChart>
      <c:lineChart>
        <c:grouping val="standard"/>
        <c:varyColors val="0"/>
        <c:ser>
          <c:idx val="3"/>
          <c:order val="7"/>
          <c:tx>
            <c:v>Project pre-tax cash flow</c:v>
          </c:tx>
          <c:spPr>
            <a:ln>
              <a:solidFill>
                <a:schemeClr val="tx1"/>
              </a:solidFill>
              <a:prstDash val="dash"/>
            </a:ln>
          </c:spPr>
          <c:marker>
            <c:symbol val="none"/>
          </c:marker>
          <c:cat>
            <c:numLit>
              <c:formatCode>General</c:formatCode>
              <c:ptCount val="13"/>
              <c:pt idx="0">
                <c:v>1</c:v>
              </c:pt>
              <c:pt idx="1">
                <c:v>2</c:v>
              </c:pt>
              <c:pt idx="2">
                <c:v>3</c:v>
              </c:pt>
              <c:pt idx="3">
                <c:v>4</c:v>
              </c:pt>
              <c:pt idx="4">
                <c:v>5</c:v>
              </c:pt>
              <c:pt idx="5">
                <c:v>6</c:v>
              </c:pt>
              <c:pt idx="6">
                <c:v>7</c:v>
              </c:pt>
              <c:pt idx="7">
                <c:v>8</c:v>
              </c:pt>
              <c:pt idx="8">
                <c:v>9</c:v>
              </c:pt>
              <c:pt idx="9">
                <c:v>10</c:v>
              </c:pt>
              <c:pt idx="10">
                <c:v>11</c:v>
              </c:pt>
              <c:pt idx="11">
                <c:v>12</c:v>
              </c:pt>
              <c:pt idx="12">
                <c:v>13</c:v>
              </c:pt>
            </c:numLit>
          </c:cat>
          <c:val>
            <c:numRef>
              <c:f>'Mining model'!$G$304:$S$304</c:f>
              <c:numCache>
                <c:formatCode>#\ ##0;\-#\ ##0;\-</c:formatCode>
                <c:ptCount val="13"/>
                <c:pt idx="0">
                  <c:v>-311</c:v>
                </c:pt>
                <c:pt idx="1">
                  <c:v>-21</c:v>
                </c:pt>
                <c:pt idx="2">
                  <c:v>454.29999999999995</c:v>
                </c:pt>
                <c:pt idx="3">
                  <c:v>454.29999999999995</c:v>
                </c:pt>
                <c:pt idx="4">
                  <c:v>454.29999999999995</c:v>
                </c:pt>
                <c:pt idx="5">
                  <c:v>454.29999999999995</c:v>
                </c:pt>
                <c:pt idx="6">
                  <c:v>454.29999999999995</c:v>
                </c:pt>
                <c:pt idx="7">
                  <c:v>454.29999999999995</c:v>
                </c:pt>
                <c:pt idx="8">
                  <c:v>454.29999999999995</c:v>
                </c:pt>
                <c:pt idx="9">
                  <c:v>454.29999999999995</c:v>
                </c:pt>
                <c:pt idx="10">
                  <c:v>454.29999999999995</c:v>
                </c:pt>
                <c:pt idx="11">
                  <c:v>454.29999999999995</c:v>
                </c:pt>
                <c:pt idx="12">
                  <c:v>-50</c:v>
                </c:pt>
              </c:numCache>
            </c:numRef>
          </c:val>
          <c:smooth val="0"/>
          <c:extLst>
            <c:ext xmlns:c16="http://schemas.microsoft.com/office/drawing/2014/chart" uri="{C3380CC4-5D6E-409C-BE32-E72D297353CC}">
              <c16:uniqueId val="{00000007-3DDE-4C6A-801E-F4D0E221417C}"/>
            </c:ext>
          </c:extLst>
        </c:ser>
        <c:dLbls>
          <c:showLegendKey val="0"/>
          <c:showVal val="0"/>
          <c:showCatName val="0"/>
          <c:showSerName val="0"/>
          <c:showPercent val="0"/>
          <c:showBubbleSize val="0"/>
        </c:dLbls>
        <c:marker val="1"/>
        <c:smooth val="0"/>
        <c:axId val="615292176"/>
        <c:axId val="615288256"/>
      </c:lineChart>
      <c:catAx>
        <c:axId val="615292176"/>
        <c:scaling>
          <c:orientation val="minMax"/>
        </c:scaling>
        <c:delete val="0"/>
        <c:axPos val="b"/>
        <c:numFmt formatCode="General" sourceLinked="1"/>
        <c:majorTickMark val="out"/>
        <c:minorTickMark val="none"/>
        <c:tickLblPos val="nextTo"/>
        <c:crossAx val="615288256"/>
        <c:crosses val="autoZero"/>
        <c:auto val="1"/>
        <c:lblAlgn val="ctr"/>
        <c:lblOffset val="100"/>
        <c:noMultiLvlLbl val="0"/>
      </c:catAx>
      <c:valAx>
        <c:axId val="615288256"/>
        <c:scaling>
          <c:orientation val="minMax"/>
        </c:scaling>
        <c:delete val="0"/>
        <c:axPos val="l"/>
        <c:majorGridlines>
          <c:spPr>
            <a:ln>
              <a:prstDash val="dash"/>
            </a:ln>
          </c:spPr>
        </c:majorGridlines>
        <c:title>
          <c:tx>
            <c:rich>
              <a:bodyPr rot="-5400000" vert="horz"/>
              <a:lstStyle/>
              <a:p>
                <a:pPr>
                  <a:defRPr/>
                </a:pPr>
                <a:r>
                  <a:rPr lang="en-US"/>
                  <a:t>$mm constant</a:t>
                </a:r>
              </a:p>
            </c:rich>
          </c:tx>
          <c:overlay val="0"/>
        </c:title>
        <c:numFmt formatCode="General" sourceLinked="0"/>
        <c:majorTickMark val="out"/>
        <c:minorTickMark val="none"/>
        <c:tickLblPos val="nextTo"/>
        <c:crossAx val="615292176"/>
        <c:crosses val="autoZero"/>
        <c:crossBetween val="between"/>
      </c:valAx>
    </c:plotArea>
    <c:legend>
      <c:legendPos val="b"/>
      <c:layout>
        <c:manualLayout>
          <c:xMode val="edge"/>
          <c:yMode val="edge"/>
          <c:x val="3.8511958477983416E-2"/>
          <c:y val="0.8085817508105605"/>
          <c:w val="0.95854486506272951"/>
          <c:h val="0.17573197467963564"/>
        </c:manualLayout>
      </c:layout>
      <c:overlay val="0"/>
      <c:txPr>
        <a:bodyPr/>
        <a:lstStyle/>
        <a:p>
          <a:pPr>
            <a:defRPr sz="900"/>
          </a:pPr>
          <a:endParaRPr lang="fr-FR"/>
        </a:p>
      </c:txPr>
    </c:legend>
    <c:plotVisOnly val="1"/>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Government Revenues ($mm)</a:t>
            </a:r>
            <a:endParaRPr lang="en-US"/>
          </a:p>
        </c:rich>
      </c:tx>
      <c:overlay val="0"/>
    </c:title>
    <c:autoTitleDeleted val="0"/>
    <c:plotArea>
      <c:layout>
        <c:manualLayout>
          <c:layoutTarget val="inner"/>
          <c:xMode val="edge"/>
          <c:yMode val="edge"/>
          <c:x val="0.11409981682146735"/>
          <c:y val="0.10467337416156319"/>
          <c:w val="0.83830988090146918"/>
          <c:h val="0.71700082628560668"/>
        </c:manualLayout>
      </c:layout>
      <c:lineChart>
        <c:grouping val="standard"/>
        <c:varyColors val="0"/>
        <c:ser>
          <c:idx val="0"/>
          <c:order val="0"/>
          <c:tx>
            <c:strRef>
              <c:f>'Mining model'!$D$379</c:f>
              <c:strCache>
                <c:ptCount val="1"/>
                <c:pt idx="0">
                  <c:v>SGO SENEGAL</c:v>
                </c:pt>
              </c:strCache>
            </c:strRef>
          </c:tx>
          <c:marker>
            <c:symbol val="none"/>
          </c:marker>
          <c:val>
            <c:numRef>
              <c:f>'Mining model'!$G$379:$S$379</c:f>
              <c:numCache>
                <c:formatCode>#\ ##0;\-#\ ##0;\-</c:formatCode>
                <c:ptCount val="13"/>
                <c:pt idx="0">
                  <c:v>0</c:v>
                </c:pt>
                <c:pt idx="1">
                  <c:v>0</c:v>
                </c:pt>
                <c:pt idx="2">
                  <c:v>96.46149115584987</c:v>
                </c:pt>
                <c:pt idx="3">
                  <c:v>209.03020392102616</c:v>
                </c:pt>
                <c:pt idx="4">
                  <c:v>209.75220383164771</c:v>
                </c:pt>
                <c:pt idx="5">
                  <c:v>210.4979214098137</c:v>
                </c:pt>
                <c:pt idx="6">
                  <c:v>211.26954282021705</c:v>
                </c:pt>
                <c:pt idx="7">
                  <c:v>218.25789999999998</c:v>
                </c:pt>
                <c:pt idx="8">
                  <c:v>212.73715000000001</c:v>
                </c:pt>
                <c:pt idx="9">
                  <c:v>212.70106666666666</c:v>
                </c:pt>
                <c:pt idx="10">
                  <c:v>212.59352418300648</c:v>
                </c:pt>
                <c:pt idx="11">
                  <c:v>212.27159037549657</c:v>
                </c:pt>
                <c:pt idx="12">
                  <c:v>0</c:v>
                </c:pt>
              </c:numCache>
            </c:numRef>
          </c:val>
          <c:smooth val="0"/>
          <c:extLst>
            <c:ext xmlns:c16="http://schemas.microsoft.com/office/drawing/2014/chart" uri="{C3380CC4-5D6E-409C-BE32-E72D297353CC}">
              <c16:uniqueId val="{00000000-AC51-4CFC-B5EB-03226BD3A15E}"/>
            </c:ext>
          </c:extLst>
        </c:ser>
        <c:ser>
          <c:idx val="1"/>
          <c:order val="1"/>
          <c:tx>
            <c:strRef>
              <c:f>'Mining model'!$D$380</c:f>
              <c:strCache>
                <c:ptCount val="1"/>
                <c:pt idx="0">
                  <c:v>Royalty + CIT + SCF</c:v>
                </c:pt>
              </c:strCache>
            </c:strRef>
          </c:tx>
          <c:marker>
            <c:symbol val="none"/>
          </c:marker>
          <c:val>
            <c:numRef>
              <c:f>'Mining model'!$G$380:$S$380</c:f>
              <c:numCache>
                <c:formatCode>#\ ##0;\-#\ ##0;\-</c:formatCode>
                <c:ptCount val="13"/>
                <c:pt idx="0">
                  <c:v>0</c:v>
                </c:pt>
                <c:pt idx="1">
                  <c:v>0</c:v>
                </c:pt>
                <c:pt idx="2">
                  <c:v>107.92709017315089</c:v>
                </c:pt>
                <c:pt idx="3">
                  <c:v>256.61516019140515</c:v>
                </c:pt>
                <c:pt idx="4">
                  <c:v>257.21902927569488</c:v>
                </c:pt>
                <c:pt idx="5">
                  <c:v>257.84135741253397</c:v>
                </c:pt>
                <c:pt idx="6">
                  <c:v>258.4839036333139</c:v>
                </c:pt>
                <c:pt idx="7">
                  <c:v>265.33704399999999</c:v>
                </c:pt>
                <c:pt idx="8">
                  <c:v>258.37044399999996</c:v>
                </c:pt>
                <c:pt idx="9">
                  <c:v>258.32491066666665</c:v>
                </c:pt>
                <c:pt idx="10">
                  <c:v>258.18920347712418</c:v>
                </c:pt>
                <c:pt idx="11">
                  <c:v>257.78295721286679</c:v>
                </c:pt>
                <c:pt idx="12">
                  <c:v>0</c:v>
                </c:pt>
              </c:numCache>
            </c:numRef>
          </c:val>
          <c:smooth val="0"/>
          <c:extLst>
            <c:ext xmlns:c16="http://schemas.microsoft.com/office/drawing/2014/chart" uri="{C3380CC4-5D6E-409C-BE32-E72D297353CC}">
              <c16:uniqueId val="{00000001-AC51-4CFC-B5EB-03226BD3A15E}"/>
            </c:ext>
          </c:extLst>
        </c:ser>
        <c:ser>
          <c:idx val="2"/>
          <c:order val="2"/>
          <c:tx>
            <c:strRef>
              <c:f>'Mining model'!$D$381</c:f>
              <c:strCache>
                <c:ptCount val="1"/>
                <c:pt idx="0">
                  <c:v>Royalty + CIT + RRT</c:v>
                </c:pt>
              </c:strCache>
            </c:strRef>
          </c:tx>
          <c:marker>
            <c:symbol val="none"/>
          </c:marker>
          <c:val>
            <c:numRef>
              <c:f>'Mining model'!$G$381:$S$381</c:f>
              <c:numCache>
                <c:formatCode>#\ ##0;\-#\ ##0;\-</c:formatCode>
                <c:ptCount val="13"/>
                <c:pt idx="0">
                  <c:v>0</c:v>
                </c:pt>
                <c:pt idx="1">
                  <c:v>0</c:v>
                </c:pt>
                <c:pt idx="2">
                  <c:v>97.424183598756429</c:v>
                </c:pt>
                <c:pt idx="3">
                  <c:v>256.61516019140515</c:v>
                </c:pt>
                <c:pt idx="4">
                  <c:v>257.21902927569488</c:v>
                </c:pt>
                <c:pt idx="5">
                  <c:v>257.84135741253397</c:v>
                </c:pt>
                <c:pt idx="6">
                  <c:v>258.4839036333139</c:v>
                </c:pt>
                <c:pt idx="7">
                  <c:v>265.33704399999999</c:v>
                </c:pt>
                <c:pt idx="8">
                  <c:v>258.37044399999996</c:v>
                </c:pt>
                <c:pt idx="9">
                  <c:v>258.32491066666665</c:v>
                </c:pt>
                <c:pt idx="10">
                  <c:v>258.18920347712418</c:v>
                </c:pt>
                <c:pt idx="11">
                  <c:v>257.78295721286679</c:v>
                </c:pt>
                <c:pt idx="12">
                  <c:v>0</c:v>
                </c:pt>
              </c:numCache>
            </c:numRef>
          </c:val>
          <c:smooth val="0"/>
          <c:extLst>
            <c:ext xmlns:c16="http://schemas.microsoft.com/office/drawing/2014/chart" uri="{C3380CC4-5D6E-409C-BE32-E72D297353CC}">
              <c16:uniqueId val="{00000002-AC51-4CFC-B5EB-03226BD3A15E}"/>
            </c:ext>
          </c:extLst>
        </c:ser>
        <c:ser>
          <c:idx val="3"/>
          <c:order val="3"/>
          <c:tx>
            <c:strRef>
              <c:f>'Mining model'!$D$382</c:f>
              <c:strCache>
                <c:ptCount val="1"/>
                <c:pt idx="0">
                  <c:v>Alt1</c:v>
                </c:pt>
              </c:strCache>
            </c:strRef>
          </c:tx>
          <c:marker>
            <c:symbol val="none"/>
          </c:marker>
          <c:val>
            <c:numRef>
              <c:f>'Mining model'!$G$382:$S$382</c:f>
              <c:numCache>
                <c:formatCode>#\ ##0;\-#\ ##0;\-</c:formatCode>
                <c:ptCount val="13"/>
                <c:pt idx="0">
                  <c:v>0</c:v>
                </c:pt>
                <c:pt idx="1">
                  <c:v>0</c:v>
                </c:pt>
                <c:pt idx="2">
                  <c:v>23.819665532763832</c:v>
                </c:pt>
                <c:pt idx="3">
                  <c:v>41.904402775221719</c:v>
                </c:pt>
                <c:pt idx="4">
                  <c:v>41.973532132570313</c:v>
                </c:pt>
                <c:pt idx="5">
                  <c:v>42.041306012323837</c:v>
                </c:pt>
                <c:pt idx="6">
                  <c:v>42.107750992474351</c:v>
                </c:pt>
                <c:pt idx="7">
                  <c:v>45.43</c:v>
                </c:pt>
                <c:pt idx="8">
                  <c:v>45.430000000000007</c:v>
                </c:pt>
                <c:pt idx="9">
                  <c:v>45.429999999999993</c:v>
                </c:pt>
                <c:pt idx="10">
                  <c:v>45.43</c:v>
                </c:pt>
                <c:pt idx="11">
                  <c:v>45.429999999999993</c:v>
                </c:pt>
                <c:pt idx="12">
                  <c:v>0</c:v>
                </c:pt>
              </c:numCache>
            </c:numRef>
          </c:val>
          <c:smooth val="0"/>
          <c:extLst>
            <c:ext xmlns:c16="http://schemas.microsoft.com/office/drawing/2014/chart" uri="{C3380CC4-5D6E-409C-BE32-E72D297353CC}">
              <c16:uniqueId val="{00000003-AC51-4CFC-B5EB-03226BD3A15E}"/>
            </c:ext>
          </c:extLst>
        </c:ser>
        <c:dLbls>
          <c:showLegendKey val="0"/>
          <c:showVal val="0"/>
          <c:showCatName val="0"/>
          <c:showSerName val="0"/>
          <c:showPercent val="0"/>
          <c:showBubbleSize val="0"/>
        </c:dLbls>
        <c:smooth val="0"/>
        <c:axId val="615295312"/>
        <c:axId val="615295704"/>
      </c:lineChart>
      <c:catAx>
        <c:axId val="615295312"/>
        <c:scaling>
          <c:orientation val="minMax"/>
        </c:scaling>
        <c:delete val="0"/>
        <c:axPos val="b"/>
        <c:numFmt formatCode="General" sourceLinked="1"/>
        <c:majorTickMark val="out"/>
        <c:minorTickMark val="none"/>
        <c:tickLblPos val="nextTo"/>
        <c:crossAx val="615295704"/>
        <c:crosses val="autoZero"/>
        <c:auto val="1"/>
        <c:lblAlgn val="ctr"/>
        <c:lblOffset val="100"/>
        <c:noMultiLvlLbl val="0"/>
      </c:catAx>
      <c:valAx>
        <c:axId val="615295704"/>
        <c:scaling>
          <c:orientation val="minMax"/>
        </c:scaling>
        <c:delete val="0"/>
        <c:axPos val="l"/>
        <c:majorGridlines>
          <c:spPr>
            <a:ln>
              <a:prstDash val="dash"/>
            </a:ln>
          </c:spPr>
        </c:majorGridlines>
        <c:title>
          <c:tx>
            <c:rich>
              <a:bodyPr rot="-5400000" vert="horz"/>
              <a:lstStyle/>
              <a:p>
                <a:pPr>
                  <a:defRPr/>
                </a:pPr>
                <a:r>
                  <a:rPr lang="en-US"/>
                  <a:t>$mm constant</a:t>
                </a:r>
              </a:p>
            </c:rich>
          </c:tx>
          <c:overlay val="0"/>
        </c:title>
        <c:numFmt formatCode="#\ ##0;\-#\ ##0;\-" sourceLinked="1"/>
        <c:majorTickMark val="out"/>
        <c:minorTickMark val="none"/>
        <c:tickLblPos val="nextTo"/>
        <c:crossAx val="615295312"/>
        <c:crosses val="autoZero"/>
        <c:crossBetween val="between"/>
      </c:valAx>
    </c:plotArea>
    <c:legend>
      <c:legendPos val="b"/>
      <c:overlay val="0"/>
    </c:legend>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'Mining model'!$D$412</c:f>
          <c:strCache>
            <c:ptCount val="1"/>
            <c:pt idx="0">
              <c:v>Average Effective Tax Rate (AETR) NPV12.5</c:v>
            </c:pt>
          </c:strCache>
        </c:strRef>
      </c:tx>
      <c:overlay val="0"/>
      <c:txPr>
        <a:bodyPr/>
        <a:lstStyle/>
        <a:p>
          <a:pPr>
            <a:defRPr sz="1400"/>
          </a:pPr>
          <a:endParaRPr lang="fr-FR"/>
        </a:p>
      </c:txPr>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'Mining model'!$G$408:$J$408</c:f>
              <c:strCache>
                <c:ptCount val="4"/>
                <c:pt idx="0">
                  <c:v>SGO SENEGAL</c:v>
                </c:pt>
                <c:pt idx="1">
                  <c:v>Royalty + CIT + SCF</c:v>
                </c:pt>
                <c:pt idx="2">
                  <c:v>Royalty + CIT + RRT</c:v>
                </c:pt>
                <c:pt idx="3">
                  <c:v>Alt1</c:v>
                </c:pt>
              </c:strCache>
            </c:strRef>
          </c:cat>
          <c:val>
            <c:numRef>
              <c:f>'Mining model'!$G$412:$J$412</c:f>
              <c:numCache>
                <c:formatCode>0.0%</c:formatCode>
                <c:ptCount val="4"/>
                <c:pt idx="0">
                  <c:v>0.50206847216033279</c:v>
                </c:pt>
                <c:pt idx="1">
                  <c:v>0.60894159161854156</c:v>
                </c:pt>
                <c:pt idx="2">
                  <c:v>0.60455984659121764</c:v>
                </c:pt>
                <c:pt idx="3">
                  <c:v>0.10472842239156228</c:v>
                </c:pt>
              </c:numCache>
            </c:numRef>
          </c:val>
          <c:extLst>
            <c:ext xmlns:c16="http://schemas.microsoft.com/office/drawing/2014/chart" uri="{C3380CC4-5D6E-409C-BE32-E72D297353CC}">
              <c16:uniqueId val="{00000000-D794-48C9-92F1-C29991792B3D}"/>
            </c:ext>
          </c:extLst>
        </c:ser>
        <c:dLbls>
          <c:showLegendKey val="0"/>
          <c:showVal val="0"/>
          <c:showCatName val="0"/>
          <c:showSerName val="0"/>
          <c:showPercent val="0"/>
          <c:showBubbleSize val="0"/>
        </c:dLbls>
        <c:gapWidth val="150"/>
        <c:axId val="615296488"/>
        <c:axId val="615296880"/>
      </c:barChart>
      <c:catAx>
        <c:axId val="615296488"/>
        <c:scaling>
          <c:orientation val="minMax"/>
        </c:scaling>
        <c:delete val="0"/>
        <c:axPos val="b"/>
        <c:numFmt formatCode="General" sourceLinked="1"/>
        <c:majorTickMark val="out"/>
        <c:minorTickMark val="none"/>
        <c:tickLblPos val="nextTo"/>
        <c:crossAx val="615296880"/>
        <c:crosses val="autoZero"/>
        <c:auto val="1"/>
        <c:lblAlgn val="ctr"/>
        <c:lblOffset val="100"/>
        <c:noMultiLvlLbl val="0"/>
      </c:catAx>
      <c:valAx>
        <c:axId val="615296880"/>
        <c:scaling>
          <c:orientation val="minMax"/>
        </c:scaling>
        <c:delete val="0"/>
        <c:axPos val="l"/>
        <c:majorGridlines>
          <c:spPr>
            <a:ln>
              <a:prstDash val="dash"/>
            </a:ln>
          </c:spPr>
        </c:majorGridlines>
        <c:numFmt formatCode="0%" sourceLinked="0"/>
        <c:majorTickMark val="out"/>
        <c:minorTickMark val="none"/>
        <c:tickLblPos val="nextTo"/>
        <c:crossAx val="615296488"/>
        <c:crosses val="autoZero"/>
        <c:crossBetween val="between"/>
      </c:valAx>
    </c:plotArea>
    <c:plotVisOnly val="1"/>
    <c:dispBlanksAs val="gap"/>
    <c:showDLblsOverMax val="0"/>
  </c:chart>
  <c:printSettings>
    <c:headerFooter/>
    <c:pageMargins b="0.75000000000000722" l="0.70000000000000062" r="0.70000000000000062" t="0.75000000000000722"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baseline="0"/>
              <a:t>Government Share of Total Benefits (Progessivity)</a:t>
            </a:r>
            <a:endParaRPr lang="en-US" sz="1400"/>
          </a:p>
        </c:rich>
      </c:tx>
      <c:overlay val="0"/>
    </c:title>
    <c:autoTitleDeleted val="0"/>
    <c:plotArea>
      <c:layout>
        <c:manualLayout>
          <c:layoutTarget val="inner"/>
          <c:xMode val="edge"/>
          <c:yMode val="edge"/>
          <c:x val="9.0013681237625459E-2"/>
          <c:y val="0.21037164237449044"/>
          <c:w val="0.88849206666695357"/>
          <c:h val="0.56748562014854564"/>
        </c:manualLayout>
      </c:layout>
      <c:lineChart>
        <c:grouping val="standard"/>
        <c:varyColors val="0"/>
        <c:ser>
          <c:idx val="2"/>
          <c:order val="2"/>
          <c:tx>
            <c:strRef>
              <c:f>'Mining model'!$D$457</c:f>
              <c:strCache>
                <c:ptCount val="1"/>
                <c:pt idx="0">
                  <c:v>Royalty + CIT + RRT</c:v>
                </c:pt>
              </c:strCache>
            </c:strRef>
          </c:tx>
          <c:marker>
            <c:symbol val="none"/>
          </c:marker>
          <c:cat>
            <c:numRef>
              <c:f>'Mining model'!$G$454:$L$454</c:f>
              <c:numCache>
                <c:formatCode>#\ ##0_);[Red]\(#\ ##0\);\-</c:formatCode>
                <c:ptCount val="6"/>
                <c:pt idx="0">
                  <c:v>1000</c:v>
                </c:pt>
                <c:pt idx="1">
                  <c:v>1100</c:v>
                </c:pt>
                <c:pt idx="2">
                  <c:v>1200</c:v>
                </c:pt>
                <c:pt idx="3">
                  <c:v>1300</c:v>
                </c:pt>
                <c:pt idx="4">
                  <c:v>1400</c:v>
                </c:pt>
                <c:pt idx="5">
                  <c:v>1500</c:v>
                </c:pt>
              </c:numCache>
            </c:numRef>
          </c:cat>
          <c:val>
            <c:numRef>
              <c:f>'Mining model'!$G$457:$L$457</c:f>
              <c:numCache>
                <c:formatCode>0.0%</c:formatCode>
                <c:ptCount val="6"/>
                <c:pt idx="0">
                  <c:v>0.32523401535413615</c:v>
                </c:pt>
                <c:pt idx="1">
                  <c:v>0.37539240135375873</c:v>
                </c:pt>
                <c:pt idx="2">
                  <c:v>0.41654961566193938</c:v>
                </c:pt>
                <c:pt idx="3">
                  <c:v>0.44402913729113247</c:v>
                </c:pt>
                <c:pt idx="4">
                  <c:v>0.46337773394705228</c:v>
                </c:pt>
                <c:pt idx="5">
                  <c:v>0.47771426093740615</c:v>
                </c:pt>
              </c:numCache>
            </c:numRef>
          </c:val>
          <c:smooth val="0"/>
          <c:extLst>
            <c:ext xmlns:c16="http://schemas.microsoft.com/office/drawing/2014/chart" uri="{C3380CC4-5D6E-409C-BE32-E72D297353CC}">
              <c16:uniqueId val="{00000000-3CB5-4FCD-BDC9-9CD875A664AC}"/>
            </c:ext>
          </c:extLst>
        </c:ser>
        <c:dLbls>
          <c:showLegendKey val="0"/>
          <c:showVal val="0"/>
          <c:showCatName val="0"/>
          <c:showSerName val="0"/>
          <c:showPercent val="0"/>
          <c:showBubbleSize val="0"/>
        </c:dLbls>
        <c:marker val="1"/>
        <c:smooth val="0"/>
        <c:axId val="615297664"/>
        <c:axId val="615298056"/>
      </c:lineChart>
      <c:lineChart>
        <c:grouping val="standard"/>
        <c:varyColors val="0"/>
        <c:ser>
          <c:idx val="0"/>
          <c:order val="0"/>
          <c:tx>
            <c:strRef>
              <c:f>'Mining model'!$D$455</c:f>
              <c:strCache>
                <c:ptCount val="1"/>
                <c:pt idx="0">
                  <c:v>SGO SENEGAL</c:v>
                </c:pt>
              </c:strCache>
            </c:strRef>
          </c:tx>
          <c:marker>
            <c:symbol val="none"/>
          </c:marker>
          <c:cat>
            <c:numRef>
              <c:f>'Mining model'!$G$461:$L$461</c:f>
              <c:numCache>
                <c:formatCode>0.0%</c:formatCode>
                <c:ptCount val="6"/>
                <c:pt idx="0">
                  <c:v>0.14010914869865032</c:v>
                </c:pt>
                <c:pt idx="1">
                  <c:v>0.24138228170912179</c:v>
                </c:pt>
                <c:pt idx="2">
                  <c:v>0.32457522422599028</c:v>
                </c:pt>
                <c:pt idx="3">
                  <c:v>0.39761769883920173</c:v>
                </c:pt>
                <c:pt idx="4">
                  <c:v>0.4638991767206786</c:v>
                </c:pt>
                <c:pt idx="5">
                  <c:v>0.52522558937875918</c:v>
                </c:pt>
              </c:numCache>
            </c:numRef>
          </c:cat>
          <c:val>
            <c:numRef>
              <c:f>'Mining model'!$G$455:$L$455</c:f>
              <c:numCache>
                <c:formatCode>0.0%</c:formatCode>
                <c:ptCount val="6"/>
                <c:pt idx="0">
                  <c:v>0.32797960307966739</c:v>
                </c:pt>
                <c:pt idx="1">
                  <c:v>0.34918143909180854</c:v>
                </c:pt>
                <c:pt idx="2">
                  <c:v>0.37011020952577089</c:v>
                </c:pt>
                <c:pt idx="3">
                  <c:v>0.38531691646641097</c:v>
                </c:pt>
                <c:pt idx="4">
                  <c:v>0.39654206354341998</c:v>
                </c:pt>
                <c:pt idx="5">
                  <c:v>0.40501076987112861</c:v>
                </c:pt>
              </c:numCache>
            </c:numRef>
          </c:val>
          <c:smooth val="0"/>
          <c:extLst>
            <c:ext xmlns:c16="http://schemas.microsoft.com/office/drawing/2014/chart" uri="{C3380CC4-5D6E-409C-BE32-E72D297353CC}">
              <c16:uniqueId val="{00000001-3CB5-4FCD-BDC9-9CD875A664AC}"/>
            </c:ext>
          </c:extLst>
        </c:ser>
        <c:ser>
          <c:idx val="1"/>
          <c:order val="1"/>
          <c:tx>
            <c:strRef>
              <c:f>'Mining model'!$D$456</c:f>
              <c:strCache>
                <c:ptCount val="1"/>
                <c:pt idx="0">
                  <c:v>Royalty + CIT + SCF</c:v>
                </c:pt>
              </c:strCache>
            </c:strRef>
          </c:tx>
          <c:marker>
            <c:symbol val="none"/>
          </c:marker>
          <c:cat>
            <c:numRef>
              <c:f>'Mining model'!$G$461:$L$461</c:f>
              <c:numCache>
                <c:formatCode>0.0%</c:formatCode>
                <c:ptCount val="6"/>
                <c:pt idx="0">
                  <c:v>0.14010914869865032</c:v>
                </c:pt>
                <c:pt idx="1">
                  <c:v>0.24138228170912179</c:v>
                </c:pt>
                <c:pt idx="2">
                  <c:v>0.32457522422599028</c:v>
                </c:pt>
                <c:pt idx="3">
                  <c:v>0.39761769883920173</c:v>
                </c:pt>
                <c:pt idx="4">
                  <c:v>0.4638991767206786</c:v>
                </c:pt>
                <c:pt idx="5">
                  <c:v>0.52522558937875918</c:v>
                </c:pt>
              </c:numCache>
            </c:numRef>
          </c:cat>
          <c:val>
            <c:numRef>
              <c:f>'Mining model'!$G$456:$L$456</c:f>
              <c:numCache>
                <c:formatCode>0.0%</c:formatCode>
                <c:ptCount val="6"/>
                <c:pt idx="0">
                  <c:v>0.34948590346888658</c:v>
                </c:pt>
                <c:pt idx="1">
                  <c:v>0.39553934224940795</c:v>
                </c:pt>
                <c:pt idx="2">
                  <c:v>0.43041513100828355</c:v>
                </c:pt>
                <c:pt idx="3">
                  <c:v>0.45424571220648607</c:v>
                </c:pt>
                <c:pt idx="4">
                  <c:v>0.47173820525336385</c:v>
                </c:pt>
                <c:pt idx="5">
                  <c:v>0.4846102601758096</c:v>
                </c:pt>
              </c:numCache>
            </c:numRef>
          </c:val>
          <c:smooth val="0"/>
          <c:extLst>
            <c:ext xmlns:c16="http://schemas.microsoft.com/office/drawing/2014/chart" uri="{C3380CC4-5D6E-409C-BE32-E72D297353CC}">
              <c16:uniqueId val="{00000002-3CB5-4FCD-BDC9-9CD875A664AC}"/>
            </c:ext>
          </c:extLst>
        </c:ser>
        <c:ser>
          <c:idx val="3"/>
          <c:order val="3"/>
          <c:tx>
            <c:strRef>
              <c:f>'Mining model'!$D$458</c:f>
              <c:strCache>
                <c:ptCount val="1"/>
                <c:pt idx="0">
                  <c:v>Alt1</c:v>
                </c:pt>
              </c:strCache>
            </c:strRef>
          </c:tx>
          <c:marker>
            <c:symbol val="none"/>
          </c:marker>
          <c:cat>
            <c:numRef>
              <c:f>'Mining model'!$G$461:$L$461</c:f>
              <c:numCache>
                <c:formatCode>0.0%</c:formatCode>
                <c:ptCount val="6"/>
                <c:pt idx="0">
                  <c:v>0.14010914869865032</c:v>
                </c:pt>
                <c:pt idx="1">
                  <c:v>0.24138228170912179</c:v>
                </c:pt>
                <c:pt idx="2">
                  <c:v>0.32457522422599028</c:v>
                </c:pt>
                <c:pt idx="3">
                  <c:v>0.39761769883920173</c:v>
                </c:pt>
                <c:pt idx="4">
                  <c:v>0.4638991767206786</c:v>
                </c:pt>
                <c:pt idx="5">
                  <c:v>0.52522558937875918</c:v>
                </c:pt>
              </c:numCache>
            </c:numRef>
          </c:cat>
          <c:val>
            <c:numRef>
              <c:f>'Mining model'!$G$458:$L$458</c:f>
              <c:numCache>
                <c:formatCode>0.0%</c:formatCode>
                <c:ptCount val="6"/>
                <c:pt idx="0">
                  <c:v>4.0360374295103543E-2</c:v>
                </c:pt>
                <c:pt idx="1">
                  <c:v>5.7938324692714517E-2</c:v>
                </c:pt>
                <c:pt idx="2">
                  <c:v>6.7913209500193819E-2</c:v>
                </c:pt>
                <c:pt idx="3">
                  <c:v>7.405262903937361E-2</c:v>
                </c:pt>
                <c:pt idx="4">
                  <c:v>7.8201445513018261E-2</c:v>
                </c:pt>
                <c:pt idx="5">
                  <c:v>8.1365145808862088E-2</c:v>
                </c:pt>
              </c:numCache>
            </c:numRef>
          </c:val>
          <c:smooth val="0"/>
          <c:extLst>
            <c:ext xmlns:c16="http://schemas.microsoft.com/office/drawing/2014/chart" uri="{C3380CC4-5D6E-409C-BE32-E72D297353CC}">
              <c16:uniqueId val="{00000003-3CB5-4FCD-BDC9-9CD875A664AC}"/>
            </c:ext>
          </c:extLst>
        </c:ser>
        <c:dLbls>
          <c:showLegendKey val="0"/>
          <c:showVal val="0"/>
          <c:showCatName val="0"/>
          <c:showSerName val="0"/>
          <c:showPercent val="0"/>
          <c:showBubbleSize val="0"/>
        </c:dLbls>
        <c:marker val="1"/>
        <c:smooth val="0"/>
        <c:axId val="615298840"/>
        <c:axId val="615298448"/>
      </c:lineChart>
      <c:catAx>
        <c:axId val="615297664"/>
        <c:scaling>
          <c:orientation val="minMax"/>
        </c:scaling>
        <c:delete val="0"/>
        <c:axPos val="b"/>
        <c:title>
          <c:tx>
            <c:rich>
              <a:bodyPr/>
              <a:lstStyle/>
              <a:p>
                <a:pPr>
                  <a:defRPr/>
                </a:pPr>
                <a:r>
                  <a:rPr lang="en-US"/>
                  <a:t>Gold price $/ounce in real terms</a:t>
                </a:r>
              </a:p>
            </c:rich>
          </c:tx>
          <c:overlay val="0"/>
        </c:title>
        <c:numFmt formatCode="#\ ##0_);[Red]\(#\ ##0\);\-" sourceLinked="1"/>
        <c:majorTickMark val="out"/>
        <c:minorTickMark val="none"/>
        <c:tickLblPos val="nextTo"/>
        <c:crossAx val="615298056"/>
        <c:crosses val="autoZero"/>
        <c:auto val="1"/>
        <c:lblAlgn val="ctr"/>
        <c:lblOffset val="100"/>
        <c:noMultiLvlLbl val="0"/>
      </c:catAx>
      <c:valAx>
        <c:axId val="615298056"/>
        <c:scaling>
          <c:orientation val="minMax"/>
          <c:min val="0.2"/>
        </c:scaling>
        <c:delete val="0"/>
        <c:axPos val="l"/>
        <c:majorGridlines>
          <c:spPr>
            <a:ln>
              <a:solidFill>
                <a:schemeClr val="bg1">
                  <a:lumMod val="85000"/>
                </a:schemeClr>
              </a:solidFill>
              <a:prstDash val="dash"/>
            </a:ln>
          </c:spPr>
        </c:majorGridlines>
        <c:numFmt formatCode="0%" sourceLinked="0"/>
        <c:majorTickMark val="out"/>
        <c:minorTickMark val="none"/>
        <c:tickLblPos val="nextTo"/>
        <c:crossAx val="615297664"/>
        <c:crosses val="autoZero"/>
        <c:crossBetween val="between"/>
        <c:majorUnit val="0.1"/>
      </c:valAx>
      <c:valAx>
        <c:axId val="615298448"/>
        <c:scaling>
          <c:orientation val="minMax"/>
          <c:min val="0.2"/>
        </c:scaling>
        <c:delete val="0"/>
        <c:axPos val="r"/>
        <c:numFmt formatCode="0%" sourceLinked="0"/>
        <c:majorTickMark val="out"/>
        <c:minorTickMark val="none"/>
        <c:tickLblPos val="nextTo"/>
        <c:crossAx val="615298840"/>
        <c:crosses val="max"/>
        <c:crossBetween val="between"/>
        <c:majorUnit val="0.1"/>
      </c:valAx>
      <c:catAx>
        <c:axId val="615298840"/>
        <c:scaling>
          <c:orientation val="minMax"/>
        </c:scaling>
        <c:delete val="0"/>
        <c:axPos val="t"/>
        <c:title>
          <c:tx>
            <c:rich>
              <a:bodyPr/>
              <a:lstStyle/>
              <a:p>
                <a:pPr>
                  <a:defRPr/>
                </a:pPr>
                <a:r>
                  <a:rPr lang="en-US"/>
                  <a:t>Real pre-tax IRR</a:t>
                </a:r>
              </a:p>
            </c:rich>
          </c:tx>
          <c:overlay val="0"/>
        </c:title>
        <c:numFmt formatCode="0.0%" sourceLinked="1"/>
        <c:majorTickMark val="out"/>
        <c:minorTickMark val="none"/>
        <c:tickLblPos val="nextTo"/>
        <c:crossAx val="615298448"/>
        <c:crosses val="max"/>
        <c:auto val="1"/>
        <c:lblAlgn val="ctr"/>
        <c:lblOffset val="100"/>
        <c:noMultiLvlLbl val="0"/>
      </c:catAx>
    </c:plotArea>
    <c:legend>
      <c:legendPos val="b"/>
      <c:layout>
        <c:manualLayout>
          <c:xMode val="edge"/>
          <c:yMode val="edge"/>
          <c:x val="4.8979246905732354E-2"/>
          <c:y val="0.91753535716929335"/>
          <c:w val="0.85632292562539725"/>
          <c:h val="6.0929183782462926E-2"/>
        </c:manualLayout>
      </c:layout>
      <c:overlay val="0"/>
    </c:legend>
    <c:plotVisOnly val="1"/>
    <c:dispBlanksAs val="gap"/>
    <c:showDLblsOverMax val="0"/>
  </c:chart>
  <c:printSettings>
    <c:headerFooter/>
    <c:pageMargins b="0.75000000000000322" l="0.70000000000000062" r="0.70000000000000062" t="0.750000000000003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223699</xdr:colOff>
      <xdr:row>0</xdr:row>
      <xdr:rowOff>76199</xdr:rowOff>
    </xdr:from>
    <xdr:to>
      <xdr:col>2</xdr:col>
      <xdr:colOff>104775</xdr:colOff>
      <xdr:row>4</xdr:row>
      <xdr:rowOff>176447</xdr:rowOff>
    </xdr:to>
    <xdr:pic>
      <xdr:nvPicPr>
        <xdr:cNvPr id="2" name="Picture 1" descr="IMF Logo.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lum bright="-100000" contrast="-39000"/>
        </a:blip>
        <a:stretch>
          <a:fillRect/>
        </a:stretch>
      </xdr:blipFill>
      <xdr:spPr>
        <a:xfrm>
          <a:off x="223699" y="76199"/>
          <a:ext cx="1100276" cy="928923"/>
        </a:xfrm>
        <a:prstGeom prst="rect">
          <a:avLst/>
        </a:prstGeom>
        <a:effectLst>
          <a:outerShdw blurRad="1193800" dist="50800" dir="5400000" sx="197000" sy="197000" algn="ctr" rotWithShape="0">
            <a:schemeClr val="bg1">
              <a:lumMod val="85000"/>
              <a:alpha val="61000"/>
            </a:schemeClr>
          </a:outerShdw>
        </a:effectLst>
      </xdr:spPr>
    </xdr:pic>
    <xdr:clientData/>
  </xdr:twoCellAnchor>
  <mc:AlternateContent xmlns:mc="http://schemas.openxmlformats.org/markup-compatibility/2006">
    <mc:Choice xmlns:a14="http://schemas.microsoft.com/office/drawing/2010/main" Requires="a14">
      <xdr:twoCellAnchor>
        <xdr:from>
          <xdr:col>2</xdr:col>
          <xdr:colOff>400050</xdr:colOff>
          <xdr:row>29</xdr:row>
          <xdr:rowOff>88900</xdr:rowOff>
        </xdr:from>
        <xdr:to>
          <xdr:col>4</xdr:col>
          <xdr:colOff>469900</xdr:colOff>
          <xdr:row>31</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SN" sz="1000" b="1" i="0" u="sng" strike="noStrike" baseline="0">
                  <a:solidFill>
                    <a:srgbClr val="008000"/>
                  </a:solidFill>
                  <a:latin typeface="Arial"/>
                  <a:cs typeface="Arial"/>
                </a:rPr>
                <a:t>Accept Terms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527050</xdr:colOff>
          <xdr:row>29</xdr:row>
          <xdr:rowOff>88900</xdr:rowOff>
        </xdr:from>
        <xdr:to>
          <xdr:col>7</xdr:col>
          <xdr:colOff>590550</xdr:colOff>
          <xdr:row>31</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SN" sz="1000" b="1" i="0" u="sng" strike="noStrike" baseline="0">
                  <a:solidFill>
                    <a:srgbClr val="FF0000"/>
                  </a:solidFill>
                  <a:latin typeface="Arial"/>
                  <a:cs typeface="Arial"/>
                </a:rPr>
                <a:t>Don't Accept Terms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0</xdr:row>
          <xdr:rowOff>0</xdr:rowOff>
        </xdr:from>
        <xdr:to>
          <xdr:col>10</xdr:col>
          <xdr:colOff>628650</xdr:colOff>
          <xdr:row>22</xdr:row>
          <xdr:rowOff>152400</xdr:rowOff>
        </xdr:to>
        <xdr:sp macro="" textlink="">
          <xdr:nvSpPr>
            <xdr:cNvPr id="1027" name="Object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276786</xdr:colOff>
      <xdr:row>1</xdr:row>
      <xdr:rowOff>22413</xdr:rowOff>
    </xdr:from>
    <xdr:to>
      <xdr:col>8</xdr:col>
      <xdr:colOff>459442</xdr:colOff>
      <xdr:row>5</xdr:row>
      <xdr:rowOff>90975</xdr:rowOff>
    </xdr:to>
    <xdr:pic>
      <xdr:nvPicPr>
        <xdr:cNvPr id="2" name="Picture 2">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621992" y="212913"/>
          <a:ext cx="787773" cy="819356"/>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16</xdr:row>
          <xdr:rowOff>69850</xdr:rowOff>
        </xdr:from>
        <xdr:to>
          <xdr:col>10</xdr:col>
          <xdr:colOff>95250</xdr:colOff>
          <xdr:row>64</xdr:row>
          <xdr:rowOff>133350</xdr:rowOff>
        </xdr:to>
        <xdr:sp macro="" textlink="">
          <xdr:nvSpPr>
            <xdr:cNvPr id="4126" name="Object 30" hidden="1">
              <a:extLst>
                <a:ext uri="{63B3BB69-23CF-44E3-9099-C40C66FF867C}">
                  <a14:compatExt spid="_x0000_s4126"/>
                </a:ext>
                <a:ext uri="{FF2B5EF4-FFF2-40B4-BE49-F238E27FC236}">
                  <a16:creationId xmlns:a16="http://schemas.microsoft.com/office/drawing/2014/main" id="{00000000-0008-0000-0100-00001E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17</xdr:row>
          <xdr:rowOff>38100</xdr:rowOff>
        </xdr:from>
        <xdr:to>
          <xdr:col>23</xdr:col>
          <xdr:colOff>533400</xdr:colOff>
          <xdr:row>65</xdr:row>
          <xdr:rowOff>127000</xdr:rowOff>
        </xdr:to>
        <xdr:sp macro="" textlink="">
          <xdr:nvSpPr>
            <xdr:cNvPr id="4127" name="Object 31" hidden="1">
              <a:extLst>
                <a:ext uri="{63B3BB69-23CF-44E3-9099-C40C66FF867C}">
                  <a14:compatExt spid="_x0000_s4127"/>
                </a:ext>
                <a:ext uri="{FF2B5EF4-FFF2-40B4-BE49-F238E27FC236}">
                  <a16:creationId xmlns:a16="http://schemas.microsoft.com/office/drawing/2014/main" id="{00000000-0008-0000-0100-00001F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11204</xdr:colOff>
      <xdr:row>492</xdr:row>
      <xdr:rowOff>56030</xdr:rowOff>
    </xdr:from>
    <xdr:to>
      <xdr:col>14</xdr:col>
      <xdr:colOff>383240</xdr:colOff>
      <xdr:row>509</xdr:row>
      <xdr:rowOff>17930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11207</xdr:colOff>
      <xdr:row>613</xdr:row>
      <xdr:rowOff>168091</xdr:rowOff>
    </xdr:from>
    <xdr:to>
      <xdr:col>14</xdr:col>
      <xdr:colOff>383242</xdr:colOff>
      <xdr:row>630</xdr:row>
      <xdr:rowOff>129991</xdr:rowOff>
    </xdr:to>
    <xdr:graphicFrame macro="">
      <xdr:nvGraphicFramePr>
        <xdr:cNvPr id="13" name="Chart 12">
          <a:extLst>
            <a:ext uri="{FF2B5EF4-FFF2-40B4-BE49-F238E27FC236}">
              <a16:creationId xmlns:a16="http://schemas.microsoft.com/office/drawing/2014/main" id="{00000000-0008-0000-0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456</xdr:row>
      <xdr:rowOff>67235</xdr:rowOff>
    </xdr:from>
    <xdr:to>
      <xdr:col>14</xdr:col>
      <xdr:colOff>372036</xdr:colOff>
      <xdr:row>473</xdr:row>
      <xdr:rowOff>29135</xdr:rowOff>
    </xdr:to>
    <xdr:graphicFrame macro="">
      <xdr:nvGraphicFramePr>
        <xdr:cNvPr id="15" name="Chart 14">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22411</xdr:colOff>
      <xdr:row>523</xdr:row>
      <xdr:rowOff>67236</xdr:rowOff>
    </xdr:from>
    <xdr:to>
      <xdr:col>14</xdr:col>
      <xdr:colOff>394447</xdr:colOff>
      <xdr:row>540</xdr:row>
      <xdr:rowOff>29136</xdr:rowOff>
    </xdr:to>
    <xdr:graphicFrame macro="">
      <xdr:nvGraphicFramePr>
        <xdr:cNvPr id="16" name="Chart 15">
          <a:extLst>
            <a:ext uri="{FF2B5EF4-FFF2-40B4-BE49-F238E27FC236}">
              <a16:creationId xmlns:a16="http://schemas.microsoft.com/office/drawing/2014/main" id="{00000000-0008-0000-02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40821</xdr:colOff>
      <xdr:row>573</xdr:row>
      <xdr:rowOff>68035</xdr:rowOff>
    </xdr:from>
    <xdr:to>
      <xdr:col>14</xdr:col>
      <xdr:colOff>412857</xdr:colOff>
      <xdr:row>593</xdr:row>
      <xdr:rowOff>68035</xdr:rowOff>
    </xdr:to>
    <xdr:graphicFrame macro="">
      <xdr:nvGraphicFramePr>
        <xdr:cNvPr id="22" name="Chart 21">
          <a:extLst>
            <a:ext uri="{FF2B5EF4-FFF2-40B4-BE49-F238E27FC236}">
              <a16:creationId xmlns:a16="http://schemas.microsoft.com/office/drawing/2014/main" id="{00000000-0008-0000-02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286870</xdr:colOff>
      <xdr:row>456</xdr:row>
      <xdr:rowOff>17930</xdr:rowOff>
    </xdr:from>
    <xdr:to>
      <xdr:col>18</xdr:col>
      <xdr:colOff>365030</xdr:colOff>
      <xdr:row>458</xdr:row>
      <xdr:rowOff>84605</xdr:rowOff>
    </xdr:to>
    <xdr:sp macro="" textlink="">
      <xdr:nvSpPr>
        <xdr:cNvPr id="43" name="Right Brace 42">
          <a:extLst>
            <a:ext uri="{FF2B5EF4-FFF2-40B4-BE49-F238E27FC236}">
              <a16:creationId xmlns:a16="http://schemas.microsoft.com/office/drawing/2014/main" id="{00000000-0008-0000-0200-00002B000000}"/>
            </a:ext>
          </a:extLst>
        </xdr:cNvPr>
        <xdr:cNvSpPr/>
      </xdr:nvSpPr>
      <xdr:spPr>
        <a:xfrm rot="5400000">
          <a:off x="15000333" y="78526202"/>
          <a:ext cx="447675" cy="2084013"/>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15</xdr:col>
      <xdr:colOff>141194</xdr:colOff>
      <xdr:row>458</xdr:row>
      <xdr:rowOff>34657</xdr:rowOff>
    </xdr:from>
    <xdr:to>
      <xdr:col>19</xdr:col>
      <xdr:colOff>264459</xdr:colOff>
      <xdr:row>462</xdr:row>
      <xdr:rowOff>129988</xdr:rowOff>
    </xdr:to>
    <xdr:sp macro="" textlink="">
      <xdr:nvSpPr>
        <xdr:cNvPr id="44" name="TextBox 43">
          <a:extLst>
            <a:ext uri="{FF2B5EF4-FFF2-40B4-BE49-F238E27FC236}">
              <a16:creationId xmlns:a16="http://schemas.microsoft.com/office/drawing/2014/main" id="{00000000-0008-0000-0200-00002C000000}"/>
            </a:ext>
          </a:extLst>
        </xdr:cNvPr>
        <xdr:cNvSpPr txBox="1"/>
      </xdr:nvSpPr>
      <xdr:spPr>
        <a:xfrm>
          <a:off x="14036488" y="79742098"/>
          <a:ext cx="2779059" cy="857331"/>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1">
              <a:solidFill>
                <a:schemeClr val="dk1"/>
              </a:solidFill>
              <a:latin typeface="Arial" pitchFamily="34" charset="0"/>
              <a:ea typeface="+mn-ea"/>
              <a:cs typeface="Arial" pitchFamily="34" charset="0"/>
            </a:rPr>
            <a:t>This table and the graph</a:t>
          </a:r>
          <a:r>
            <a:rPr lang="en-US" sz="1000" b="1" baseline="0">
              <a:solidFill>
                <a:schemeClr val="dk1"/>
              </a:solidFill>
              <a:latin typeface="Arial" pitchFamily="34" charset="0"/>
              <a:ea typeface="+mn-ea"/>
              <a:cs typeface="Arial" pitchFamily="34" charset="0"/>
            </a:rPr>
            <a:t> to the left </a:t>
          </a:r>
          <a:r>
            <a:rPr lang="en-US" sz="1000" b="1">
              <a:solidFill>
                <a:schemeClr val="dk1"/>
              </a:solidFill>
              <a:latin typeface="Arial" pitchFamily="34" charset="0"/>
              <a:ea typeface="+mn-ea"/>
              <a:cs typeface="Arial" pitchFamily="34" charset="0"/>
            </a:rPr>
            <a:t>display</a:t>
          </a:r>
          <a:r>
            <a:rPr lang="en-US" sz="1000" b="1" baseline="0">
              <a:solidFill>
                <a:schemeClr val="dk1"/>
              </a:solidFill>
              <a:latin typeface="Arial" pitchFamily="34" charset="0"/>
              <a:ea typeface="+mn-ea"/>
              <a:cs typeface="Arial" pitchFamily="34" charset="0"/>
            </a:rPr>
            <a:t> the annual government revenue for each fiscal mechanism and the project pre-tax cash flow for the regime selected in cell F7.</a:t>
          </a:r>
          <a:br>
            <a:rPr lang="en-US" sz="1100" b="1"/>
          </a:br>
          <a:endParaRPr lang="en-US" sz="1100" b="1"/>
        </a:p>
      </xdr:txBody>
    </xdr:sp>
    <xdr:clientData/>
  </xdr:twoCellAnchor>
  <xdr:twoCellAnchor>
    <xdr:from>
      <xdr:col>15</xdr:col>
      <xdr:colOff>481852</xdr:colOff>
      <xdr:row>492</xdr:row>
      <xdr:rowOff>22690</xdr:rowOff>
    </xdr:from>
    <xdr:to>
      <xdr:col>18</xdr:col>
      <xdr:colOff>560012</xdr:colOff>
      <xdr:row>494</xdr:row>
      <xdr:rowOff>89365</xdr:rowOff>
    </xdr:to>
    <xdr:sp macro="" textlink="">
      <xdr:nvSpPr>
        <xdr:cNvPr id="45" name="Right Brace 44">
          <a:extLst>
            <a:ext uri="{FF2B5EF4-FFF2-40B4-BE49-F238E27FC236}">
              <a16:creationId xmlns:a16="http://schemas.microsoft.com/office/drawing/2014/main" id="{00000000-0008-0000-0200-00002D000000}"/>
            </a:ext>
          </a:extLst>
        </xdr:cNvPr>
        <xdr:cNvSpPr/>
      </xdr:nvSpPr>
      <xdr:spPr>
        <a:xfrm rot="5400000">
          <a:off x="15195315" y="85523433"/>
          <a:ext cx="447675" cy="2084013"/>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15</xdr:col>
      <xdr:colOff>302558</xdr:colOff>
      <xdr:row>494</xdr:row>
      <xdr:rowOff>95447</xdr:rowOff>
    </xdr:from>
    <xdr:to>
      <xdr:col>19</xdr:col>
      <xdr:colOff>425823</xdr:colOff>
      <xdr:row>500</xdr:row>
      <xdr:rowOff>112057</xdr:rowOff>
    </xdr:to>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14197852" y="86795359"/>
          <a:ext cx="2779059" cy="1159610"/>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eaLnBrk="1" fontAlgn="auto" latinLnBrk="0" hangingPunct="1"/>
          <a:r>
            <a:rPr lang="en-US" sz="1000" b="1">
              <a:solidFill>
                <a:schemeClr val="dk1"/>
              </a:solidFill>
              <a:latin typeface="Arial" pitchFamily="34" charset="0"/>
              <a:ea typeface="+mn-ea"/>
              <a:cs typeface="Arial" pitchFamily="34" charset="0"/>
            </a:rPr>
            <a:t>Data table. Press </a:t>
          </a:r>
          <a:r>
            <a:rPr lang="en-US" sz="1100" b="1">
              <a:solidFill>
                <a:schemeClr val="dk1"/>
              </a:solidFill>
              <a:latin typeface="+mn-lt"/>
              <a:ea typeface="+mn-ea"/>
              <a:cs typeface="+mn-cs"/>
            </a:rPr>
            <a:t>the key "F9" </a:t>
          </a:r>
          <a:r>
            <a:rPr lang="en-US" sz="1000" b="1">
              <a:solidFill>
                <a:schemeClr val="dk1"/>
              </a:solidFill>
              <a:latin typeface="Arial" pitchFamily="34" charset="0"/>
              <a:ea typeface="+mn-ea"/>
              <a:cs typeface="Arial" pitchFamily="34" charset="0"/>
            </a:rPr>
            <a:t> 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endParaRPr lang="en-US" sz="1000">
            <a:solidFill>
              <a:schemeClr val="dk1"/>
            </a:solidFill>
            <a:latin typeface="Arial" pitchFamily="34" charset="0"/>
            <a:ea typeface="+mn-ea"/>
            <a:cs typeface="Arial" pitchFamily="34" charset="0"/>
          </a:endParaRPr>
        </a:p>
        <a:p>
          <a:endParaRPr lang="en-US" sz="1000" b="1">
            <a:solidFill>
              <a:schemeClr val="dk1"/>
            </a:solidFill>
            <a:latin typeface="Arial" pitchFamily="34" charset="0"/>
            <a:ea typeface="+mn-ea"/>
            <a:cs typeface="Arial" pitchFamily="34" charset="0"/>
          </a:endParaRPr>
        </a:p>
        <a:p>
          <a:r>
            <a:rPr lang="en-US" sz="1000" b="1">
              <a:solidFill>
                <a:schemeClr val="dk1"/>
              </a:solidFill>
              <a:latin typeface="Arial" pitchFamily="34" charset="0"/>
              <a:ea typeface="+mn-ea"/>
              <a:cs typeface="Arial" pitchFamily="34" charset="0"/>
            </a:rPr>
            <a:t>This table and the graph</a:t>
          </a:r>
          <a:r>
            <a:rPr lang="en-US" sz="1000" b="1" baseline="0">
              <a:solidFill>
                <a:schemeClr val="dk1"/>
              </a:solidFill>
              <a:latin typeface="Arial" pitchFamily="34" charset="0"/>
              <a:ea typeface="+mn-ea"/>
              <a:cs typeface="Arial" pitchFamily="34" charset="0"/>
            </a:rPr>
            <a:t> to the left </a:t>
          </a:r>
          <a:r>
            <a:rPr lang="en-US" sz="1000" b="1">
              <a:solidFill>
                <a:schemeClr val="dk1"/>
              </a:solidFill>
              <a:latin typeface="Arial" pitchFamily="34" charset="0"/>
              <a:ea typeface="+mn-ea"/>
              <a:cs typeface="Arial" pitchFamily="34" charset="0"/>
            </a:rPr>
            <a:t>display</a:t>
          </a:r>
          <a:r>
            <a:rPr lang="en-US" sz="1000" b="1" baseline="0">
              <a:solidFill>
                <a:schemeClr val="dk1"/>
              </a:solidFill>
              <a:latin typeface="Arial" pitchFamily="34" charset="0"/>
              <a:ea typeface="+mn-ea"/>
              <a:cs typeface="Arial" pitchFamily="34" charset="0"/>
            </a:rPr>
            <a:t> the annual government revenue by fiscal regime.</a:t>
          </a:r>
          <a:br>
            <a:rPr lang="en-US" sz="1100" b="1"/>
          </a:br>
          <a:endParaRPr lang="en-US" sz="1100" b="1"/>
        </a:p>
      </xdr:txBody>
    </xdr:sp>
    <xdr:clientData/>
  </xdr:twoCellAnchor>
  <xdr:twoCellAnchor>
    <xdr:from>
      <xdr:col>11</xdr:col>
      <xdr:colOff>0</xdr:colOff>
      <xdr:row>475</xdr:row>
      <xdr:rowOff>0</xdr:rowOff>
    </xdr:from>
    <xdr:to>
      <xdr:col>11</xdr:col>
      <xdr:colOff>447675</xdr:colOff>
      <xdr:row>484</xdr:row>
      <xdr:rowOff>22412</xdr:rowOff>
    </xdr:to>
    <xdr:sp macro="" textlink="">
      <xdr:nvSpPr>
        <xdr:cNvPr id="47" name="Right Brace 46">
          <a:extLst>
            <a:ext uri="{FF2B5EF4-FFF2-40B4-BE49-F238E27FC236}">
              <a16:creationId xmlns:a16="http://schemas.microsoft.com/office/drawing/2014/main" id="{00000000-0008-0000-0200-00002F000000}"/>
            </a:ext>
          </a:extLst>
        </xdr:cNvPr>
        <xdr:cNvSpPr/>
      </xdr:nvSpPr>
      <xdr:spPr>
        <a:xfrm>
          <a:off x="11295529" y="82945941"/>
          <a:ext cx="447675" cy="1871383"/>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11</xdr:col>
      <xdr:colOff>425821</xdr:colOff>
      <xdr:row>477</xdr:row>
      <xdr:rowOff>44823</xdr:rowOff>
    </xdr:from>
    <xdr:to>
      <xdr:col>17</xdr:col>
      <xdr:colOff>369793</xdr:colOff>
      <xdr:row>481</xdr:row>
      <xdr:rowOff>156882</xdr:rowOff>
    </xdr:to>
    <xdr:sp macro="" textlink="">
      <xdr:nvSpPr>
        <xdr:cNvPr id="48" name="TextBox 47">
          <a:extLst>
            <a:ext uri="{FF2B5EF4-FFF2-40B4-BE49-F238E27FC236}">
              <a16:creationId xmlns:a16="http://schemas.microsoft.com/office/drawing/2014/main" id="{00000000-0008-0000-0200-000030000000}"/>
            </a:ext>
          </a:extLst>
        </xdr:cNvPr>
        <xdr:cNvSpPr txBox="1"/>
      </xdr:nvSpPr>
      <xdr:spPr>
        <a:xfrm>
          <a:off x="11721350" y="83506235"/>
          <a:ext cx="3899649" cy="874059"/>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solidFill>
                <a:schemeClr val="dk1"/>
              </a:solidFill>
              <a:latin typeface="Arial" pitchFamily="34" charset="0"/>
              <a:ea typeface="+mn-ea"/>
              <a:cs typeface="Arial" pitchFamily="34" charset="0"/>
            </a:rPr>
            <a:t>Data table. Press </a:t>
          </a:r>
          <a:r>
            <a:rPr lang="en-US" sz="1100" b="1">
              <a:solidFill>
                <a:schemeClr val="dk1"/>
              </a:solidFill>
              <a:latin typeface="+mn-lt"/>
              <a:ea typeface="+mn-ea"/>
              <a:cs typeface="+mn-cs"/>
            </a:rPr>
            <a:t>the key "F9"  </a:t>
          </a:r>
          <a:r>
            <a:rPr lang="en-US" sz="1000" b="1">
              <a:solidFill>
                <a:schemeClr val="dk1"/>
              </a:solidFill>
              <a:latin typeface="Arial" pitchFamily="34" charset="0"/>
              <a:ea typeface="+mn-ea"/>
              <a:cs typeface="Arial" pitchFamily="34" charset="0"/>
            </a:rPr>
            <a:t>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endParaRPr lang="en-US" sz="1000">
            <a:solidFill>
              <a:schemeClr val="dk1"/>
            </a:solidFill>
            <a:latin typeface="Arial" pitchFamily="34" charset="0"/>
            <a:ea typeface="+mn-ea"/>
            <a:cs typeface="Arial" pitchFamily="34" charset="0"/>
          </a:endParaRPr>
        </a:p>
        <a:p>
          <a:endParaRPr lang="en-US" sz="1000" b="1">
            <a:latin typeface="Arial" pitchFamily="34" charset="0"/>
            <a:cs typeface="Arial" pitchFamily="34" charset="0"/>
          </a:endParaRPr>
        </a:p>
        <a:p>
          <a:r>
            <a:rPr lang="en-US" sz="1000" b="1">
              <a:latin typeface="Arial" pitchFamily="34" charset="0"/>
              <a:cs typeface="Arial" pitchFamily="34" charset="0"/>
            </a:rPr>
            <a:t>This table displays</a:t>
          </a:r>
          <a:r>
            <a:rPr lang="en-US" sz="1000" b="1" baseline="0">
              <a:latin typeface="Arial" pitchFamily="34" charset="0"/>
              <a:cs typeface="Arial" pitchFamily="34" charset="0"/>
            </a:rPr>
            <a:t> the revenue that the government receives from each fiscal mechanism over the life of the project</a:t>
          </a:r>
          <a:r>
            <a:rPr lang="en-US" sz="1100" b="1" baseline="0"/>
            <a:t>.</a:t>
          </a:r>
          <a:br>
            <a:rPr lang="en-US" sz="1100" b="1"/>
          </a:br>
          <a:endParaRPr lang="en-US" sz="1100" b="1"/>
        </a:p>
      </xdr:txBody>
    </xdr:sp>
    <xdr:clientData/>
  </xdr:twoCellAnchor>
  <xdr:twoCellAnchor>
    <xdr:from>
      <xdr:col>11</xdr:col>
      <xdr:colOff>56029</xdr:colOff>
      <xdr:row>517</xdr:row>
      <xdr:rowOff>100852</xdr:rowOff>
    </xdr:from>
    <xdr:to>
      <xdr:col>11</xdr:col>
      <xdr:colOff>503704</xdr:colOff>
      <xdr:row>521</xdr:row>
      <xdr:rowOff>156882</xdr:rowOff>
    </xdr:to>
    <xdr:sp macro="" textlink="">
      <xdr:nvSpPr>
        <xdr:cNvPr id="49" name="Right Brace 48">
          <a:extLst>
            <a:ext uri="{FF2B5EF4-FFF2-40B4-BE49-F238E27FC236}">
              <a16:creationId xmlns:a16="http://schemas.microsoft.com/office/drawing/2014/main" id="{00000000-0008-0000-0200-000031000000}"/>
            </a:ext>
          </a:extLst>
        </xdr:cNvPr>
        <xdr:cNvSpPr/>
      </xdr:nvSpPr>
      <xdr:spPr>
        <a:xfrm>
          <a:off x="11351558" y="91182264"/>
          <a:ext cx="447675" cy="952500"/>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11</xdr:col>
      <xdr:colOff>540121</xdr:colOff>
      <xdr:row>517</xdr:row>
      <xdr:rowOff>112059</xdr:rowOff>
    </xdr:from>
    <xdr:to>
      <xdr:col>17</xdr:col>
      <xdr:colOff>425823</xdr:colOff>
      <xdr:row>522</xdr:row>
      <xdr:rowOff>67236</xdr:rowOff>
    </xdr:to>
    <xdr:sp macro="" textlink="">
      <xdr:nvSpPr>
        <xdr:cNvPr id="50" name="TextBox 49">
          <a:extLst>
            <a:ext uri="{FF2B5EF4-FFF2-40B4-BE49-F238E27FC236}">
              <a16:creationId xmlns:a16="http://schemas.microsoft.com/office/drawing/2014/main" id="{00000000-0008-0000-0200-000032000000}"/>
            </a:ext>
          </a:extLst>
        </xdr:cNvPr>
        <xdr:cNvSpPr txBox="1"/>
      </xdr:nvSpPr>
      <xdr:spPr>
        <a:xfrm>
          <a:off x="11835650" y="91193471"/>
          <a:ext cx="3841379" cy="1042147"/>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eaLnBrk="1" fontAlgn="auto" latinLnBrk="0" hangingPunct="1"/>
          <a:r>
            <a:rPr lang="en-US" sz="1000" b="1">
              <a:solidFill>
                <a:schemeClr val="dk1"/>
              </a:solidFill>
              <a:latin typeface="Arial" pitchFamily="34" charset="0"/>
              <a:ea typeface="+mn-ea"/>
              <a:cs typeface="Arial" pitchFamily="34" charset="0"/>
            </a:rPr>
            <a:t>Data table. Press </a:t>
          </a:r>
          <a:r>
            <a:rPr lang="en-US" sz="1100" b="1">
              <a:solidFill>
                <a:schemeClr val="dk1"/>
              </a:solidFill>
              <a:latin typeface="+mn-lt"/>
              <a:ea typeface="+mn-ea"/>
              <a:cs typeface="+mn-cs"/>
            </a:rPr>
            <a:t>the key "F9"  </a:t>
          </a:r>
          <a:r>
            <a:rPr lang="en-US" sz="1000" b="1">
              <a:solidFill>
                <a:schemeClr val="dk1"/>
              </a:solidFill>
              <a:latin typeface="Arial" pitchFamily="34" charset="0"/>
              <a:ea typeface="+mn-ea"/>
              <a:cs typeface="Arial" pitchFamily="34" charset="0"/>
            </a:rPr>
            <a:t>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endParaRPr lang="en-US" sz="1000">
            <a:solidFill>
              <a:schemeClr val="dk1"/>
            </a:solidFill>
            <a:latin typeface="Arial" pitchFamily="34" charset="0"/>
            <a:ea typeface="+mn-ea"/>
            <a:cs typeface="Arial" pitchFamily="34" charset="0"/>
          </a:endParaRPr>
        </a:p>
        <a:p>
          <a:endParaRPr lang="en-US" sz="1000" b="1">
            <a:solidFill>
              <a:schemeClr val="dk1"/>
            </a:solidFill>
            <a:latin typeface="Arial" pitchFamily="34" charset="0"/>
            <a:ea typeface="+mn-ea"/>
            <a:cs typeface="Arial" pitchFamily="34" charset="0"/>
          </a:endParaRPr>
        </a:p>
        <a:p>
          <a:r>
            <a:rPr lang="en-US" sz="1000" b="1">
              <a:solidFill>
                <a:schemeClr val="dk1"/>
              </a:solidFill>
              <a:latin typeface="Arial" pitchFamily="34" charset="0"/>
              <a:ea typeface="+mn-ea"/>
              <a:cs typeface="Arial" pitchFamily="34" charset="0"/>
            </a:rPr>
            <a:t>This table displays</a:t>
          </a:r>
          <a:r>
            <a:rPr lang="en-US" sz="1000" b="1" baseline="0">
              <a:solidFill>
                <a:schemeClr val="dk1"/>
              </a:solidFill>
              <a:latin typeface="Arial" pitchFamily="34" charset="0"/>
              <a:ea typeface="+mn-ea"/>
              <a:cs typeface="Arial" pitchFamily="34" charset="0"/>
            </a:rPr>
            <a:t> the AETR at various discount rates by fiscal regime.</a:t>
          </a:r>
          <a:br>
            <a:rPr lang="en-US" sz="1100" b="1"/>
          </a:br>
          <a:endParaRPr lang="en-US" sz="1100" b="1"/>
        </a:p>
      </xdr:txBody>
    </xdr:sp>
    <xdr:clientData/>
  </xdr:twoCellAnchor>
  <xdr:twoCellAnchor>
    <xdr:from>
      <xdr:col>9</xdr:col>
      <xdr:colOff>739588</xdr:colOff>
      <xdr:row>511</xdr:row>
      <xdr:rowOff>44824</xdr:rowOff>
    </xdr:from>
    <xdr:to>
      <xdr:col>10</xdr:col>
      <xdr:colOff>436469</xdr:colOff>
      <xdr:row>514</xdr:row>
      <xdr:rowOff>152244</xdr:rowOff>
    </xdr:to>
    <xdr:sp macro="" textlink="">
      <xdr:nvSpPr>
        <xdr:cNvPr id="51" name="Right Brace 50">
          <a:extLst>
            <a:ext uri="{FF2B5EF4-FFF2-40B4-BE49-F238E27FC236}">
              <a16:creationId xmlns:a16="http://schemas.microsoft.com/office/drawing/2014/main" id="{00000000-0008-0000-0200-000033000000}"/>
            </a:ext>
          </a:extLst>
        </xdr:cNvPr>
        <xdr:cNvSpPr/>
      </xdr:nvSpPr>
      <xdr:spPr>
        <a:xfrm>
          <a:off x="10623176" y="89983236"/>
          <a:ext cx="447675" cy="678920"/>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10</xdr:col>
      <xdr:colOff>461679</xdr:colOff>
      <xdr:row>511</xdr:row>
      <xdr:rowOff>44823</xdr:rowOff>
    </xdr:from>
    <xdr:to>
      <xdr:col>19</xdr:col>
      <xdr:colOff>100852</xdr:colOff>
      <xdr:row>515</xdr:row>
      <xdr:rowOff>22412</xdr:rowOff>
    </xdr:to>
    <xdr:sp macro="" textlink="">
      <xdr:nvSpPr>
        <xdr:cNvPr id="52" name="TextBox 51">
          <a:extLst>
            <a:ext uri="{FF2B5EF4-FFF2-40B4-BE49-F238E27FC236}">
              <a16:creationId xmlns:a16="http://schemas.microsoft.com/office/drawing/2014/main" id="{00000000-0008-0000-0200-000034000000}"/>
            </a:ext>
          </a:extLst>
        </xdr:cNvPr>
        <xdr:cNvSpPr txBox="1"/>
      </xdr:nvSpPr>
      <xdr:spPr>
        <a:xfrm>
          <a:off x="11096061" y="89983235"/>
          <a:ext cx="5555879" cy="739589"/>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latin typeface="Arial" pitchFamily="34" charset="0"/>
              <a:cs typeface="Arial" pitchFamily="34" charset="0"/>
            </a:rPr>
            <a:t>This</a:t>
          </a:r>
          <a:r>
            <a:rPr lang="en-US" sz="1000" b="1" baseline="0">
              <a:latin typeface="Arial" pitchFamily="34" charset="0"/>
              <a:cs typeface="Arial" pitchFamily="34" charset="0"/>
            </a:rPr>
            <a:t> shows the Average Effective Tax Rate (AETR) for the regime selected in cell F7.  </a:t>
          </a:r>
        </a:p>
        <a:p>
          <a:pPr marL="0" marR="0" indent="0" defTabSz="914400" eaLnBrk="1" fontAlgn="auto" latinLnBrk="0" hangingPunct="1">
            <a:lnSpc>
              <a:spcPct val="100000"/>
            </a:lnSpc>
            <a:spcBef>
              <a:spcPts val="0"/>
            </a:spcBef>
            <a:spcAft>
              <a:spcPts val="0"/>
            </a:spcAft>
            <a:buClrTx/>
            <a:buSzTx/>
            <a:buFontTx/>
            <a:buNone/>
            <a:tabLst/>
            <a:defRPr/>
          </a:pPr>
          <a:endParaRPr lang="en-US" sz="1000" b="1" baseline="0">
            <a:latin typeface="Arial" pitchFamily="34" charset="0"/>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000" b="1" baseline="0">
              <a:latin typeface="Arial" pitchFamily="34" charset="0"/>
              <a:cs typeface="Arial" pitchFamily="34" charset="0"/>
            </a:rPr>
            <a:t>The AETR is the ratio of the NPV of government revenue to the NPV of the pre-tax net cash flows of a successful project, both calculated in discounted values.</a:t>
          </a:r>
        </a:p>
      </xdr:txBody>
    </xdr:sp>
    <xdr:clientData/>
  </xdr:twoCellAnchor>
  <xdr:twoCellAnchor>
    <xdr:from>
      <xdr:col>11</xdr:col>
      <xdr:colOff>56030</xdr:colOff>
      <xdr:row>556</xdr:row>
      <xdr:rowOff>145675</xdr:rowOff>
    </xdr:from>
    <xdr:to>
      <xdr:col>11</xdr:col>
      <xdr:colOff>503705</xdr:colOff>
      <xdr:row>561</xdr:row>
      <xdr:rowOff>145675</xdr:rowOff>
    </xdr:to>
    <xdr:sp macro="" textlink="">
      <xdr:nvSpPr>
        <xdr:cNvPr id="53" name="Right Brace 52">
          <a:extLst>
            <a:ext uri="{FF2B5EF4-FFF2-40B4-BE49-F238E27FC236}">
              <a16:creationId xmlns:a16="http://schemas.microsoft.com/office/drawing/2014/main" id="{00000000-0008-0000-0200-000035000000}"/>
            </a:ext>
          </a:extLst>
        </xdr:cNvPr>
        <xdr:cNvSpPr/>
      </xdr:nvSpPr>
      <xdr:spPr>
        <a:xfrm>
          <a:off x="11351559" y="98791057"/>
          <a:ext cx="447675" cy="1086971"/>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11</xdr:col>
      <xdr:colOff>551328</xdr:colOff>
      <xdr:row>556</xdr:row>
      <xdr:rowOff>112058</xdr:rowOff>
    </xdr:from>
    <xdr:to>
      <xdr:col>16</xdr:col>
      <xdr:colOff>470647</xdr:colOff>
      <xdr:row>561</xdr:row>
      <xdr:rowOff>168087</xdr:rowOff>
    </xdr:to>
    <xdr:sp macro="" textlink="">
      <xdr:nvSpPr>
        <xdr:cNvPr id="54" name="TextBox 53">
          <a:extLst>
            <a:ext uri="{FF2B5EF4-FFF2-40B4-BE49-F238E27FC236}">
              <a16:creationId xmlns:a16="http://schemas.microsoft.com/office/drawing/2014/main" id="{00000000-0008-0000-0200-000036000000}"/>
            </a:ext>
          </a:extLst>
        </xdr:cNvPr>
        <xdr:cNvSpPr txBox="1"/>
      </xdr:nvSpPr>
      <xdr:spPr>
        <a:xfrm>
          <a:off x="11846857" y="98757440"/>
          <a:ext cx="3225055" cy="1143000"/>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solidFill>
                <a:schemeClr val="dk1"/>
              </a:solidFill>
              <a:latin typeface="Arial" pitchFamily="34" charset="0"/>
              <a:ea typeface="+mn-ea"/>
              <a:cs typeface="Arial" pitchFamily="34" charset="0"/>
            </a:rPr>
            <a:t>Data table. Press </a:t>
          </a:r>
          <a:r>
            <a:rPr lang="en-US" sz="1100" b="1">
              <a:solidFill>
                <a:schemeClr val="dk1"/>
              </a:solidFill>
              <a:latin typeface="+mn-lt"/>
              <a:ea typeface="+mn-ea"/>
              <a:cs typeface="+mn-cs"/>
            </a:rPr>
            <a:t>the key "F9" </a:t>
          </a:r>
          <a:r>
            <a:rPr lang="en-US" sz="1000" b="1">
              <a:solidFill>
                <a:schemeClr val="dk1"/>
              </a:solidFill>
              <a:latin typeface="Arial" pitchFamily="34" charset="0"/>
              <a:ea typeface="+mn-ea"/>
              <a:cs typeface="Arial" pitchFamily="34" charset="0"/>
            </a:rPr>
            <a:t> 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endParaRPr lang="en-US" sz="1000">
            <a:latin typeface="Arial" pitchFamily="34" charset="0"/>
            <a:cs typeface="Arial" pitchFamily="34" charset="0"/>
          </a:endParaRPr>
        </a:p>
        <a:p>
          <a:endParaRPr lang="en-US" sz="1000" b="1">
            <a:latin typeface="Arial" pitchFamily="34" charset="0"/>
            <a:cs typeface="Arial" pitchFamily="34" charset="0"/>
          </a:endParaRPr>
        </a:p>
        <a:p>
          <a:r>
            <a:rPr lang="en-US" sz="1000" b="1">
              <a:latin typeface="Arial" pitchFamily="34" charset="0"/>
              <a:cs typeface="Arial" pitchFamily="34" charset="0"/>
            </a:rPr>
            <a:t>This table displays</a:t>
          </a:r>
          <a:r>
            <a:rPr lang="en-US" sz="1000" b="1" baseline="0">
              <a:latin typeface="Arial" pitchFamily="34" charset="0"/>
              <a:cs typeface="Arial" pitchFamily="34" charset="0"/>
            </a:rPr>
            <a:t> the government share of total benefits at various discount rates by fiscal regime.</a:t>
          </a:r>
          <a:br>
            <a:rPr lang="en-US" sz="1100" b="1"/>
          </a:br>
          <a:endParaRPr lang="en-US" sz="1100" b="1"/>
        </a:p>
      </xdr:txBody>
    </xdr:sp>
    <xdr:clientData/>
  </xdr:twoCellAnchor>
  <xdr:twoCellAnchor>
    <xdr:from>
      <xdr:col>12</xdr:col>
      <xdr:colOff>33618</xdr:colOff>
      <xdr:row>542</xdr:row>
      <xdr:rowOff>112059</xdr:rowOff>
    </xdr:from>
    <xdr:to>
      <xdr:col>12</xdr:col>
      <xdr:colOff>481293</xdr:colOff>
      <xdr:row>547</xdr:row>
      <xdr:rowOff>112059</xdr:rowOff>
    </xdr:to>
    <xdr:sp macro="" textlink="">
      <xdr:nvSpPr>
        <xdr:cNvPr id="55" name="Right Brace 54">
          <a:extLst>
            <a:ext uri="{FF2B5EF4-FFF2-40B4-BE49-F238E27FC236}">
              <a16:creationId xmlns:a16="http://schemas.microsoft.com/office/drawing/2014/main" id="{00000000-0008-0000-0200-000037000000}"/>
            </a:ext>
          </a:extLst>
        </xdr:cNvPr>
        <xdr:cNvSpPr/>
      </xdr:nvSpPr>
      <xdr:spPr>
        <a:xfrm>
          <a:off x="11979089" y="96090441"/>
          <a:ext cx="447675" cy="952500"/>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12</xdr:col>
      <xdr:colOff>540122</xdr:colOff>
      <xdr:row>542</xdr:row>
      <xdr:rowOff>179294</xdr:rowOff>
    </xdr:from>
    <xdr:to>
      <xdr:col>19</xdr:col>
      <xdr:colOff>11207</xdr:colOff>
      <xdr:row>547</xdr:row>
      <xdr:rowOff>100853</xdr:rowOff>
    </xdr:to>
    <xdr:sp macro="" textlink="">
      <xdr:nvSpPr>
        <xdr:cNvPr id="56" name="TextBox 55">
          <a:extLst>
            <a:ext uri="{FF2B5EF4-FFF2-40B4-BE49-F238E27FC236}">
              <a16:creationId xmlns:a16="http://schemas.microsoft.com/office/drawing/2014/main" id="{00000000-0008-0000-0200-000038000000}"/>
            </a:ext>
          </a:extLst>
        </xdr:cNvPr>
        <xdr:cNvSpPr txBox="1"/>
      </xdr:nvSpPr>
      <xdr:spPr>
        <a:xfrm>
          <a:off x="12485593" y="96157676"/>
          <a:ext cx="4076702" cy="874059"/>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1">
              <a:solidFill>
                <a:schemeClr val="dk1"/>
              </a:solidFill>
              <a:latin typeface="Arial" pitchFamily="34" charset="0"/>
              <a:ea typeface="+mn-ea"/>
              <a:cs typeface="Arial" pitchFamily="34" charset="0"/>
            </a:rPr>
            <a:t>Data table. Press </a:t>
          </a:r>
          <a:r>
            <a:rPr lang="en-US" sz="1100" b="1">
              <a:solidFill>
                <a:schemeClr val="dk1"/>
              </a:solidFill>
              <a:latin typeface="+mn-lt"/>
              <a:ea typeface="+mn-ea"/>
              <a:cs typeface="+mn-cs"/>
            </a:rPr>
            <a:t>the key "F9"  </a:t>
          </a:r>
          <a:r>
            <a:rPr lang="en-US" sz="1000" b="1">
              <a:solidFill>
                <a:schemeClr val="dk1"/>
              </a:solidFill>
              <a:latin typeface="Arial" pitchFamily="34" charset="0"/>
              <a:ea typeface="+mn-ea"/>
              <a:cs typeface="Arial" pitchFamily="34" charset="0"/>
            </a:rPr>
            <a:t>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p>
        <a:p>
          <a:endParaRPr lang="en-US" sz="1000" b="1" baseline="0">
            <a:solidFill>
              <a:schemeClr val="dk1"/>
            </a:solidFill>
            <a:latin typeface="Arial" pitchFamily="34" charset="0"/>
            <a:ea typeface="+mn-ea"/>
            <a:cs typeface="Arial" pitchFamily="34" charset="0"/>
          </a:endParaRPr>
        </a:p>
        <a:p>
          <a:r>
            <a:rPr lang="en-US" sz="1000" b="1">
              <a:latin typeface="Arial" pitchFamily="34" charset="0"/>
              <a:cs typeface="Arial" pitchFamily="34" charset="0"/>
            </a:rPr>
            <a:t>This table displays the AETR NPV10 at  each price</a:t>
          </a:r>
          <a:r>
            <a:rPr lang="en-US" sz="1000" b="1" baseline="0">
              <a:latin typeface="Arial" pitchFamily="34" charset="0"/>
              <a:cs typeface="Arial" pitchFamily="34" charset="0"/>
            </a:rPr>
            <a:t> shown in cells G543-L543.</a:t>
          </a:r>
          <a:br>
            <a:rPr lang="en-US" sz="1100" b="1"/>
          </a:br>
          <a:endParaRPr lang="en-US" sz="1100" b="1"/>
        </a:p>
      </xdr:txBody>
    </xdr:sp>
    <xdr:clientData/>
  </xdr:twoCellAnchor>
  <xdr:twoCellAnchor>
    <xdr:from>
      <xdr:col>9</xdr:col>
      <xdr:colOff>694766</xdr:colOff>
      <xdr:row>550</xdr:row>
      <xdr:rowOff>11206</xdr:rowOff>
    </xdr:from>
    <xdr:to>
      <xdr:col>10</xdr:col>
      <xdr:colOff>413814</xdr:colOff>
      <xdr:row>553</xdr:row>
      <xdr:rowOff>145678</xdr:rowOff>
    </xdr:to>
    <xdr:sp macro="" textlink="">
      <xdr:nvSpPr>
        <xdr:cNvPr id="57" name="Right Brace 56">
          <a:extLst>
            <a:ext uri="{FF2B5EF4-FFF2-40B4-BE49-F238E27FC236}">
              <a16:creationId xmlns:a16="http://schemas.microsoft.com/office/drawing/2014/main" id="{00000000-0008-0000-0200-000039000000}"/>
            </a:ext>
          </a:extLst>
        </xdr:cNvPr>
        <xdr:cNvSpPr/>
      </xdr:nvSpPr>
      <xdr:spPr>
        <a:xfrm>
          <a:off x="10578354" y="97513588"/>
          <a:ext cx="469842" cy="705972"/>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10</xdr:col>
      <xdr:colOff>439269</xdr:colOff>
      <xdr:row>549</xdr:row>
      <xdr:rowOff>168087</xdr:rowOff>
    </xdr:from>
    <xdr:to>
      <xdr:col>20</xdr:col>
      <xdr:colOff>190500</xdr:colOff>
      <xdr:row>554</xdr:row>
      <xdr:rowOff>67236</xdr:rowOff>
    </xdr:to>
    <xdr:sp macro="" textlink="">
      <xdr:nvSpPr>
        <xdr:cNvPr id="58" name="TextBox 57">
          <a:extLst>
            <a:ext uri="{FF2B5EF4-FFF2-40B4-BE49-F238E27FC236}">
              <a16:creationId xmlns:a16="http://schemas.microsoft.com/office/drawing/2014/main" id="{00000000-0008-0000-0200-00003A000000}"/>
            </a:ext>
          </a:extLst>
        </xdr:cNvPr>
        <xdr:cNvSpPr txBox="1"/>
      </xdr:nvSpPr>
      <xdr:spPr>
        <a:xfrm>
          <a:off x="11073651" y="97479969"/>
          <a:ext cx="6317878" cy="851649"/>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1">
              <a:latin typeface="Arial" pitchFamily="34" charset="0"/>
              <a:cs typeface="Arial" pitchFamily="34" charset="0"/>
            </a:rPr>
            <a:t>This</a:t>
          </a:r>
          <a:r>
            <a:rPr lang="en-US" sz="1000" b="1" baseline="0">
              <a:latin typeface="Arial" pitchFamily="34" charset="0"/>
              <a:cs typeface="Arial" pitchFamily="34" charset="0"/>
            </a:rPr>
            <a:t> shows the government share of total benefits for the regime selected in cell F7.  The government share of total benefits is  the project-life government revenue divided by the total benefits.</a:t>
          </a:r>
        </a:p>
        <a:p>
          <a:endParaRPr lang="en-US" sz="1000" b="1" baseline="0">
            <a:latin typeface="Arial" pitchFamily="34" charset="0"/>
            <a:cs typeface="Arial" pitchFamily="34" charset="0"/>
          </a:endParaRPr>
        </a:p>
        <a:p>
          <a:r>
            <a:rPr lang="en-US" sz="1000" b="1" baseline="0">
              <a:latin typeface="Arial" pitchFamily="34" charset="0"/>
              <a:cs typeface="Arial" pitchFamily="34" charset="0"/>
            </a:rPr>
            <a:t>Total benefits are equal to revenue less operating costs, replacement capital costs after after start up and decommissioning costs.</a:t>
          </a:r>
          <a:endParaRPr lang="en-US" sz="1000" b="1">
            <a:latin typeface="Arial" pitchFamily="34" charset="0"/>
            <a:cs typeface="Arial" pitchFamily="34" charset="0"/>
          </a:endParaRPr>
        </a:p>
      </xdr:txBody>
    </xdr:sp>
    <xdr:clientData/>
  </xdr:twoCellAnchor>
  <xdr:twoCellAnchor>
    <xdr:from>
      <xdr:col>12</xdr:col>
      <xdr:colOff>89648</xdr:colOff>
      <xdr:row>564</xdr:row>
      <xdr:rowOff>112058</xdr:rowOff>
    </xdr:from>
    <xdr:to>
      <xdr:col>12</xdr:col>
      <xdr:colOff>537323</xdr:colOff>
      <xdr:row>572</xdr:row>
      <xdr:rowOff>176892</xdr:rowOff>
    </xdr:to>
    <xdr:sp macro="" textlink="">
      <xdr:nvSpPr>
        <xdr:cNvPr id="59" name="Right Brace 58">
          <a:extLst>
            <a:ext uri="{FF2B5EF4-FFF2-40B4-BE49-F238E27FC236}">
              <a16:creationId xmlns:a16="http://schemas.microsoft.com/office/drawing/2014/main" id="{00000000-0008-0000-0200-00003B000000}"/>
            </a:ext>
          </a:extLst>
        </xdr:cNvPr>
        <xdr:cNvSpPr/>
      </xdr:nvSpPr>
      <xdr:spPr>
        <a:xfrm>
          <a:off x="12485755" y="105989237"/>
          <a:ext cx="447675" cy="1588834"/>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7</xdr:col>
      <xdr:colOff>571523</xdr:colOff>
      <xdr:row>595</xdr:row>
      <xdr:rowOff>50944</xdr:rowOff>
    </xdr:from>
    <xdr:to>
      <xdr:col>8</xdr:col>
      <xdr:colOff>182676</xdr:colOff>
      <xdr:row>596</xdr:row>
      <xdr:rowOff>168088</xdr:rowOff>
    </xdr:to>
    <xdr:sp macro="" textlink="">
      <xdr:nvSpPr>
        <xdr:cNvPr id="61" name="Right Brace 60">
          <a:extLst>
            <a:ext uri="{FF2B5EF4-FFF2-40B4-BE49-F238E27FC236}">
              <a16:creationId xmlns:a16="http://schemas.microsoft.com/office/drawing/2014/main" id="{00000000-0008-0000-0200-00003D000000}"/>
            </a:ext>
          </a:extLst>
        </xdr:cNvPr>
        <xdr:cNvSpPr/>
      </xdr:nvSpPr>
      <xdr:spPr>
        <a:xfrm>
          <a:off x="8863876" y="105307797"/>
          <a:ext cx="395565" cy="307644"/>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8</xdr:col>
      <xdr:colOff>210124</xdr:colOff>
      <xdr:row>594</xdr:row>
      <xdr:rowOff>168088</xdr:rowOff>
    </xdr:from>
    <xdr:to>
      <xdr:col>17</xdr:col>
      <xdr:colOff>515492</xdr:colOff>
      <xdr:row>597</xdr:row>
      <xdr:rowOff>100854</xdr:rowOff>
    </xdr:to>
    <xdr:sp macro="" textlink="">
      <xdr:nvSpPr>
        <xdr:cNvPr id="62" name="TextBox 61">
          <a:extLst>
            <a:ext uri="{FF2B5EF4-FFF2-40B4-BE49-F238E27FC236}">
              <a16:creationId xmlns:a16="http://schemas.microsoft.com/office/drawing/2014/main" id="{00000000-0008-0000-0200-00003E000000}"/>
            </a:ext>
          </a:extLst>
        </xdr:cNvPr>
        <xdr:cNvSpPr txBox="1"/>
      </xdr:nvSpPr>
      <xdr:spPr>
        <a:xfrm>
          <a:off x="9286889" y="105234441"/>
          <a:ext cx="6479809" cy="504266"/>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ysClr val="windowText" lastClr="000000"/>
              </a:solidFill>
              <a:latin typeface="Arial" pitchFamily="34" charset="0"/>
              <a:ea typeface="+mn-ea"/>
              <a:cs typeface="Arial" pitchFamily="34" charset="0"/>
            </a:rPr>
            <a:t>Step 2. </a:t>
          </a:r>
          <a:r>
            <a:rPr lang="en-US" sz="1000" b="1">
              <a:solidFill>
                <a:schemeClr val="dk1"/>
              </a:solidFill>
              <a:latin typeface="Arial" pitchFamily="34" charset="0"/>
              <a:ea typeface="+mn-ea"/>
              <a:cs typeface="Arial" pitchFamily="34" charset="0"/>
            </a:rPr>
            <a:t>Go to Data -&gt; What if analysis -&gt; Goal seek</a:t>
          </a:r>
          <a:endParaRPr lang="en-US" sz="1050" b="1" u="sng">
            <a:solidFill>
              <a:sysClr val="windowText" lastClr="000000"/>
            </a:solidFill>
            <a:latin typeface="Arial" pitchFamily="34" charset="0"/>
            <a:ea typeface="+mn-ea"/>
            <a:cs typeface="Arial" pitchFamily="34" charset="0"/>
          </a:endParaRPr>
        </a:p>
        <a:p>
          <a:r>
            <a:rPr lang="en-US" sz="1000" b="1">
              <a:solidFill>
                <a:schemeClr val="dk1"/>
              </a:solidFill>
              <a:latin typeface="Arial" pitchFamily="34" charset="0"/>
              <a:ea typeface="+mn-ea"/>
              <a:cs typeface="Arial" pitchFamily="34" charset="0"/>
            </a:rPr>
            <a:t>Goal seek: set cell F596</a:t>
          </a:r>
          <a:r>
            <a:rPr lang="en-US" sz="1000" b="1" baseline="0">
              <a:solidFill>
                <a:schemeClr val="dk1"/>
              </a:solidFill>
              <a:latin typeface="Arial" pitchFamily="34" charset="0"/>
              <a:ea typeface="+mn-ea"/>
              <a:cs typeface="Arial" pitchFamily="34" charset="0"/>
            </a:rPr>
            <a:t> </a:t>
          </a:r>
          <a:r>
            <a:rPr lang="en-US" sz="1000" b="1">
              <a:solidFill>
                <a:schemeClr val="dk1"/>
              </a:solidFill>
              <a:latin typeface="Arial" pitchFamily="34" charset="0"/>
              <a:ea typeface="+mn-ea"/>
              <a:cs typeface="Arial" pitchFamily="34" charset="0"/>
            </a:rPr>
            <a:t>to bring post-tax IRR to 12.5%, by changing </a:t>
          </a:r>
          <a:r>
            <a:rPr lang="en-US" sz="1000" b="1" baseline="0">
              <a:solidFill>
                <a:schemeClr val="dk1"/>
              </a:solidFill>
              <a:latin typeface="Arial" pitchFamily="34" charset="0"/>
              <a:ea typeface="+mn-ea"/>
              <a:cs typeface="Arial" pitchFamily="34" charset="0"/>
            </a:rPr>
            <a:t>cell F55 (oil</a:t>
          </a:r>
          <a:r>
            <a:rPr lang="en-US" sz="1000" b="1">
              <a:solidFill>
                <a:schemeClr val="dk1"/>
              </a:solidFill>
              <a:latin typeface="Arial" pitchFamily="34" charset="0"/>
              <a:ea typeface="+mn-ea"/>
              <a:cs typeface="Arial" pitchFamily="34" charset="0"/>
            </a:rPr>
            <a:t> </a:t>
          </a:r>
          <a:r>
            <a:rPr lang="en-US" sz="1000" b="1" baseline="0">
              <a:solidFill>
                <a:schemeClr val="dk1"/>
              </a:solidFill>
              <a:latin typeface="Arial" pitchFamily="34" charset="0"/>
              <a:ea typeface="+mn-ea"/>
              <a:cs typeface="Arial" pitchFamily="34" charset="0"/>
            </a:rPr>
            <a:t>price)</a:t>
          </a:r>
          <a:r>
            <a:rPr lang="en-US" sz="1000" b="1">
              <a:solidFill>
                <a:schemeClr val="dk1"/>
              </a:solidFill>
              <a:latin typeface="Arial" pitchFamily="34" charset="0"/>
              <a:ea typeface="+mn-ea"/>
              <a:cs typeface="Arial" pitchFamily="34" charset="0"/>
            </a:rPr>
            <a:t>. </a:t>
          </a:r>
          <a:endParaRPr lang="en-US" sz="1000" b="1">
            <a:latin typeface="Arial" pitchFamily="34" charset="0"/>
            <a:cs typeface="Arial" pitchFamily="34" charset="0"/>
          </a:endParaRPr>
        </a:p>
      </xdr:txBody>
    </xdr:sp>
    <xdr:clientData/>
  </xdr:twoCellAnchor>
  <xdr:twoCellAnchor>
    <xdr:from>
      <xdr:col>6</xdr:col>
      <xdr:colOff>105678</xdr:colOff>
      <xdr:row>601</xdr:row>
      <xdr:rowOff>78440</xdr:rowOff>
    </xdr:from>
    <xdr:to>
      <xdr:col>6</xdr:col>
      <xdr:colOff>501245</xdr:colOff>
      <xdr:row>604</xdr:row>
      <xdr:rowOff>168087</xdr:rowOff>
    </xdr:to>
    <xdr:sp macro="" textlink="">
      <xdr:nvSpPr>
        <xdr:cNvPr id="63" name="Right Brace 62">
          <a:extLst>
            <a:ext uri="{FF2B5EF4-FFF2-40B4-BE49-F238E27FC236}">
              <a16:creationId xmlns:a16="http://schemas.microsoft.com/office/drawing/2014/main" id="{00000000-0008-0000-0200-00003F000000}"/>
            </a:ext>
          </a:extLst>
        </xdr:cNvPr>
        <xdr:cNvSpPr/>
      </xdr:nvSpPr>
      <xdr:spPr>
        <a:xfrm>
          <a:off x="7792913" y="106612764"/>
          <a:ext cx="395567" cy="661147"/>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6</xdr:col>
      <xdr:colOff>528695</xdr:colOff>
      <xdr:row>601</xdr:row>
      <xdr:rowOff>164884</xdr:rowOff>
    </xdr:from>
    <xdr:to>
      <xdr:col>12</xdr:col>
      <xdr:colOff>246551</xdr:colOff>
      <xdr:row>605</xdr:row>
      <xdr:rowOff>44821</xdr:rowOff>
    </xdr:to>
    <xdr:sp macro="" textlink="">
      <xdr:nvSpPr>
        <xdr:cNvPr id="64" name="TextBox 63">
          <a:extLst>
            <a:ext uri="{FF2B5EF4-FFF2-40B4-BE49-F238E27FC236}">
              <a16:creationId xmlns:a16="http://schemas.microsoft.com/office/drawing/2014/main" id="{00000000-0008-0000-0200-000040000000}"/>
            </a:ext>
          </a:extLst>
        </xdr:cNvPr>
        <xdr:cNvSpPr txBox="1"/>
      </xdr:nvSpPr>
      <xdr:spPr>
        <a:xfrm>
          <a:off x="8215930" y="106699208"/>
          <a:ext cx="3976092" cy="641937"/>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chemeClr val="dk1"/>
              </a:solidFill>
              <a:latin typeface="Arial" pitchFamily="34" charset="0"/>
              <a:ea typeface="+mn-ea"/>
              <a:cs typeface="Arial" pitchFamily="34" charset="0"/>
            </a:rPr>
            <a:t>Step 3. </a:t>
          </a:r>
          <a:r>
            <a:rPr lang="en-US" sz="1000" b="1">
              <a:solidFill>
                <a:schemeClr val="dk1"/>
              </a:solidFill>
              <a:latin typeface="Arial" pitchFamily="34" charset="0"/>
              <a:ea typeface="+mn-ea"/>
              <a:cs typeface="Arial" pitchFamily="34" charset="0"/>
            </a:rPr>
            <a:t>Confirm that cells</a:t>
          </a:r>
          <a:r>
            <a:rPr lang="en-US" sz="1000" b="1" baseline="0">
              <a:solidFill>
                <a:schemeClr val="dk1"/>
              </a:solidFill>
              <a:latin typeface="Arial" pitchFamily="34" charset="0"/>
              <a:ea typeface="+mn-ea"/>
              <a:cs typeface="Arial" pitchFamily="34" charset="0"/>
            </a:rPr>
            <a:t> F596 and F602-F605 are green. If the cells are red, the breakeven price routine has not been run or is not functioning correctly.</a:t>
          </a:r>
          <a:endParaRPr lang="en-US" sz="1000" b="1">
            <a:latin typeface="Arial" pitchFamily="34" charset="0"/>
            <a:cs typeface="Arial" pitchFamily="34" charset="0"/>
          </a:endParaRPr>
        </a:p>
      </xdr:txBody>
    </xdr:sp>
    <xdr:clientData/>
  </xdr:twoCellAnchor>
  <xdr:twoCellAnchor>
    <xdr:from>
      <xdr:col>9</xdr:col>
      <xdr:colOff>100874</xdr:colOff>
      <xdr:row>609</xdr:row>
      <xdr:rowOff>17326</xdr:rowOff>
    </xdr:from>
    <xdr:to>
      <xdr:col>9</xdr:col>
      <xdr:colOff>496441</xdr:colOff>
      <xdr:row>612</xdr:row>
      <xdr:rowOff>11206</xdr:rowOff>
    </xdr:to>
    <xdr:sp macro="" textlink="">
      <xdr:nvSpPr>
        <xdr:cNvPr id="65" name="Right Brace 64">
          <a:extLst>
            <a:ext uri="{FF2B5EF4-FFF2-40B4-BE49-F238E27FC236}">
              <a16:creationId xmlns:a16="http://schemas.microsoft.com/office/drawing/2014/main" id="{00000000-0008-0000-0200-000041000000}"/>
            </a:ext>
          </a:extLst>
        </xdr:cNvPr>
        <xdr:cNvSpPr/>
      </xdr:nvSpPr>
      <xdr:spPr>
        <a:xfrm>
          <a:off x="9984462" y="108075650"/>
          <a:ext cx="395567" cy="565380"/>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9</xdr:col>
      <xdr:colOff>523891</xdr:colOff>
      <xdr:row>608</xdr:row>
      <xdr:rowOff>134470</xdr:rowOff>
    </xdr:from>
    <xdr:to>
      <xdr:col>14</xdr:col>
      <xdr:colOff>412073</xdr:colOff>
      <xdr:row>612</xdr:row>
      <xdr:rowOff>25613</xdr:rowOff>
    </xdr:to>
    <xdr:sp macro="" textlink="">
      <xdr:nvSpPr>
        <xdr:cNvPr id="66" name="TextBox 65">
          <a:extLst>
            <a:ext uri="{FF2B5EF4-FFF2-40B4-BE49-F238E27FC236}">
              <a16:creationId xmlns:a16="http://schemas.microsoft.com/office/drawing/2014/main" id="{00000000-0008-0000-0200-000042000000}"/>
            </a:ext>
          </a:extLst>
        </xdr:cNvPr>
        <xdr:cNvSpPr txBox="1"/>
      </xdr:nvSpPr>
      <xdr:spPr>
        <a:xfrm>
          <a:off x="10407479" y="108002294"/>
          <a:ext cx="3249947" cy="653143"/>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chemeClr val="dk1"/>
              </a:solidFill>
              <a:latin typeface="Arial" pitchFamily="34" charset="0"/>
              <a:ea typeface="+mn-ea"/>
              <a:cs typeface="Arial" pitchFamily="34" charset="0"/>
            </a:rPr>
            <a:t>Step 4. </a:t>
          </a:r>
          <a:r>
            <a:rPr lang="en-US" sz="1000" b="1">
              <a:latin typeface="Arial" pitchFamily="34" charset="0"/>
              <a:cs typeface="Arial" pitchFamily="34" charset="0"/>
            </a:rPr>
            <a:t>Copy and</a:t>
          </a:r>
          <a:r>
            <a:rPr lang="en-US" sz="1000" b="1" baseline="0">
              <a:latin typeface="Arial" pitchFamily="34" charset="0"/>
              <a:cs typeface="Arial" pitchFamily="34" charset="0"/>
            </a:rPr>
            <a:t> paste as values</a:t>
          </a:r>
          <a:r>
            <a:rPr lang="en-US" sz="1000" b="1">
              <a:latin typeface="Arial" pitchFamily="34" charset="0"/>
              <a:cs typeface="Arial" pitchFamily="34" charset="0"/>
            </a:rPr>
            <a:t> the breakeven price calculated in cell F596 a</a:t>
          </a:r>
          <a:r>
            <a:rPr lang="en-US" sz="1000" b="1" baseline="0">
              <a:latin typeface="Arial" pitchFamily="34" charset="0"/>
              <a:cs typeface="Arial" pitchFamily="34" charset="0"/>
            </a:rPr>
            <a:t>nd the METR from cell F605 for each of the regimes analyzed.</a:t>
          </a:r>
          <a:endParaRPr lang="en-US" sz="1000" b="1">
            <a:latin typeface="Arial" pitchFamily="34" charset="0"/>
            <a:cs typeface="Arial" pitchFamily="34" charset="0"/>
          </a:endParaRPr>
        </a:p>
      </xdr:txBody>
    </xdr:sp>
    <xdr:clientData/>
  </xdr:twoCellAnchor>
  <xdr:twoCellAnchor>
    <xdr:from>
      <xdr:col>6</xdr:col>
      <xdr:colOff>89648</xdr:colOff>
      <xdr:row>598</xdr:row>
      <xdr:rowOff>84561</xdr:rowOff>
    </xdr:from>
    <xdr:to>
      <xdr:col>6</xdr:col>
      <xdr:colOff>485213</xdr:colOff>
      <xdr:row>598</xdr:row>
      <xdr:rowOff>268940</xdr:rowOff>
    </xdr:to>
    <xdr:sp macro="" textlink="">
      <xdr:nvSpPr>
        <xdr:cNvPr id="67" name="Right Brace 66">
          <a:extLst>
            <a:ext uri="{FF2B5EF4-FFF2-40B4-BE49-F238E27FC236}">
              <a16:creationId xmlns:a16="http://schemas.microsoft.com/office/drawing/2014/main" id="{00000000-0008-0000-0200-000043000000}"/>
            </a:ext>
          </a:extLst>
        </xdr:cNvPr>
        <xdr:cNvSpPr/>
      </xdr:nvSpPr>
      <xdr:spPr>
        <a:xfrm>
          <a:off x="7776883" y="105912914"/>
          <a:ext cx="395565" cy="184379"/>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6</xdr:col>
      <xdr:colOff>512662</xdr:colOff>
      <xdr:row>597</xdr:row>
      <xdr:rowOff>179293</xdr:rowOff>
    </xdr:from>
    <xdr:to>
      <xdr:col>15</xdr:col>
      <xdr:colOff>672375</xdr:colOff>
      <xdr:row>599</xdr:row>
      <xdr:rowOff>134470</xdr:rowOff>
    </xdr:to>
    <xdr:sp macro="" textlink="">
      <xdr:nvSpPr>
        <xdr:cNvPr id="68" name="TextBox 67">
          <a:extLst>
            <a:ext uri="{FF2B5EF4-FFF2-40B4-BE49-F238E27FC236}">
              <a16:creationId xmlns:a16="http://schemas.microsoft.com/office/drawing/2014/main" id="{00000000-0008-0000-0200-000044000000}"/>
            </a:ext>
          </a:extLst>
        </xdr:cNvPr>
        <xdr:cNvSpPr txBox="1"/>
      </xdr:nvSpPr>
      <xdr:spPr>
        <a:xfrm>
          <a:off x="8199897" y="105817146"/>
          <a:ext cx="6367772" cy="470648"/>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ysClr val="windowText" lastClr="000000"/>
              </a:solidFill>
              <a:latin typeface="Arial" pitchFamily="34" charset="0"/>
              <a:ea typeface="+mn-ea"/>
              <a:cs typeface="Arial" pitchFamily="34" charset="0"/>
            </a:rPr>
            <a:t>Step 1. </a:t>
          </a:r>
          <a:r>
            <a:rPr lang="en-US" sz="1000" b="1">
              <a:solidFill>
                <a:schemeClr val="dk1"/>
              </a:solidFill>
              <a:latin typeface="Arial" pitchFamily="34" charset="0"/>
              <a:ea typeface="+mn-ea"/>
              <a:cs typeface="Arial" pitchFamily="34" charset="0"/>
            </a:rPr>
            <a:t>Save the original price from cell F55 here, before starting the </a:t>
          </a:r>
          <a:r>
            <a:rPr lang="en-US" sz="1000" b="1" baseline="0">
              <a:solidFill>
                <a:schemeClr val="dk1"/>
              </a:solidFill>
              <a:latin typeface="Arial" pitchFamily="34" charset="0"/>
              <a:ea typeface="+mn-ea"/>
              <a:cs typeface="Arial" pitchFamily="34" charset="0"/>
            </a:rPr>
            <a:t>breakeven price </a:t>
          </a:r>
          <a:r>
            <a:rPr lang="en-US" sz="1000" b="1">
              <a:solidFill>
                <a:schemeClr val="dk1"/>
              </a:solidFill>
              <a:latin typeface="Arial" pitchFamily="34" charset="0"/>
              <a:ea typeface="+mn-ea"/>
              <a:cs typeface="Arial" pitchFamily="34" charset="0"/>
            </a:rPr>
            <a:t>analysis . </a:t>
          </a:r>
          <a:endParaRPr lang="en-US" sz="1050" b="1" u="sng">
            <a:solidFill>
              <a:sysClr val="windowText" lastClr="000000"/>
            </a:solidFill>
            <a:latin typeface="Arial" pitchFamily="34" charset="0"/>
            <a:ea typeface="+mn-ea"/>
            <a:cs typeface="Arial" pitchFamily="34" charset="0"/>
          </a:endParaRPr>
        </a:p>
        <a:p>
          <a:r>
            <a:rPr lang="en-US" sz="1100" b="1" u="sng">
              <a:solidFill>
                <a:sysClr val="windowText" lastClr="000000"/>
              </a:solidFill>
              <a:latin typeface="Arial" pitchFamily="34" charset="0"/>
              <a:ea typeface="+mn-ea"/>
              <a:cs typeface="Arial" pitchFamily="34" charset="0"/>
            </a:rPr>
            <a:t>Step 5</a:t>
          </a:r>
          <a:r>
            <a:rPr lang="en-US" sz="1050" b="1">
              <a:solidFill>
                <a:schemeClr val="dk1"/>
              </a:solidFill>
              <a:latin typeface="Arial" pitchFamily="34" charset="0"/>
              <a:ea typeface="+mn-ea"/>
              <a:cs typeface="Arial" pitchFamily="34" charset="0"/>
            </a:rPr>
            <a:t>. </a:t>
          </a:r>
          <a:r>
            <a:rPr lang="en-US" sz="1000" b="1">
              <a:solidFill>
                <a:schemeClr val="dk1"/>
              </a:solidFill>
              <a:latin typeface="Arial" pitchFamily="34" charset="0"/>
              <a:ea typeface="+mn-ea"/>
              <a:cs typeface="Arial" pitchFamily="34" charset="0"/>
            </a:rPr>
            <a:t>To restore</a:t>
          </a:r>
          <a:r>
            <a:rPr lang="en-US" sz="1000" b="1" baseline="0">
              <a:solidFill>
                <a:schemeClr val="dk1"/>
              </a:solidFill>
              <a:latin typeface="Arial" pitchFamily="34" charset="0"/>
              <a:ea typeface="+mn-ea"/>
              <a:cs typeface="Arial" pitchFamily="34" charset="0"/>
            </a:rPr>
            <a:t> </a:t>
          </a:r>
          <a:r>
            <a:rPr lang="en-US" sz="1000" b="1">
              <a:solidFill>
                <a:schemeClr val="dk1"/>
              </a:solidFill>
              <a:latin typeface="Arial" pitchFamily="34" charset="0"/>
              <a:ea typeface="+mn-ea"/>
              <a:cs typeface="Arial" pitchFamily="34" charset="0"/>
            </a:rPr>
            <a:t>the original price in  cell  F55, copy  cell F599  and paste it as a value  in cell F55.</a:t>
          </a:r>
        </a:p>
      </xdr:txBody>
    </xdr:sp>
    <xdr:clientData/>
  </xdr:twoCellAnchor>
  <xdr:twoCellAnchor>
    <xdr:from>
      <xdr:col>12</xdr:col>
      <xdr:colOff>650580</xdr:colOff>
      <xdr:row>566</xdr:row>
      <xdr:rowOff>16005</xdr:rowOff>
    </xdr:from>
    <xdr:to>
      <xdr:col>19</xdr:col>
      <xdr:colOff>247331</xdr:colOff>
      <xdr:row>571</xdr:row>
      <xdr:rowOff>139270</xdr:rowOff>
    </xdr:to>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13046687" y="106274184"/>
          <a:ext cx="4223180" cy="1075765"/>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1">
              <a:solidFill>
                <a:schemeClr val="dk1"/>
              </a:solidFill>
              <a:latin typeface="Arial" pitchFamily="34" charset="0"/>
              <a:ea typeface="+mn-ea"/>
              <a:cs typeface="Arial" pitchFamily="34" charset="0"/>
            </a:rPr>
            <a:t>Data table. Press </a:t>
          </a:r>
          <a:r>
            <a:rPr lang="en-US" sz="1100" b="1">
              <a:solidFill>
                <a:schemeClr val="dk1"/>
              </a:solidFill>
              <a:latin typeface="+mn-lt"/>
              <a:ea typeface="+mn-ea"/>
              <a:cs typeface="+mn-cs"/>
            </a:rPr>
            <a:t>the key "F9" </a:t>
          </a:r>
          <a:r>
            <a:rPr lang="en-US" sz="1000" b="1">
              <a:solidFill>
                <a:schemeClr val="dk1"/>
              </a:solidFill>
              <a:latin typeface="Arial" pitchFamily="34" charset="0"/>
              <a:ea typeface="+mn-ea"/>
              <a:cs typeface="Arial" pitchFamily="34" charset="0"/>
            </a:rPr>
            <a:t>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endParaRPr lang="en-US" sz="1000">
            <a:latin typeface="Arial" pitchFamily="34" charset="0"/>
            <a:cs typeface="Arial" pitchFamily="34" charset="0"/>
          </a:endParaRPr>
        </a:p>
        <a:p>
          <a:pPr fontAlgn="base"/>
          <a:endParaRPr lang="en-US" sz="1000" b="1" baseline="0">
            <a:solidFill>
              <a:schemeClr val="dk1"/>
            </a:solidFill>
            <a:latin typeface="Arial" pitchFamily="34" charset="0"/>
            <a:ea typeface="+mn-ea"/>
            <a:cs typeface="Arial" pitchFamily="34" charset="0"/>
          </a:endParaRPr>
        </a:p>
        <a:p>
          <a:r>
            <a:rPr lang="en-US" sz="1000" b="1">
              <a:solidFill>
                <a:schemeClr val="dk1"/>
              </a:solidFill>
              <a:latin typeface="Arial" pitchFamily="34" charset="0"/>
              <a:ea typeface="+mn-ea"/>
              <a:cs typeface="Arial" pitchFamily="34" charset="0"/>
            </a:rPr>
            <a:t>These tables display the government</a:t>
          </a:r>
          <a:r>
            <a:rPr lang="en-US" sz="1000" b="1" baseline="0">
              <a:solidFill>
                <a:schemeClr val="dk1"/>
              </a:solidFill>
              <a:latin typeface="Arial" pitchFamily="34" charset="0"/>
              <a:ea typeface="+mn-ea"/>
              <a:cs typeface="Arial" pitchFamily="34" charset="0"/>
            </a:rPr>
            <a:t> share of total benefits</a:t>
          </a:r>
          <a:r>
            <a:rPr lang="en-US" sz="1000" b="1">
              <a:solidFill>
                <a:schemeClr val="dk1"/>
              </a:solidFill>
              <a:latin typeface="Arial" pitchFamily="34" charset="0"/>
              <a:ea typeface="+mn-ea"/>
              <a:cs typeface="Arial" pitchFamily="34" charset="0"/>
            </a:rPr>
            <a:t> NPV10 and pre-tax IRR at  each price</a:t>
          </a:r>
          <a:r>
            <a:rPr lang="en-US" sz="1000" b="1" baseline="0">
              <a:solidFill>
                <a:schemeClr val="dk1"/>
              </a:solidFill>
              <a:latin typeface="Arial" pitchFamily="34" charset="0"/>
              <a:ea typeface="+mn-ea"/>
              <a:cs typeface="Arial" pitchFamily="34" charset="0"/>
            </a:rPr>
            <a:t> shown in cells G565-L565 and G572-L572 respectively.</a:t>
          </a:r>
          <a:endParaRPr lang="en-US" sz="1000" b="1">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493059</xdr:colOff>
      <xdr:row>483</xdr:row>
      <xdr:rowOff>73356</xdr:rowOff>
    </xdr:from>
    <xdr:to>
      <xdr:col>8</xdr:col>
      <xdr:colOff>205066</xdr:colOff>
      <xdr:row>485</xdr:row>
      <xdr:rowOff>0</xdr:rowOff>
    </xdr:to>
    <xdr:sp macro="" textlink="">
      <xdr:nvSpPr>
        <xdr:cNvPr id="9" name="Right Brace 8">
          <a:extLst>
            <a:ext uri="{FF2B5EF4-FFF2-40B4-BE49-F238E27FC236}">
              <a16:creationId xmlns:a16="http://schemas.microsoft.com/office/drawing/2014/main" id="{00000000-0008-0000-0300-000009000000}"/>
            </a:ext>
          </a:extLst>
        </xdr:cNvPr>
        <xdr:cNvSpPr/>
      </xdr:nvSpPr>
      <xdr:spPr>
        <a:xfrm>
          <a:off x="10551459" y="65186256"/>
          <a:ext cx="359707" cy="314367"/>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8</xdr:col>
      <xdr:colOff>232514</xdr:colOff>
      <xdr:row>483</xdr:row>
      <xdr:rowOff>0</xdr:rowOff>
    </xdr:from>
    <xdr:to>
      <xdr:col>18</xdr:col>
      <xdr:colOff>112058</xdr:colOff>
      <xdr:row>485</xdr:row>
      <xdr:rowOff>123266</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9331690" y="86206853"/>
          <a:ext cx="6479809" cy="504266"/>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ysClr val="windowText" lastClr="000000"/>
              </a:solidFill>
              <a:latin typeface="Arial" pitchFamily="34" charset="0"/>
              <a:ea typeface="+mn-ea"/>
              <a:cs typeface="Arial" pitchFamily="34" charset="0"/>
            </a:rPr>
            <a:t>Step 2. </a:t>
          </a:r>
          <a:r>
            <a:rPr lang="en-US" sz="1000" b="1">
              <a:solidFill>
                <a:schemeClr val="dk1"/>
              </a:solidFill>
              <a:latin typeface="Arial" pitchFamily="34" charset="0"/>
              <a:ea typeface="+mn-ea"/>
              <a:cs typeface="Arial" pitchFamily="34" charset="0"/>
            </a:rPr>
            <a:t>Go to Data -&gt; What if analysis -&gt; Goal seek</a:t>
          </a:r>
          <a:endParaRPr lang="en-US" sz="1050" b="1" u="sng">
            <a:solidFill>
              <a:sysClr val="windowText" lastClr="000000"/>
            </a:solidFill>
            <a:latin typeface="Arial" pitchFamily="34" charset="0"/>
            <a:ea typeface="+mn-ea"/>
            <a:cs typeface="Arial" pitchFamily="34" charset="0"/>
          </a:endParaRPr>
        </a:p>
        <a:p>
          <a:r>
            <a:rPr lang="en-US" sz="1000" b="1">
              <a:solidFill>
                <a:schemeClr val="dk1"/>
              </a:solidFill>
              <a:latin typeface="Arial" pitchFamily="34" charset="0"/>
              <a:ea typeface="+mn-ea"/>
              <a:cs typeface="Arial" pitchFamily="34" charset="0"/>
            </a:rPr>
            <a:t>Goal seek: set cell F484 to bring post-tax IRR to 12.5%, by changing </a:t>
          </a:r>
          <a:r>
            <a:rPr lang="en-US" sz="1000" b="1" baseline="0">
              <a:solidFill>
                <a:schemeClr val="dk1"/>
              </a:solidFill>
              <a:latin typeface="Arial" pitchFamily="34" charset="0"/>
              <a:ea typeface="+mn-ea"/>
              <a:cs typeface="Arial" pitchFamily="34" charset="0"/>
            </a:rPr>
            <a:t>cell F35 (</a:t>
          </a:r>
          <a:r>
            <a:rPr lang="en-US" sz="1000" b="1">
              <a:solidFill>
                <a:schemeClr val="dk1"/>
              </a:solidFill>
              <a:latin typeface="Arial" pitchFamily="34" charset="0"/>
              <a:ea typeface="+mn-ea"/>
              <a:cs typeface="Arial" pitchFamily="34" charset="0"/>
            </a:rPr>
            <a:t>gold smelter </a:t>
          </a:r>
          <a:r>
            <a:rPr lang="en-US" sz="1000" b="1" baseline="0">
              <a:solidFill>
                <a:schemeClr val="dk1"/>
              </a:solidFill>
              <a:latin typeface="Arial" pitchFamily="34" charset="0"/>
              <a:ea typeface="+mn-ea"/>
              <a:cs typeface="Arial" pitchFamily="34" charset="0"/>
            </a:rPr>
            <a:t>price)</a:t>
          </a:r>
          <a:r>
            <a:rPr lang="en-US" sz="1000" b="1">
              <a:solidFill>
                <a:schemeClr val="dk1"/>
              </a:solidFill>
              <a:latin typeface="Arial" pitchFamily="34" charset="0"/>
              <a:ea typeface="+mn-ea"/>
              <a:cs typeface="Arial" pitchFamily="34" charset="0"/>
            </a:rPr>
            <a:t>. </a:t>
          </a:r>
          <a:endParaRPr lang="en-US" sz="1000" b="1">
            <a:latin typeface="Arial" pitchFamily="34" charset="0"/>
            <a:cs typeface="Arial" pitchFamily="34" charset="0"/>
          </a:endParaRPr>
        </a:p>
      </xdr:txBody>
    </xdr:sp>
    <xdr:clientData/>
  </xdr:twoCellAnchor>
  <xdr:twoCellAnchor>
    <xdr:from>
      <xdr:col>5</xdr:col>
      <xdr:colOff>0</xdr:colOff>
      <xdr:row>500</xdr:row>
      <xdr:rowOff>89646</xdr:rowOff>
    </xdr:from>
    <xdr:to>
      <xdr:col>14</xdr:col>
      <xdr:colOff>282389</xdr:colOff>
      <xdr:row>517</xdr:row>
      <xdr:rowOff>51546</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346</xdr:row>
      <xdr:rowOff>67236</xdr:rowOff>
    </xdr:from>
    <xdr:to>
      <xdr:col>14</xdr:col>
      <xdr:colOff>282389</xdr:colOff>
      <xdr:row>363</xdr:row>
      <xdr:rowOff>29136</xdr:rowOff>
    </xdr:to>
    <xdr:graphicFrame macro="">
      <xdr:nvGraphicFramePr>
        <xdr:cNvPr id="18" name="Chart 17">
          <a:extLst>
            <a:ext uri="{FF2B5EF4-FFF2-40B4-BE49-F238E27FC236}">
              <a16:creationId xmlns:a16="http://schemas.microsoft.com/office/drawing/2014/main" id="{00000000-0008-0000-03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22410</xdr:colOff>
      <xdr:row>382</xdr:row>
      <xdr:rowOff>78440</xdr:rowOff>
    </xdr:from>
    <xdr:to>
      <xdr:col>14</xdr:col>
      <xdr:colOff>304799</xdr:colOff>
      <xdr:row>399</xdr:row>
      <xdr:rowOff>40340</xdr:rowOff>
    </xdr:to>
    <xdr:graphicFrame macro="">
      <xdr:nvGraphicFramePr>
        <xdr:cNvPr id="19" name="Chart 18">
          <a:extLst>
            <a:ext uri="{FF2B5EF4-FFF2-40B4-BE49-F238E27FC236}">
              <a16:creationId xmlns:a16="http://schemas.microsoft.com/office/drawing/2014/main" id="{00000000-0008-0000-03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11205</xdr:colOff>
      <xdr:row>413</xdr:row>
      <xdr:rowOff>56028</xdr:rowOff>
    </xdr:from>
    <xdr:to>
      <xdr:col>14</xdr:col>
      <xdr:colOff>293594</xdr:colOff>
      <xdr:row>430</xdr:row>
      <xdr:rowOff>17928</xdr:rowOff>
    </xdr:to>
    <xdr:graphicFrame macro="">
      <xdr:nvGraphicFramePr>
        <xdr:cNvPr id="20" name="Chart 19">
          <a:extLst>
            <a:ext uri="{FF2B5EF4-FFF2-40B4-BE49-F238E27FC236}">
              <a16:creationId xmlns:a16="http://schemas.microsoft.com/office/drawing/2014/main" id="{00000000-0008-0000-03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453</xdr:row>
      <xdr:rowOff>0</xdr:rowOff>
    </xdr:from>
    <xdr:to>
      <xdr:col>12</xdr:col>
      <xdr:colOff>447675</xdr:colOff>
      <xdr:row>461</xdr:row>
      <xdr:rowOff>0</xdr:rowOff>
    </xdr:to>
    <xdr:sp macro="" textlink="">
      <xdr:nvSpPr>
        <xdr:cNvPr id="22" name="Right Brace 21">
          <a:extLst>
            <a:ext uri="{FF2B5EF4-FFF2-40B4-BE49-F238E27FC236}">
              <a16:creationId xmlns:a16="http://schemas.microsoft.com/office/drawing/2014/main" id="{00000000-0008-0000-0300-000016000000}"/>
            </a:ext>
          </a:extLst>
        </xdr:cNvPr>
        <xdr:cNvSpPr/>
      </xdr:nvSpPr>
      <xdr:spPr>
        <a:xfrm>
          <a:off x="11838214" y="85684179"/>
          <a:ext cx="447675" cy="1524000"/>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12</xdr:col>
      <xdr:colOff>506504</xdr:colOff>
      <xdr:row>454</xdr:row>
      <xdr:rowOff>94448</xdr:rowOff>
    </xdr:from>
    <xdr:to>
      <xdr:col>19</xdr:col>
      <xdr:colOff>89648</xdr:colOff>
      <xdr:row>460</xdr:row>
      <xdr:rowOff>27213</xdr:rowOff>
    </xdr:to>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12344718" y="85969127"/>
          <a:ext cx="4223180" cy="1075765"/>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1">
              <a:solidFill>
                <a:schemeClr val="dk1"/>
              </a:solidFill>
              <a:latin typeface="Arial" pitchFamily="34" charset="0"/>
              <a:ea typeface="+mn-ea"/>
              <a:cs typeface="Arial" pitchFamily="34" charset="0"/>
            </a:rPr>
            <a:t>Data table. Press </a:t>
          </a:r>
          <a:r>
            <a:rPr lang="en-US" sz="1100" b="1">
              <a:solidFill>
                <a:schemeClr val="dk1"/>
              </a:solidFill>
              <a:latin typeface="+mn-lt"/>
              <a:ea typeface="+mn-ea"/>
              <a:cs typeface="+mn-cs"/>
            </a:rPr>
            <a:t>the key "F9" </a:t>
          </a:r>
          <a:r>
            <a:rPr lang="en-US" sz="1000" b="1">
              <a:solidFill>
                <a:schemeClr val="dk1"/>
              </a:solidFill>
              <a:latin typeface="Arial" pitchFamily="34" charset="0"/>
              <a:ea typeface="+mn-ea"/>
              <a:cs typeface="Arial" pitchFamily="34" charset="0"/>
            </a:rPr>
            <a:t>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endParaRPr lang="en-US" sz="1000">
            <a:latin typeface="Arial" pitchFamily="34" charset="0"/>
            <a:cs typeface="Arial" pitchFamily="34" charset="0"/>
          </a:endParaRPr>
        </a:p>
        <a:p>
          <a:pPr fontAlgn="base"/>
          <a:endParaRPr lang="en-US" sz="1000" b="1" baseline="0">
            <a:solidFill>
              <a:schemeClr val="dk1"/>
            </a:solidFill>
            <a:latin typeface="Arial" pitchFamily="34" charset="0"/>
            <a:ea typeface="+mn-ea"/>
            <a:cs typeface="Arial" pitchFamily="34" charset="0"/>
          </a:endParaRPr>
        </a:p>
        <a:p>
          <a:r>
            <a:rPr lang="en-US" sz="1000" b="1">
              <a:solidFill>
                <a:schemeClr val="dk1"/>
              </a:solidFill>
              <a:latin typeface="Arial" pitchFamily="34" charset="0"/>
              <a:ea typeface="+mn-ea"/>
              <a:cs typeface="Arial" pitchFamily="34" charset="0"/>
            </a:rPr>
            <a:t>These tables display the government</a:t>
          </a:r>
          <a:r>
            <a:rPr lang="en-US" sz="1000" b="1" baseline="0">
              <a:solidFill>
                <a:schemeClr val="dk1"/>
              </a:solidFill>
              <a:latin typeface="Arial" pitchFamily="34" charset="0"/>
              <a:ea typeface="+mn-ea"/>
              <a:cs typeface="Arial" pitchFamily="34" charset="0"/>
            </a:rPr>
            <a:t> share of total benefits</a:t>
          </a:r>
          <a:r>
            <a:rPr lang="en-US" sz="1000" b="1">
              <a:solidFill>
                <a:schemeClr val="dk1"/>
              </a:solidFill>
              <a:latin typeface="Arial" pitchFamily="34" charset="0"/>
              <a:ea typeface="+mn-ea"/>
              <a:cs typeface="Arial" pitchFamily="34" charset="0"/>
            </a:rPr>
            <a:t> NPV10 and pre-tax IRR at  each price</a:t>
          </a:r>
          <a:r>
            <a:rPr lang="en-US" sz="1000" b="1" baseline="0">
              <a:solidFill>
                <a:schemeClr val="dk1"/>
              </a:solidFill>
              <a:latin typeface="Arial" pitchFamily="34" charset="0"/>
              <a:ea typeface="+mn-ea"/>
              <a:cs typeface="Arial" pitchFamily="34" charset="0"/>
            </a:rPr>
            <a:t> shown in cells G454-L454 and G460-L460 respectively.</a:t>
          </a:r>
          <a:endParaRPr lang="en-US" sz="1000" b="1">
            <a:latin typeface="Arial" pitchFamily="34" charset="0"/>
            <a:cs typeface="Arial" pitchFamily="34" charset="0"/>
          </a:endParaRPr>
        </a:p>
      </xdr:txBody>
    </xdr:sp>
    <xdr:clientData/>
  </xdr:twoCellAnchor>
  <xdr:twoCellAnchor>
    <xdr:from>
      <xdr:col>10</xdr:col>
      <xdr:colOff>44823</xdr:colOff>
      <xdr:row>445</xdr:row>
      <xdr:rowOff>123264</xdr:rowOff>
    </xdr:from>
    <xdr:to>
      <xdr:col>10</xdr:col>
      <xdr:colOff>492498</xdr:colOff>
      <xdr:row>450</xdr:row>
      <xdr:rowOff>123264</xdr:rowOff>
    </xdr:to>
    <xdr:sp macro="" textlink="">
      <xdr:nvSpPr>
        <xdr:cNvPr id="24" name="Right Brace 23">
          <a:extLst>
            <a:ext uri="{FF2B5EF4-FFF2-40B4-BE49-F238E27FC236}">
              <a16:creationId xmlns:a16="http://schemas.microsoft.com/office/drawing/2014/main" id="{00000000-0008-0000-0300-000018000000}"/>
            </a:ext>
          </a:extLst>
        </xdr:cNvPr>
        <xdr:cNvSpPr/>
      </xdr:nvSpPr>
      <xdr:spPr>
        <a:xfrm>
          <a:off x="10107705" y="79124735"/>
          <a:ext cx="447675" cy="952500"/>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10</xdr:col>
      <xdr:colOff>540121</xdr:colOff>
      <xdr:row>445</xdr:row>
      <xdr:rowOff>89647</xdr:rowOff>
    </xdr:from>
    <xdr:to>
      <xdr:col>15</xdr:col>
      <xdr:colOff>448234</xdr:colOff>
      <xdr:row>450</xdr:row>
      <xdr:rowOff>145676</xdr:rowOff>
    </xdr:to>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10972797" y="80066029"/>
          <a:ext cx="3225055" cy="1143000"/>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solidFill>
                <a:schemeClr val="dk1"/>
              </a:solidFill>
              <a:latin typeface="Arial" pitchFamily="34" charset="0"/>
              <a:ea typeface="+mn-ea"/>
              <a:cs typeface="Arial" pitchFamily="34" charset="0"/>
            </a:rPr>
            <a:t>Data table. Press </a:t>
          </a:r>
          <a:r>
            <a:rPr lang="en-US" sz="1100" b="1">
              <a:solidFill>
                <a:schemeClr val="dk1"/>
              </a:solidFill>
              <a:latin typeface="+mn-lt"/>
              <a:ea typeface="+mn-ea"/>
              <a:cs typeface="+mn-cs"/>
            </a:rPr>
            <a:t>the key "F9" </a:t>
          </a:r>
          <a:r>
            <a:rPr lang="en-US" sz="1000" b="1">
              <a:solidFill>
                <a:schemeClr val="dk1"/>
              </a:solidFill>
              <a:latin typeface="Arial" pitchFamily="34" charset="0"/>
              <a:ea typeface="+mn-ea"/>
              <a:cs typeface="Arial" pitchFamily="34" charset="0"/>
            </a:rPr>
            <a:t>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endParaRPr lang="en-US" sz="1000">
            <a:latin typeface="Arial" pitchFamily="34" charset="0"/>
            <a:cs typeface="Arial" pitchFamily="34" charset="0"/>
          </a:endParaRPr>
        </a:p>
        <a:p>
          <a:endParaRPr lang="en-US" sz="1000" b="1">
            <a:latin typeface="Arial" pitchFamily="34" charset="0"/>
            <a:cs typeface="Arial" pitchFamily="34" charset="0"/>
          </a:endParaRPr>
        </a:p>
        <a:p>
          <a:r>
            <a:rPr lang="en-US" sz="1000" b="1">
              <a:latin typeface="Arial" pitchFamily="34" charset="0"/>
              <a:cs typeface="Arial" pitchFamily="34" charset="0"/>
            </a:rPr>
            <a:t>This table displays</a:t>
          </a:r>
          <a:r>
            <a:rPr lang="en-US" sz="1000" b="1" baseline="0">
              <a:latin typeface="Arial" pitchFamily="34" charset="0"/>
              <a:cs typeface="Arial" pitchFamily="34" charset="0"/>
            </a:rPr>
            <a:t> the government share of total benefits at various discount rates by fiscal regime.</a:t>
          </a:r>
          <a:br>
            <a:rPr lang="en-US" sz="1100" b="1"/>
          </a:br>
          <a:endParaRPr lang="en-US" sz="1100" b="1"/>
        </a:p>
      </xdr:txBody>
    </xdr:sp>
    <xdr:clientData/>
  </xdr:twoCellAnchor>
  <xdr:twoCellAnchor>
    <xdr:from>
      <xdr:col>12</xdr:col>
      <xdr:colOff>0</xdr:colOff>
      <xdr:row>432</xdr:row>
      <xdr:rowOff>0</xdr:rowOff>
    </xdr:from>
    <xdr:to>
      <xdr:col>12</xdr:col>
      <xdr:colOff>447675</xdr:colOff>
      <xdr:row>437</xdr:row>
      <xdr:rowOff>0</xdr:rowOff>
    </xdr:to>
    <xdr:sp macro="" textlink="">
      <xdr:nvSpPr>
        <xdr:cNvPr id="26" name="Right Brace 25">
          <a:extLst>
            <a:ext uri="{FF2B5EF4-FFF2-40B4-BE49-F238E27FC236}">
              <a16:creationId xmlns:a16="http://schemas.microsoft.com/office/drawing/2014/main" id="{00000000-0008-0000-0300-00001A000000}"/>
            </a:ext>
          </a:extLst>
        </xdr:cNvPr>
        <xdr:cNvSpPr/>
      </xdr:nvSpPr>
      <xdr:spPr>
        <a:xfrm>
          <a:off x="11732559" y="77499882"/>
          <a:ext cx="447675" cy="952500"/>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12</xdr:col>
      <xdr:colOff>506504</xdr:colOff>
      <xdr:row>432</xdr:row>
      <xdr:rowOff>67235</xdr:rowOff>
    </xdr:from>
    <xdr:to>
      <xdr:col>18</xdr:col>
      <xdr:colOff>616324</xdr:colOff>
      <xdr:row>436</xdr:row>
      <xdr:rowOff>179294</xdr:rowOff>
    </xdr:to>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12239063" y="77567117"/>
          <a:ext cx="4076702" cy="874059"/>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1">
              <a:solidFill>
                <a:schemeClr val="dk1"/>
              </a:solidFill>
              <a:latin typeface="Arial" pitchFamily="34" charset="0"/>
              <a:ea typeface="+mn-ea"/>
              <a:cs typeface="Arial" pitchFamily="34" charset="0"/>
            </a:rPr>
            <a:t>Data table. Press </a:t>
          </a:r>
          <a:r>
            <a:rPr lang="en-US" sz="1100" b="1">
              <a:solidFill>
                <a:schemeClr val="dk1"/>
              </a:solidFill>
              <a:latin typeface="+mn-lt"/>
              <a:ea typeface="+mn-ea"/>
              <a:cs typeface="+mn-cs"/>
            </a:rPr>
            <a:t>the key "F9" </a:t>
          </a:r>
          <a:r>
            <a:rPr lang="en-US" sz="1000" b="1">
              <a:solidFill>
                <a:schemeClr val="dk1"/>
              </a:solidFill>
              <a:latin typeface="Arial" pitchFamily="34" charset="0"/>
              <a:ea typeface="+mn-ea"/>
              <a:cs typeface="Arial" pitchFamily="34" charset="0"/>
            </a:rPr>
            <a:t>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p>
        <a:p>
          <a:endParaRPr lang="en-US" sz="1000" b="1" baseline="0">
            <a:solidFill>
              <a:schemeClr val="dk1"/>
            </a:solidFill>
            <a:latin typeface="Arial" pitchFamily="34" charset="0"/>
            <a:ea typeface="+mn-ea"/>
            <a:cs typeface="Arial" pitchFamily="34" charset="0"/>
          </a:endParaRPr>
        </a:p>
        <a:p>
          <a:r>
            <a:rPr lang="en-US" sz="1000" b="1">
              <a:latin typeface="Arial" pitchFamily="34" charset="0"/>
              <a:cs typeface="Arial" pitchFamily="34" charset="0"/>
            </a:rPr>
            <a:t>This table displays the AETR NPV10 at  each price</a:t>
          </a:r>
          <a:r>
            <a:rPr lang="en-US" sz="1000" b="1" baseline="0">
              <a:latin typeface="Arial" pitchFamily="34" charset="0"/>
              <a:cs typeface="Arial" pitchFamily="34" charset="0"/>
            </a:rPr>
            <a:t> shown in cells G433-L433.</a:t>
          </a:r>
          <a:br>
            <a:rPr lang="en-US" sz="1100" b="1"/>
          </a:br>
          <a:endParaRPr lang="en-US" sz="1100" b="1"/>
        </a:p>
      </xdr:txBody>
    </xdr:sp>
    <xdr:clientData/>
  </xdr:twoCellAnchor>
  <xdr:twoCellAnchor>
    <xdr:from>
      <xdr:col>10</xdr:col>
      <xdr:colOff>11206</xdr:colOff>
      <xdr:row>407</xdr:row>
      <xdr:rowOff>168088</xdr:rowOff>
    </xdr:from>
    <xdr:to>
      <xdr:col>10</xdr:col>
      <xdr:colOff>458881</xdr:colOff>
      <xdr:row>412</xdr:row>
      <xdr:rowOff>67235</xdr:rowOff>
    </xdr:to>
    <xdr:sp macro="" textlink="">
      <xdr:nvSpPr>
        <xdr:cNvPr id="28" name="Right Brace 27">
          <a:extLst>
            <a:ext uri="{FF2B5EF4-FFF2-40B4-BE49-F238E27FC236}">
              <a16:creationId xmlns:a16="http://schemas.microsoft.com/office/drawing/2014/main" id="{00000000-0008-0000-0300-00001C000000}"/>
            </a:ext>
          </a:extLst>
        </xdr:cNvPr>
        <xdr:cNvSpPr/>
      </xdr:nvSpPr>
      <xdr:spPr>
        <a:xfrm>
          <a:off x="10074088" y="71829706"/>
          <a:ext cx="447675" cy="952500"/>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10</xdr:col>
      <xdr:colOff>495298</xdr:colOff>
      <xdr:row>407</xdr:row>
      <xdr:rowOff>179295</xdr:rowOff>
    </xdr:from>
    <xdr:to>
      <xdr:col>16</xdr:col>
      <xdr:colOff>369794</xdr:colOff>
      <xdr:row>412</xdr:row>
      <xdr:rowOff>168089</xdr:rowOff>
    </xdr:to>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10927974" y="72815824"/>
          <a:ext cx="3841379" cy="1042147"/>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eaLnBrk="1" fontAlgn="auto" latinLnBrk="0" hangingPunct="1"/>
          <a:r>
            <a:rPr lang="en-US" sz="1000" b="1">
              <a:solidFill>
                <a:schemeClr val="dk1"/>
              </a:solidFill>
              <a:latin typeface="Arial" pitchFamily="34" charset="0"/>
              <a:ea typeface="+mn-ea"/>
              <a:cs typeface="Arial" pitchFamily="34" charset="0"/>
            </a:rPr>
            <a:t>Data table. Press </a:t>
          </a:r>
          <a:r>
            <a:rPr lang="en-US" sz="1100" b="1">
              <a:solidFill>
                <a:schemeClr val="dk1"/>
              </a:solidFill>
              <a:latin typeface="+mn-lt"/>
              <a:ea typeface="+mn-ea"/>
              <a:cs typeface="+mn-cs"/>
            </a:rPr>
            <a:t>the key "F9" </a:t>
          </a:r>
          <a:r>
            <a:rPr lang="en-US" sz="1000" b="1">
              <a:solidFill>
                <a:schemeClr val="dk1"/>
              </a:solidFill>
              <a:latin typeface="Arial" pitchFamily="34" charset="0"/>
              <a:ea typeface="+mn-ea"/>
              <a:cs typeface="Arial" pitchFamily="34" charset="0"/>
            </a:rPr>
            <a:t>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endParaRPr lang="en-US" sz="1000">
            <a:solidFill>
              <a:schemeClr val="dk1"/>
            </a:solidFill>
            <a:latin typeface="Arial" pitchFamily="34" charset="0"/>
            <a:ea typeface="+mn-ea"/>
            <a:cs typeface="Arial" pitchFamily="34" charset="0"/>
          </a:endParaRPr>
        </a:p>
        <a:p>
          <a:endParaRPr lang="en-US" sz="1000" b="1">
            <a:solidFill>
              <a:schemeClr val="dk1"/>
            </a:solidFill>
            <a:latin typeface="Arial" pitchFamily="34" charset="0"/>
            <a:ea typeface="+mn-ea"/>
            <a:cs typeface="Arial" pitchFamily="34" charset="0"/>
          </a:endParaRPr>
        </a:p>
        <a:p>
          <a:r>
            <a:rPr lang="en-US" sz="1000" b="1">
              <a:solidFill>
                <a:schemeClr val="dk1"/>
              </a:solidFill>
              <a:latin typeface="Arial" pitchFamily="34" charset="0"/>
              <a:ea typeface="+mn-ea"/>
              <a:cs typeface="Arial" pitchFamily="34" charset="0"/>
            </a:rPr>
            <a:t>This table displays</a:t>
          </a:r>
          <a:r>
            <a:rPr lang="en-US" sz="1000" b="1" baseline="0">
              <a:solidFill>
                <a:schemeClr val="dk1"/>
              </a:solidFill>
              <a:latin typeface="Arial" pitchFamily="34" charset="0"/>
              <a:ea typeface="+mn-ea"/>
              <a:cs typeface="Arial" pitchFamily="34" charset="0"/>
            </a:rPr>
            <a:t> the AETR at various discount rates by fiscal regime.</a:t>
          </a:r>
          <a:br>
            <a:rPr lang="en-US" sz="1100" b="1"/>
          </a:br>
          <a:endParaRPr lang="en-US" sz="1100" b="1"/>
        </a:p>
      </xdr:txBody>
    </xdr:sp>
    <xdr:clientData/>
  </xdr:twoCellAnchor>
  <xdr:twoCellAnchor>
    <xdr:from>
      <xdr:col>15</xdr:col>
      <xdr:colOff>246529</xdr:colOff>
      <xdr:row>382</xdr:row>
      <xdr:rowOff>11486</xdr:rowOff>
    </xdr:from>
    <xdr:to>
      <xdr:col>18</xdr:col>
      <xdr:colOff>380719</xdr:colOff>
      <xdr:row>384</xdr:row>
      <xdr:rowOff>78161</xdr:rowOff>
    </xdr:to>
    <xdr:sp macro="" textlink="">
      <xdr:nvSpPr>
        <xdr:cNvPr id="30" name="Right Brace 29">
          <a:extLst>
            <a:ext uri="{FF2B5EF4-FFF2-40B4-BE49-F238E27FC236}">
              <a16:creationId xmlns:a16="http://schemas.microsoft.com/office/drawing/2014/main" id="{00000000-0008-0000-0300-00001E000000}"/>
            </a:ext>
          </a:extLst>
        </xdr:cNvPr>
        <xdr:cNvSpPr/>
      </xdr:nvSpPr>
      <xdr:spPr>
        <a:xfrm rot="5400000">
          <a:off x="14814316" y="67067346"/>
          <a:ext cx="447675" cy="2084013"/>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15</xdr:col>
      <xdr:colOff>67235</xdr:colOff>
      <xdr:row>384</xdr:row>
      <xdr:rowOff>84243</xdr:rowOff>
    </xdr:from>
    <xdr:to>
      <xdr:col>19</xdr:col>
      <xdr:colOff>246530</xdr:colOff>
      <xdr:row>390</xdr:row>
      <xdr:rowOff>100853</xdr:rowOff>
    </xdr:to>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13816853" y="68339272"/>
          <a:ext cx="2779059" cy="1159610"/>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eaLnBrk="1" fontAlgn="auto" latinLnBrk="0" hangingPunct="1"/>
          <a:r>
            <a:rPr lang="en-US" sz="1000" b="1">
              <a:solidFill>
                <a:schemeClr val="dk1"/>
              </a:solidFill>
              <a:latin typeface="Arial" pitchFamily="34" charset="0"/>
              <a:ea typeface="+mn-ea"/>
              <a:cs typeface="Arial" pitchFamily="34" charset="0"/>
            </a:rPr>
            <a:t>Data table. Press </a:t>
          </a:r>
          <a:r>
            <a:rPr lang="en-US" sz="1100" b="1">
              <a:solidFill>
                <a:schemeClr val="dk1"/>
              </a:solidFill>
              <a:latin typeface="+mn-lt"/>
              <a:ea typeface="+mn-ea"/>
              <a:cs typeface="+mn-cs"/>
            </a:rPr>
            <a:t>the key "F9" </a:t>
          </a:r>
          <a:r>
            <a:rPr lang="en-US" sz="1000" b="1">
              <a:solidFill>
                <a:schemeClr val="dk1"/>
              </a:solidFill>
              <a:latin typeface="Arial" pitchFamily="34" charset="0"/>
              <a:ea typeface="+mn-ea"/>
              <a:cs typeface="Arial" pitchFamily="34" charset="0"/>
            </a:rPr>
            <a:t>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endParaRPr lang="en-US" sz="1000">
            <a:solidFill>
              <a:schemeClr val="dk1"/>
            </a:solidFill>
            <a:latin typeface="Arial" pitchFamily="34" charset="0"/>
            <a:ea typeface="+mn-ea"/>
            <a:cs typeface="Arial" pitchFamily="34" charset="0"/>
          </a:endParaRPr>
        </a:p>
        <a:p>
          <a:endParaRPr lang="en-US" sz="1000" b="1">
            <a:solidFill>
              <a:schemeClr val="dk1"/>
            </a:solidFill>
            <a:latin typeface="Arial" pitchFamily="34" charset="0"/>
            <a:ea typeface="+mn-ea"/>
            <a:cs typeface="Arial" pitchFamily="34" charset="0"/>
          </a:endParaRPr>
        </a:p>
        <a:p>
          <a:r>
            <a:rPr lang="en-US" sz="1000" b="1">
              <a:solidFill>
                <a:schemeClr val="dk1"/>
              </a:solidFill>
              <a:latin typeface="Arial" pitchFamily="34" charset="0"/>
              <a:ea typeface="+mn-ea"/>
              <a:cs typeface="Arial" pitchFamily="34" charset="0"/>
            </a:rPr>
            <a:t>This table and the graph</a:t>
          </a:r>
          <a:r>
            <a:rPr lang="en-US" sz="1000" b="1" baseline="0">
              <a:solidFill>
                <a:schemeClr val="dk1"/>
              </a:solidFill>
              <a:latin typeface="Arial" pitchFamily="34" charset="0"/>
              <a:ea typeface="+mn-ea"/>
              <a:cs typeface="Arial" pitchFamily="34" charset="0"/>
            </a:rPr>
            <a:t> to the left </a:t>
          </a:r>
          <a:r>
            <a:rPr lang="en-US" sz="1000" b="1">
              <a:solidFill>
                <a:schemeClr val="dk1"/>
              </a:solidFill>
              <a:latin typeface="Arial" pitchFamily="34" charset="0"/>
              <a:ea typeface="+mn-ea"/>
              <a:cs typeface="Arial" pitchFamily="34" charset="0"/>
            </a:rPr>
            <a:t>display</a:t>
          </a:r>
          <a:r>
            <a:rPr lang="en-US" sz="1000" b="1" baseline="0">
              <a:solidFill>
                <a:schemeClr val="dk1"/>
              </a:solidFill>
              <a:latin typeface="Arial" pitchFamily="34" charset="0"/>
              <a:ea typeface="+mn-ea"/>
              <a:cs typeface="Arial" pitchFamily="34" charset="0"/>
            </a:rPr>
            <a:t> the annual government revenue by fiscal regime.</a:t>
          </a:r>
          <a:br>
            <a:rPr lang="en-US" sz="1100" b="1"/>
          </a:br>
          <a:endParaRPr lang="en-US" sz="1100" b="1"/>
        </a:p>
      </xdr:txBody>
    </xdr:sp>
    <xdr:clientData/>
  </xdr:twoCellAnchor>
  <xdr:twoCellAnchor>
    <xdr:from>
      <xdr:col>10</xdr:col>
      <xdr:colOff>67236</xdr:colOff>
      <xdr:row>365</xdr:row>
      <xdr:rowOff>78441</xdr:rowOff>
    </xdr:from>
    <xdr:to>
      <xdr:col>10</xdr:col>
      <xdr:colOff>514911</xdr:colOff>
      <xdr:row>374</xdr:row>
      <xdr:rowOff>168087</xdr:rowOff>
    </xdr:to>
    <xdr:sp macro="" textlink="">
      <xdr:nvSpPr>
        <xdr:cNvPr id="32" name="Right Brace 31">
          <a:extLst>
            <a:ext uri="{FF2B5EF4-FFF2-40B4-BE49-F238E27FC236}">
              <a16:creationId xmlns:a16="http://schemas.microsoft.com/office/drawing/2014/main" id="{00000000-0008-0000-0300-000020000000}"/>
            </a:ext>
          </a:extLst>
        </xdr:cNvPr>
        <xdr:cNvSpPr/>
      </xdr:nvSpPr>
      <xdr:spPr>
        <a:xfrm>
          <a:off x="10499912" y="64411412"/>
          <a:ext cx="447675" cy="2106704"/>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10</xdr:col>
      <xdr:colOff>493057</xdr:colOff>
      <xdr:row>366</xdr:row>
      <xdr:rowOff>112059</xdr:rowOff>
    </xdr:from>
    <xdr:to>
      <xdr:col>16</xdr:col>
      <xdr:colOff>425823</xdr:colOff>
      <xdr:row>371</xdr:row>
      <xdr:rowOff>67236</xdr:rowOff>
    </xdr:to>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10925733" y="64971706"/>
          <a:ext cx="3899649" cy="874059"/>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solidFill>
                <a:schemeClr val="dk1"/>
              </a:solidFill>
              <a:latin typeface="Arial" pitchFamily="34" charset="0"/>
              <a:ea typeface="+mn-ea"/>
              <a:cs typeface="Arial" pitchFamily="34" charset="0"/>
            </a:rPr>
            <a:t>Data table. Press the key </a:t>
          </a:r>
          <a:r>
            <a:rPr lang="en-US" sz="1100" b="1">
              <a:solidFill>
                <a:schemeClr val="dk1"/>
              </a:solidFill>
              <a:latin typeface="+mn-lt"/>
              <a:ea typeface="+mn-ea"/>
              <a:cs typeface="+mn-cs"/>
            </a:rPr>
            <a:t>"F9" </a:t>
          </a:r>
          <a:r>
            <a:rPr lang="en-US" sz="1000" b="1">
              <a:solidFill>
                <a:schemeClr val="dk1"/>
              </a:solidFill>
              <a:latin typeface="Arial" pitchFamily="34" charset="0"/>
              <a:ea typeface="+mn-ea"/>
              <a:cs typeface="Arial" pitchFamily="34" charset="0"/>
            </a:rPr>
            <a:t>to update after changing any</a:t>
          </a:r>
          <a:r>
            <a:rPr lang="en-US" sz="1000" b="1" baseline="0">
              <a:solidFill>
                <a:schemeClr val="dk1"/>
              </a:solidFill>
              <a:latin typeface="Arial" pitchFamily="34" charset="0"/>
              <a:ea typeface="+mn-ea"/>
              <a:cs typeface="Arial" pitchFamily="34" charset="0"/>
            </a:rPr>
            <a:t> assumptions on the sheet if "Automatic" calculations are off.</a:t>
          </a:r>
          <a:endParaRPr lang="en-US" sz="1000">
            <a:solidFill>
              <a:schemeClr val="dk1"/>
            </a:solidFill>
            <a:latin typeface="Arial" pitchFamily="34" charset="0"/>
            <a:ea typeface="+mn-ea"/>
            <a:cs typeface="Arial" pitchFamily="34" charset="0"/>
          </a:endParaRPr>
        </a:p>
        <a:p>
          <a:endParaRPr lang="en-US" sz="1000" b="1">
            <a:latin typeface="Arial" pitchFamily="34" charset="0"/>
            <a:cs typeface="Arial" pitchFamily="34" charset="0"/>
          </a:endParaRPr>
        </a:p>
        <a:p>
          <a:r>
            <a:rPr lang="en-US" sz="1000" b="1">
              <a:latin typeface="Arial" pitchFamily="34" charset="0"/>
              <a:cs typeface="Arial" pitchFamily="34" charset="0"/>
            </a:rPr>
            <a:t>This table displays</a:t>
          </a:r>
          <a:r>
            <a:rPr lang="en-US" sz="1000" b="1" baseline="0">
              <a:latin typeface="Arial" pitchFamily="34" charset="0"/>
              <a:cs typeface="Arial" pitchFamily="34" charset="0"/>
            </a:rPr>
            <a:t> the revenue that the government receives from each fiscal mechanism over the life of the project</a:t>
          </a:r>
          <a:r>
            <a:rPr lang="en-US" sz="1100" b="1" baseline="0"/>
            <a:t>.</a:t>
          </a:r>
          <a:br>
            <a:rPr lang="en-US" sz="1100" b="1"/>
          </a:br>
          <a:endParaRPr lang="en-US" sz="1100" b="1"/>
        </a:p>
      </xdr:txBody>
    </xdr:sp>
    <xdr:clientData/>
  </xdr:twoCellAnchor>
  <xdr:twoCellAnchor>
    <xdr:from>
      <xdr:col>6</xdr:col>
      <xdr:colOff>139273</xdr:colOff>
      <xdr:row>489</xdr:row>
      <xdr:rowOff>56029</xdr:rowOff>
    </xdr:from>
    <xdr:to>
      <xdr:col>6</xdr:col>
      <xdr:colOff>534840</xdr:colOff>
      <xdr:row>492</xdr:row>
      <xdr:rowOff>145676</xdr:rowOff>
    </xdr:to>
    <xdr:sp macro="" textlink="">
      <xdr:nvSpPr>
        <xdr:cNvPr id="21" name="Right Brace 20">
          <a:extLst>
            <a:ext uri="{FF2B5EF4-FFF2-40B4-BE49-F238E27FC236}">
              <a16:creationId xmlns:a16="http://schemas.microsoft.com/office/drawing/2014/main" id="{00000000-0008-0000-0300-000015000000}"/>
            </a:ext>
          </a:extLst>
        </xdr:cNvPr>
        <xdr:cNvSpPr/>
      </xdr:nvSpPr>
      <xdr:spPr>
        <a:xfrm>
          <a:off x="7871332" y="87630000"/>
          <a:ext cx="395567" cy="661147"/>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6</xdr:col>
      <xdr:colOff>562290</xdr:colOff>
      <xdr:row>489</xdr:row>
      <xdr:rowOff>142473</xdr:rowOff>
    </xdr:from>
    <xdr:to>
      <xdr:col>12</xdr:col>
      <xdr:colOff>537882</xdr:colOff>
      <xdr:row>493</xdr:row>
      <xdr:rowOff>22410</xdr:rowOff>
    </xdr:to>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8294349" y="87716444"/>
          <a:ext cx="3976092" cy="641937"/>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chemeClr val="dk1"/>
              </a:solidFill>
              <a:latin typeface="Arial" pitchFamily="34" charset="0"/>
              <a:ea typeface="+mn-ea"/>
              <a:cs typeface="Arial" pitchFamily="34" charset="0"/>
            </a:rPr>
            <a:t>Step 3. </a:t>
          </a:r>
          <a:r>
            <a:rPr lang="en-US" sz="1000" b="1">
              <a:solidFill>
                <a:schemeClr val="dk1"/>
              </a:solidFill>
              <a:latin typeface="Arial" pitchFamily="34" charset="0"/>
              <a:ea typeface="+mn-ea"/>
              <a:cs typeface="Arial" pitchFamily="34" charset="0"/>
            </a:rPr>
            <a:t>Confirm that cells</a:t>
          </a:r>
          <a:r>
            <a:rPr lang="en-US" sz="1000" b="1" baseline="0">
              <a:solidFill>
                <a:schemeClr val="dk1"/>
              </a:solidFill>
              <a:latin typeface="Arial" pitchFamily="34" charset="0"/>
              <a:ea typeface="+mn-ea"/>
              <a:cs typeface="Arial" pitchFamily="34" charset="0"/>
            </a:rPr>
            <a:t> F484 and F490-F493 are green. If the cells are red, the breakeven price routine has not been run or is not functioning correctly.</a:t>
          </a:r>
          <a:endParaRPr lang="en-US" sz="1000" b="1">
            <a:latin typeface="Arial" pitchFamily="34" charset="0"/>
            <a:cs typeface="Arial" pitchFamily="34" charset="0"/>
          </a:endParaRPr>
        </a:p>
      </xdr:txBody>
    </xdr:sp>
    <xdr:clientData/>
  </xdr:twoCellAnchor>
  <xdr:twoCellAnchor>
    <xdr:from>
      <xdr:col>9</xdr:col>
      <xdr:colOff>100852</xdr:colOff>
      <xdr:row>496</xdr:row>
      <xdr:rowOff>84562</xdr:rowOff>
    </xdr:from>
    <xdr:to>
      <xdr:col>9</xdr:col>
      <xdr:colOff>496419</xdr:colOff>
      <xdr:row>499</xdr:row>
      <xdr:rowOff>78442</xdr:rowOff>
    </xdr:to>
    <xdr:sp macro="" textlink="">
      <xdr:nvSpPr>
        <xdr:cNvPr id="36" name="Right Brace 35">
          <a:extLst>
            <a:ext uri="{FF2B5EF4-FFF2-40B4-BE49-F238E27FC236}">
              <a16:creationId xmlns:a16="http://schemas.microsoft.com/office/drawing/2014/main" id="{00000000-0008-0000-0300-000024000000}"/>
            </a:ext>
          </a:extLst>
        </xdr:cNvPr>
        <xdr:cNvSpPr/>
      </xdr:nvSpPr>
      <xdr:spPr>
        <a:xfrm>
          <a:off x="9883587" y="88992033"/>
          <a:ext cx="395567" cy="565380"/>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9</xdr:col>
      <xdr:colOff>523869</xdr:colOff>
      <xdr:row>496</xdr:row>
      <xdr:rowOff>11206</xdr:rowOff>
    </xdr:from>
    <xdr:to>
      <xdr:col>14</xdr:col>
      <xdr:colOff>456875</xdr:colOff>
      <xdr:row>499</xdr:row>
      <xdr:rowOff>92849</xdr:rowOff>
    </xdr:to>
    <xdr:sp macro="" textlink="">
      <xdr:nvSpPr>
        <xdr:cNvPr id="37" name="TextBox 36">
          <a:extLst>
            <a:ext uri="{FF2B5EF4-FFF2-40B4-BE49-F238E27FC236}">
              <a16:creationId xmlns:a16="http://schemas.microsoft.com/office/drawing/2014/main" id="{00000000-0008-0000-0300-000025000000}"/>
            </a:ext>
          </a:extLst>
        </xdr:cNvPr>
        <xdr:cNvSpPr txBox="1"/>
      </xdr:nvSpPr>
      <xdr:spPr>
        <a:xfrm>
          <a:off x="10306604" y="88918677"/>
          <a:ext cx="3249947" cy="653143"/>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chemeClr val="dk1"/>
              </a:solidFill>
              <a:latin typeface="Arial" pitchFamily="34" charset="0"/>
              <a:ea typeface="+mn-ea"/>
              <a:cs typeface="Arial" pitchFamily="34" charset="0"/>
            </a:rPr>
            <a:t>Step 4. </a:t>
          </a:r>
          <a:r>
            <a:rPr lang="en-US" sz="1000" b="1">
              <a:latin typeface="Arial" pitchFamily="34" charset="0"/>
              <a:cs typeface="Arial" pitchFamily="34" charset="0"/>
            </a:rPr>
            <a:t>Copy and</a:t>
          </a:r>
          <a:r>
            <a:rPr lang="en-US" sz="1000" b="1" baseline="0">
              <a:latin typeface="Arial" pitchFamily="34" charset="0"/>
              <a:cs typeface="Arial" pitchFamily="34" charset="0"/>
            </a:rPr>
            <a:t> paste as values</a:t>
          </a:r>
          <a:r>
            <a:rPr lang="en-US" sz="1000" b="1">
              <a:latin typeface="Arial" pitchFamily="34" charset="0"/>
              <a:cs typeface="Arial" pitchFamily="34" charset="0"/>
            </a:rPr>
            <a:t> the breakeven price calculated in cell F485 a</a:t>
          </a:r>
          <a:r>
            <a:rPr lang="en-US" sz="1000" b="1" baseline="0">
              <a:latin typeface="Arial" pitchFamily="34" charset="0"/>
              <a:cs typeface="Arial" pitchFamily="34" charset="0"/>
            </a:rPr>
            <a:t>nd the METR from cell F493 for each of the regimes analyzed.</a:t>
          </a:r>
          <a:endParaRPr lang="en-US" sz="1000" b="1">
            <a:latin typeface="Arial" pitchFamily="34" charset="0"/>
            <a:cs typeface="Arial" pitchFamily="34" charset="0"/>
          </a:endParaRPr>
        </a:p>
      </xdr:txBody>
    </xdr:sp>
    <xdr:clientData/>
  </xdr:twoCellAnchor>
  <xdr:twoCellAnchor>
    <xdr:from>
      <xdr:col>6</xdr:col>
      <xdr:colOff>33596</xdr:colOff>
      <xdr:row>486</xdr:row>
      <xdr:rowOff>163003</xdr:rowOff>
    </xdr:from>
    <xdr:to>
      <xdr:col>6</xdr:col>
      <xdr:colOff>429161</xdr:colOff>
      <xdr:row>486</xdr:row>
      <xdr:rowOff>347382</xdr:rowOff>
    </xdr:to>
    <xdr:sp macro="" textlink="">
      <xdr:nvSpPr>
        <xdr:cNvPr id="42" name="Right Brace 41">
          <a:extLst>
            <a:ext uri="{FF2B5EF4-FFF2-40B4-BE49-F238E27FC236}">
              <a16:creationId xmlns:a16="http://schemas.microsoft.com/office/drawing/2014/main" id="{00000000-0008-0000-0300-00002A000000}"/>
            </a:ext>
          </a:extLst>
        </xdr:cNvPr>
        <xdr:cNvSpPr/>
      </xdr:nvSpPr>
      <xdr:spPr>
        <a:xfrm>
          <a:off x="7765655" y="86941356"/>
          <a:ext cx="395565" cy="184379"/>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6</xdr:col>
      <xdr:colOff>456610</xdr:colOff>
      <xdr:row>486</xdr:row>
      <xdr:rowOff>67235</xdr:rowOff>
    </xdr:from>
    <xdr:to>
      <xdr:col>16</xdr:col>
      <xdr:colOff>156882</xdr:colOff>
      <xdr:row>487</xdr:row>
      <xdr:rowOff>123265</xdr:rowOff>
    </xdr:to>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8188669" y="86845588"/>
          <a:ext cx="6367772" cy="470648"/>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u="sng">
              <a:solidFill>
                <a:sysClr val="windowText" lastClr="000000"/>
              </a:solidFill>
              <a:latin typeface="Arial" pitchFamily="34" charset="0"/>
              <a:ea typeface="+mn-ea"/>
              <a:cs typeface="Arial" pitchFamily="34" charset="0"/>
            </a:rPr>
            <a:t>Step 1. </a:t>
          </a:r>
          <a:r>
            <a:rPr lang="en-US" sz="1000" b="1">
              <a:solidFill>
                <a:schemeClr val="dk1"/>
              </a:solidFill>
              <a:latin typeface="Arial" pitchFamily="34" charset="0"/>
              <a:ea typeface="+mn-ea"/>
              <a:cs typeface="Arial" pitchFamily="34" charset="0"/>
            </a:rPr>
            <a:t>Save the original price from cell F35 here, before starting the </a:t>
          </a:r>
          <a:r>
            <a:rPr lang="en-US" sz="1000" b="1" baseline="0">
              <a:solidFill>
                <a:schemeClr val="dk1"/>
              </a:solidFill>
              <a:latin typeface="Arial" pitchFamily="34" charset="0"/>
              <a:ea typeface="+mn-ea"/>
              <a:cs typeface="Arial" pitchFamily="34" charset="0"/>
            </a:rPr>
            <a:t>breakeven price </a:t>
          </a:r>
          <a:r>
            <a:rPr lang="en-US" sz="1000" b="1">
              <a:solidFill>
                <a:schemeClr val="dk1"/>
              </a:solidFill>
              <a:latin typeface="Arial" pitchFamily="34" charset="0"/>
              <a:ea typeface="+mn-ea"/>
              <a:cs typeface="Arial" pitchFamily="34" charset="0"/>
            </a:rPr>
            <a:t>analysis . </a:t>
          </a:r>
          <a:endParaRPr lang="en-US" sz="1050" b="1" u="sng">
            <a:solidFill>
              <a:sysClr val="windowText" lastClr="000000"/>
            </a:solidFill>
            <a:latin typeface="Arial" pitchFamily="34" charset="0"/>
            <a:ea typeface="+mn-ea"/>
            <a:cs typeface="Arial" pitchFamily="34" charset="0"/>
          </a:endParaRPr>
        </a:p>
        <a:p>
          <a:r>
            <a:rPr lang="en-US" sz="1100" b="1" u="sng">
              <a:solidFill>
                <a:sysClr val="windowText" lastClr="000000"/>
              </a:solidFill>
              <a:latin typeface="Arial" pitchFamily="34" charset="0"/>
              <a:ea typeface="+mn-ea"/>
              <a:cs typeface="Arial" pitchFamily="34" charset="0"/>
            </a:rPr>
            <a:t>Step 5</a:t>
          </a:r>
          <a:r>
            <a:rPr lang="en-US" sz="1050" b="1">
              <a:solidFill>
                <a:schemeClr val="dk1"/>
              </a:solidFill>
              <a:latin typeface="Arial" pitchFamily="34" charset="0"/>
              <a:ea typeface="+mn-ea"/>
              <a:cs typeface="Arial" pitchFamily="34" charset="0"/>
            </a:rPr>
            <a:t>. </a:t>
          </a:r>
          <a:r>
            <a:rPr lang="en-US" sz="1000" b="1">
              <a:solidFill>
                <a:schemeClr val="dk1"/>
              </a:solidFill>
              <a:latin typeface="Arial" pitchFamily="34" charset="0"/>
              <a:ea typeface="+mn-ea"/>
              <a:cs typeface="Arial" pitchFamily="34" charset="0"/>
            </a:rPr>
            <a:t>To restore</a:t>
          </a:r>
          <a:r>
            <a:rPr lang="en-US" sz="1000" b="1" baseline="0">
              <a:solidFill>
                <a:schemeClr val="dk1"/>
              </a:solidFill>
              <a:latin typeface="Arial" pitchFamily="34" charset="0"/>
              <a:ea typeface="+mn-ea"/>
              <a:cs typeface="Arial" pitchFamily="34" charset="0"/>
            </a:rPr>
            <a:t> </a:t>
          </a:r>
          <a:r>
            <a:rPr lang="en-US" sz="1000" b="1">
              <a:solidFill>
                <a:schemeClr val="dk1"/>
              </a:solidFill>
              <a:latin typeface="Arial" pitchFamily="34" charset="0"/>
              <a:ea typeface="+mn-ea"/>
              <a:cs typeface="Arial" pitchFamily="34" charset="0"/>
            </a:rPr>
            <a:t>the original price in  cell  F35, copy  cell F487  and paste it as a value  in cell F35.</a:t>
          </a:r>
        </a:p>
      </xdr:txBody>
    </xdr:sp>
    <xdr:clientData/>
  </xdr:twoCellAnchor>
  <xdr:twoCellAnchor>
    <xdr:from>
      <xdr:col>10</xdr:col>
      <xdr:colOff>0</xdr:colOff>
      <xdr:row>439</xdr:row>
      <xdr:rowOff>22412</xdr:rowOff>
    </xdr:from>
    <xdr:to>
      <xdr:col>10</xdr:col>
      <xdr:colOff>447675</xdr:colOff>
      <xdr:row>442</xdr:row>
      <xdr:rowOff>162550</xdr:rowOff>
    </xdr:to>
    <xdr:sp macro="" textlink="">
      <xdr:nvSpPr>
        <xdr:cNvPr id="38" name="Right Brace 37">
          <a:extLst>
            <a:ext uri="{FF2B5EF4-FFF2-40B4-BE49-F238E27FC236}">
              <a16:creationId xmlns:a16="http://schemas.microsoft.com/office/drawing/2014/main" id="{00000000-0008-0000-0300-000026000000}"/>
            </a:ext>
          </a:extLst>
        </xdr:cNvPr>
        <xdr:cNvSpPr/>
      </xdr:nvSpPr>
      <xdr:spPr>
        <a:xfrm>
          <a:off x="10432676" y="78855794"/>
          <a:ext cx="447675" cy="711638"/>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10</xdr:col>
      <xdr:colOff>495297</xdr:colOff>
      <xdr:row>438</xdr:row>
      <xdr:rowOff>179294</xdr:rowOff>
    </xdr:from>
    <xdr:to>
      <xdr:col>20</xdr:col>
      <xdr:colOff>481852</xdr:colOff>
      <xdr:row>443</xdr:row>
      <xdr:rowOff>78442</xdr:rowOff>
    </xdr:to>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10927973" y="78822176"/>
          <a:ext cx="6553203" cy="851648"/>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1">
              <a:latin typeface="Arial" pitchFamily="34" charset="0"/>
              <a:cs typeface="Arial" pitchFamily="34" charset="0"/>
            </a:rPr>
            <a:t>This</a:t>
          </a:r>
          <a:r>
            <a:rPr lang="en-US" sz="1000" b="1" baseline="0">
              <a:latin typeface="Arial" pitchFamily="34" charset="0"/>
              <a:cs typeface="Arial" pitchFamily="34" charset="0"/>
            </a:rPr>
            <a:t> shows the government share of total benefits for the regime selected in cell F7.  The government share of total benefits is  the project-life government revenue divided by the total benefits.</a:t>
          </a:r>
        </a:p>
        <a:p>
          <a:endParaRPr lang="en-US" sz="1000" b="1" baseline="0">
            <a:latin typeface="Arial" pitchFamily="34" charset="0"/>
            <a:cs typeface="Arial" pitchFamily="34" charset="0"/>
          </a:endParaRPr>
        </a:p>
        <a:p>
          <a:r>
            <a:rPr lang="en-US" sz="1000" b="1" baseline="0">
              <a:latin typeface="Arial" pitchFamily="34" charset="0"/>
              <a:cs typeface="Arial" pitchFamily="34" charset="0"/>
            </a:rPr>
            <a:t>Total benefits are equal to revenue less operating costs, replacement capital costs after after start up and decommissioning costs.</a:t>
          </a:r>
          <a:endParaRPr lang="en-US" sz="1000" b="1">
            <a:latin typeface="Arial" pitchFamily="34" charset="0"/>
            <a:cs typeface="Arial" pitchFamily="34" charset="0"/>
          </a:endParaRPr>
        </a:p>
      </xdr:txBody>
    </xdr:sp>
    <xdr:clientData/>
  </xdr:twoCellAnchor>
  <xdr:twoCellAnchor>
    <xdr:from>
      <xdr:col>10</xdr:col>
      <xdr:colOff>0</xdr:colOff>
      <xdr:row>401</xdr:row>
      <xdr:rowOff>33618</xdr:rowOff>
    </xdr:from>
    <xdr:to>
      <xdr:col>10</xdr:col>
      <xdr:colOff>447675</xdr:colOff>
      <xdr:row>404</xdr:row>
      <xdr:rowOff>141038</xdr:rowOff>
    </xdr:to>
    <xdr:sp macro="" textlink="">
      <xdr:nvSpPr>
        <xdr:cNvPr id="40" name="Right Brace 39">
          <a:extLst>
            <a:ext uri="{FF2B5EF4-FFF2-40B4-BE49-F238E27FC236}">
              <a16:creationId xmlns:a16="http://schemas.microsoft.com/office/drawing/2014/main" id="{00000000-0008-0000-0300-000028000000}"/>
            </a:ext>
          </a:extLst>
        </xdr:cNvPr>
        <xdr:cNvSpPr/>
      </xdr:nvSpPr>
      <xdr:spPr>
        <a:xfrm>
          <a:off x="10432676" y="71527147"/>
          <a:ext cx="447675" cy="678920"/>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10</xdr:col>
      <xdr:colOff>495297</xdr:colOff>
      <xdr:row>401</xdr:row>
      <xdr:rowOff>22411</xdr:rowOff>
    </xdr:from>
    <xdr:to>
      <xdr:col>19</xdr:col>
      <xdr:colOff>134470</xdr:colOff>
      <xdr:row>405</xdr:row>
      <xdr:rowOff>0</xdr:rowOff>
    </xdr:to>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10927973" y="71515940"/>
          <a:ext cx="5555879" cy="739589"/>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latin typeface="Arial" pitchFamily="34" charset="0"/>
              <a:cs typeface="Arial" pitchFamily="34" charset="0"/>
            </a:rPr>
            <a:t>This</a:t>
          </a:r>
          <a:r>
            <a:rPr lang="en-US" sz="1000" b="1" baseline="0">
              <a:latin typeface="Arial" pitchFamily="34" charset="0"/>
              <a:cs typeface="Arial" pitchFamily="34" charset="0"/>
            </a:rPr>
            <a:t> shows the Average Effective Tax Rate (AETR) for the regime selected in cell F7.  </a:t>
          </a:r>
        </a:p>
        <a:p>
          <a:pPr marL="0" marR="0" indent="0" defTabSz="914400" eaLnBrk="1" fontAlgn="auto" latinLnBrk="0" hangingPunct="1">
            <a:lnSpc>
              <a:spcPct val="100000"/>
            </a:lnSpc>
            <a:spcBef>
              <a:spcPts val="0"/>
            </a:spcBef>
            <a:spcAft>
              <a:spcPts val="0"/>
            </a:spcAft>
            <a:buClrTx/>
            <a:buSzTx/>
            <a:buFontTx/>
            <a:buNone/>
            <a:tabLst/>
            <a:defRPr/>
          </a:pPr>
          <a:endParaRPr lang="en-US" sz="1000" b="1" baseline="0">
            <a:latin typeface="Arial" pitchFamily="34" charset="0"/>
            <a:cs typeface="Arial"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000" b="1" baseline="0">
              <a:latin typeface="Arial" pitchFamily="34" charset="0"/>
              <a:cs typeface="Arial" pitchFamily="34" charset="0"/>
            </a:rPr>
            <a:t>The AETR is the ratio of the NPV of government revenue to the NPV of the pre-tax net cash flows of a successful project, both calculated in discounted values.</a:t>
          </a:r>
        </a:p>
      </xdr:txBody>
    </xdr:sp>
    <xdr:clientData/>
  </xdr:twoCellAnchor>
  <xdr:twoCellAnchor>
    <xdr:from>
      <xdr:col>15</xdr:col>
      <xdr:colOff>358588</xdr:colOff>
      <xdr:row>346</xdr:row>
      <xdr:rowOff>56030</xdr:rowOff>
    </xdr:from>
    <xdr:to>
      <xdr:col>18</xdr:col>
      <xdr:colOff>492778</xdr:colOff>
      <xdr:row>348</xdr:row>
      <xdr:rowOff>122705</xdr:rowOff>
    </xdr:to>
    <xdr:sp macro="" textlink="">
      <xdr:nvSpPr>
        <xdr:cNvPr id="44" name="Right Brace 43">
          <a:extLst>
            <a:ext uri="{FF2B5EF4-FFF2-40B4-BE49-F238E27FC236}">
              <a16:creationId xmlns:a16="http://schemas.microsoft.com/office/drawing/2014/main" id="{00000000-0008-0000-0300-00002C000000}"/>
            </a:ext>
          </a:extLst>
        </xdr:cNvPr>
        <xdr:cNvSpPr/>
      </xdr:nvSpPr>
      <xdr:spPr>
        <a:xfrm rot="5400000">
          <a:off x="14926375" y="59951332"/>
          <a:ext cx="447675" cy="2084013"/>
        </a:xfrm>
        <a:prstGeom prst="rightBrace">
          <a:avLst/>
        </a:prstGeom>
        <a:ln>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pPr algn="ctr"/>
          <a:endParaRPr lang="en-US" sz="1100"/>
        </a:p>
      </xdr:txBody>
    </xdr:sp>
    <xdr:clientData/>
  </xdr:twoCellAnchor>
  <xdr:twoCellAnchor>
    <xdr:from>
      <xdr:col>15</xdr:col>
      <xdr:colOff>212912</xdr:colOff>
      <xdr:row>348</xdr:row>
      <xdr:rowOff>72757</xdr:rowOff>
    </xdr:from>
    <xdr:to>
      <xdr:col>19</xdr:col>
      <xdr:colOff>392207</xdr:colOff>
      <xdr:row>352</xdr:row>
      <xdr:rowOff>168088</xdr:rowOff>
    </xdr:to>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13962530" y="61167228"/>
          <a:ext cx="2779059" cy="857331"/>
        </a:xfrm>
        <a:prstGeom prst="rect">
          <a:avLst/>
        </a:prstGeom>
        <a:solidFill>
          <a:schemeClr val="lt1"/>
        </a:solid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000" b="1">
              <a:solidFill>
                <a:schemeClr val="dk1"/>
              </a:solidFill>
              <a:latin typeface="Arial" pitchFamily="34" charset="0"/>
              <a:ea typeface="+mn-ea"/>
              <a:cs typeface="Arial" pitchFamily="34" charset="0"/>
            </a:rPr>
            <a:t>This table and the graph</a:t>
          </a:r>
          <a:r>
            <a:rPr lang="en-US" sz="1000" b="1" baseline="0">
              <a:solidFill>
                <a:schemeClr val="dk1"/>
              </a:solidFill>
              <a:latin typeface="Arial" pitchFamily="34" charset="0"/>
              <a:ea typeface="+mn-ea"/>
              <a:cs typeface="Arial" pitchFamily="34" charset="0"/>
            </a:rPr>
            <a:t> to the left </a:t>
          </a:r>
          <a:r>
            <a:rPr lang="en-US" sz="1000" b="1">
              <a:solidFill>
                <a:schemeClr val="dk1"/>
              </a:solidFill>
              <a:latin typeface="Arial" pitchFamily="34" charset="0"/>
              <a:ea typeface="+mn-ea"/>
              <a:cs typeface="Arial" pitchFamily="34" charset="0"/>
            </a:rPr>
            <a:t>display</a:t>
          </a:r>
          <a:r>
            <a:rPr lang="en-US" sz="1000" b="1" baseline="0">
              <a:solidFill>
                <a:schemeClr val="dk1"/>
              </a:solidFill>
              <a:latin typeface="Arial" pitchFamily="34" charset="0"/>
              <a:ea typeface="+mn-ea"/>
              <a:cs typeface="Arial" pitchFamily="34" charset="0"/>
            </a:rPr>
            <a:t> the annual government revenue for each fiscal mechanism and the project pre-tax cash flow for the regime selected in cell F7.</a:t>
          </a:r>
          <a:br>
            <a:rPr lang="en-US" sz="1100" b="1"/>
          </a:br>
          <a:endParaRPr lang="en-US" sz="1100" b="1"/>
        </a:p>
      </xdr:txBody>
    </xdr:sp>
    <xdr:clientData/>
  </xdr:twoCellAnchor>
  <xdr:twoCellAnchor>
    <xdr:from>
      <xdr:col>5</xdr:col>
      <xdr:colOff>40821</xdr:colOff>
      <xdr:row>461</xdr:row>
      <xdr:rowOff>149677</xdr:rowOff>
    </xdr:from>
    <xdr:to>
      <xdr:col>14</xdr:col>
      <xdr:colOff>603356</xdr:colOff>
      <xdr:row>481</xdr:row>
      <xdr:rowOff>108856</xdr:rowOff>
    </xdr:to>
    <xdr:graphicFrame macro="">
      <xdr:nvGraphicFramePr>
        <xdr:cNvPr id="46" name="Chart 45">
          <a:extLst>
            <a:ext uri="{FF2B5EF4-FFF2-40B4-BE49-F238E27FC236}">
              <a16:creationId xmlns:a16="http://schemas.microsoft.com/office/drawing/2014/main" id="{00000000-0008-0000-0300-00002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package" Target="../embeddings/Microsoft_Word_Document2.docx"/><Relationship Id="rId5" Type="http://schemas.openxmlformats.org/officeDocument/2006/relationships/image" Target="../media/image3.emf"/><Relationship Id="rId4" Type="http://schemas.openxmlformats.org/officeDocument/2006/relationships/package" Target="../embeddings/Microsoft_Word_Document1.docx"/></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33"/>
  <sheetViews>
    <sheetView topLeftCell="A26" zoomScale="61" workbookViewId="0">
      <selection activeCell="D32" sqref="D32"/>
    </sheetView>
  </sheetViews>
  <sheetFormatPr baseColWidth="10" defaultColWidth="0" defaultRowHeight="15" customHeight="1" zeroHeight="1"/>
  <cols>
    <col min="1" max="11" width="9.1796875" style="315" customWidth="1"/>
    <col min="12" max="16384" width="9.1796875" style="315" hidden="1"/>
  </cols>
  <sheetData>
    <row r="1" spans="1:11" ht="14.5"/>
    <row r="2" spans="1:11" ht="14.5"/>
    <row r="3" spans="1:11" ht="14.5"/>
    <row r="4" spans="1:11" ht="20">
      <c r="D4" s="506" t="s">
        <v>309</v>
      </c>
      <c r="E4" s="507"/>
      <c r="F4" s="507"/>
      <c r="G4" s="507"/>
      <c r="H4" s="507"/>
    </row>
    <row r="5" spans="1:11" ht="14.5"/>
    <row r="6" spans="1:11" ht="15" customHeight="1">
      <c r="A6" s="491"/>
      <c r="B6" s="491"/>
      <c r="C6" s="491"/>
      <c r="D6" s="491"/>
      <c r="E6" s="491"/>
      <c r="F6" s="491"/>
      <c r="G6" s="491"/>
      <c r="H6" s="491"/>
      <c r="I6" s="491"/>
      <c r="J6" s="491"/>
      <c r="K6" s="491"/>
    </row>
    <row r="7" spans="1:11" ht="14.5">
      <c r="A7" s="491"/>
      <c r="B7" s="491"/>
      <c r="C7" s="491"/>
      <c r="D7" s="491"/>
      <c r="E7" s="491"/>
      <c r="F7" s="491"/>
      <c r="G7" s="491"/>
      <c r="H7" s="491"/>
      <c r="I7" s="491"/>
      <c r="J7" s="491"/>
      <c r="K7" s="491"/>
    </row>
    <row r="8" spans="1:11" ht="14.5">
      <c r="A8" s="491"/>
      <c r="B8" s="491"/>
      <c r="C8" s="491"/>
      <c r="D8" s="491"/>
      <c r="E8" s="491"/>
      <c r="F8" s="491"/>
      <c r="G8" s="491"/>
      <c r="H8" s="491"/>
      <c r="I8" s="491"/>
      <c r="J8" s="491"/>
      <c r="K8" s="491"/>
    </row>
    <row r="9" spans="1:11" ht="14.5">
      <c r="A9" s="491"/>
      <c r="B9" s="491"/>
      <c r="C9" s="491"/>
      <c r="D9" s="491"/>
      <c r="E9" s="491"/>
      <c r="F9" s="491"/>
      <c r="G9" s="491"/>
      <c r="H9" s="491"/>
      <c r="I9" s="491"/>
      <c r="J9" s="491"/>
      <c r="K9" s="491"/>
    </row>
    <row r="10" spans="1:11" ht="14.5">
      <c r="A10" s="491"/>
      <c r="B10" s="491"/>
      <c r="C10" s="491"/>
      <c r="D10" s="491"/>
      <c r="E10" s="491"/>
      <c r="F10" s="491"/>
      <c r="G10" s="491"/>
      <c r="H10" s="491"/>
      <c r="I10" s="491"/>
      <c r="J10" s="491"/>
      <c r="K10" s="491"/>
    </row>
    <row r="11" spans="1:11" ht="14.5">
      <c r="A11" s="491"/>
      <c r="B11" s="491"/>
      <c r="C11" s="491"/>
      <c r="D11" s="491"/>
      <c r="E11" s="491"/>
      <c r="F11" s="491"/>
      <c r="G11" s="491"/>
      <c r="H11" s="491"/>
      <c r="I11" s="491"/>
      <c r="J11" s="491"/>
      <c r="K11" s="491"/>
    </row>
    <row r="12" spans="1:11" ht="14.5">
      <c r="A12" s="491"/>
      <c r="B12" s="491"/>
      <c r="C12" s="491"/>
      <c r="D12" s="491"/>
      <c r="E12" s="491"/>
      <c r="F12" s="491"/>
      <c r="G12" s="491"/>
      <c r="H12" s="491"/>
      <c r="I12" s="491"/>
      <c r="J12" s="491"/>
      <c r="K12" s="491"/>
    </row>
    <row r="13" spans="1:11" ht="14.5">
      <c r="A13" s="491"/>
      <c r="B13" s="491"/>
      <c r="C13" s="491"/>
      <c r="D13" s="491"/>
      <c r="E13" s="491"/>
      <c r="F13" s="491"/>
      <c r="G13" s="491"/>
      <c r="H13" s="491"/>
      <c r="I13" s="491"/>
      <c r="J13" s="491"/>
      <c r="K13" s="491"/>
    </row>
    <row r="14" spans="1:11" ht="14.5">
      <c r="A14" s="491"/>
      <c r="B14" s="491"/>
      <c r="C14" s="491"/>
      <c r="D14" s="491"/>
      <c r="E14" s="491"/>
      <c r="F14" s="491"/>
      <c r="G14" s="491"/>
      <c r="H14" s="491"/>
      <c r="I14" s="491"/>
      <c r="J14" s="491"/>
      <c r="K14" s="491"/>
    </row>
    <row r="15" spans="1:11" ht="14.5">
      <c r="A15" s="491"/>
      <c r="B15" s="491"/>
      <c r="C15" s="491"/>
      <c r="D15" s="491"/>
      <c r="E15" s="491"/>
      <c r="F15" s="491"/>
      <c r="G15" s="491"/>
      <c r="H15" s="491"/>
      <c r="I15" s="491"/>
      <c r="J15" s="491"/>
      <c r="K15" s="491"/>
    </row>
    <row r="16" spans="1:11" ht="14.5">
      <c r="A16" s="491"/>
      <c r="B16" s="491"/>
      <c r="C16" s="491"/>
      <c r="D16" s="491"/>
      <c r="E16" s="491"/>
      <c r="F16" s="491"/>
      <c r="G16" s="491"/>
      <c r="H16" s="491"/>
      <c r="I16" s="491"/>
      <c r="J16" s="491"/>
      <c r="K16" s="491"/>
    </row>
    <row r="17" spans="1:11" ht="14.5">
      <c r="A17" s="491"/>
      <c r="B17" s="491"/>
      <c r="C17" s="491"/>
      <c r="D17" s="491"/>
      <c r="E17" s="491"/>
      <c r="F17" s="491"/>
      <c r="G17" s="491"/>
      <c r="H17" s="491"/>
      <c r="I17" s="491"/>
      <c r="J17" s="491"/>
      <c r="K17" s="491"/>
    </row>
    <row r="18" spans="1:11" ht="14.5">
      <c r="A18" s="491"/>
      <c r="B18" s="491"/>
      <c r="C18" s="491"/>
      <c r="D18" s="491"/>
      <c r="E18" s="491"/>
      <c r="F18" s="491"/>
      <c r="G18" s="491"/>
      <c r="H18" s="491"/>
      <c r="I18" s="491"/>
      <c r="J18" s="491"/>
      <c r="K18" s="491"/>
    </row>
    <row r="19" spans="1:11" ht="14.5">
      <c r="A19" s="491"/>
      <c r="B19" s="491"/>
      <c r="C19" s="491"/>
      <c r="D19" s="491"/>
      <c r="E19" s="491"/>
      <c r="F19" s="491"/>
      <c r="G19" s="491"/>
      <c r="H19" s="491"/>
      <c r="I19" s="491"/>
      <c r="J19" s="491"/>
      <c r="K19" s="491"/>
    </row>
    <row r="20" spans="1:11" ht="14.5">
      <c r="A20" s="491"/>
      <c r="B20" s="491"/>
      <c r="C20" s="491"/>
      <c r="D20" s="491"/>
      <c r="E20" s="491"/>
      <c r="F20" s="491"/>
      <c r="G20" s="491"/>
      <c r="H20" s="491"/>
      <c r="I20" s="491"/>
      <c r="J20" s="491"/>
      <c r="K20" s="491"/>
    </row>
    <row r="21" spans="1:11" ht="14.5">
      <c r="A21" s="491"/>
      <c r="B21" s="491"/>
      <c r="C21" s="491"/>
      <c r="D21" s="491"/>
      <c r="E21" s="491"/>
      <c r="F21" s="491"/>
      <c r="G21" s="491"/>
      <c r="H21" s="491"/>
      <c r="I21" s="491"/>
      <c r="J21" s="491"/>
      <c r="K21" s="491"/>
    </row>
    <row r="22" spans="1:11" ht="14.5">
      <c r="A22" s="491"/>
      <c r="B22" s="491"/>
      <c r="C22" s="491"/>
      <c r="D22" s="491"/>
      <c r="E22" s="491"/>
      <c r="F22" s="491"/>
      <c r="G22" s="491"/>
      <c r="H22" s="491"/>
      <c r="I22" s="491"/>
      <c r="J22" s="491"/>
      <c r="K22" s="491"/>
    </row>
    <row r="23" spans="1:11" ht="14.5">
      <c r="A23" s="491"/>
      <c r="B23" s="491"/>
      <c r="C23" s="491"/>
      <c r="D23" s="491"/>
      <c r="E23" s="491"/>
      <c r="F23" s="491"/>
      <c r="G23" s="491"/>
      <c r="H23" s="491"/>
      <c r="I23" s="491"/>
      <c r="J23" s="491"/>
      <c r="K23" s="491"/>
    </row>
    <row r="24" spans="1:11" ht="14.5">
      <c r="A24" s="491"/>
      <c r="B24" s="491"/>
      <c r="C24" s="491"/>
      <c r="D24" s="491"/>
      <c r="E24" s="491"/>
      <c r="F24" s="491"/>
      <c r="G24" s="491"/>
      <c r="H24" s="491"/>
      <c r="I24" s="491"/>
      <c r="J24" s="491"/>
      <c r="K24" s="491"/>
    </row>
    <row r="25" spans="1:11" ht="14.5">
      <c r="A25" s="491"/>
      <c r="B25" s="491"/>
      <c r="C25" s="491"/>
      <c r="D25" s="491"/>
      <c r="E25" s="491"/>
      <c r="F25" s="491"/>
      <c r="G25" s="491"/>
      <c r="H25" s="491"/>
      <c r="I25" s="491"/>
      <c r="J25" s="491"/>
      <c r="K25" s="491"/>
    </row>
    <row r="26" spans="1:11" ht="14.5">
      <c r="A26" s="491"/>
      <c r="B26" s="491"/>
      <c r="C26" s="491"/>
      <c r="D26" s="491"/>
      <c r="E26" s="491"/>
      <c r="F26" s="491"/>
      <c r="G26" s="491"/>
      <c r="H26" s="491"/>
      <c r="I26" s="491"/>
      <c r="J26" s="491"/>
      <c r="K26" s="491"/>
    </row>
    <row r="27" spans="1:11" ht="14.5">
      <c r="A27" s="491"/>
      <c r="B27" s="491"/>
      <c r="C27" s="491"/>
      <c r="D27" s="491"/>
      <c r="E27" s="491"/>
      <c r="F27" s="491"/>
      <c r="G27" s="491"/>
      <c r="H27" s="491"/>
      <c r="I27" s="491"/>
      <c r="J27" s="491"/>
      <c r="K27" s="491"/>
    </row>
    <row r="28" spans="1:11" ht="14.5">
      <c r="A28" s="491"/>
      <c r="B28" s="491"/>
      <c r="C28" s="491"/>
      <c r="D28" s="491"/>
      <c r="E28" s="491"/>
      <c r="F28" s="491"/>
      <c r="G28" s="491"/>
      <c r="H28" s="491"/>
      <c r="I28" s="491"/>
      <c r="J28" s="491"/>
      <c r="K28" s="491"/>
    </row>
    <row r="29" spans="1:11" ht="14.5">
      <c r="A29" s="490"/>
      <c r="B29" s="490"/>
      <c r="C29" s="490"/>
      <c r="D29" s="490"/>
      <c r="E29" s="490"/>
      <c r="F29" s="490"/>
      <c r="G29" s="490"/>
      <c r="H29" s="490"/>
      <c r="I29" s="490"/>
      <c r="J29" s="490"/>
      <c r="K29" s="490"/>
    </row>
    <row r="30" spans="1:11" ht="14.5">
      <c r="A30" s="490"/>
      <c r="B30" s="490"/>
      <c r="C30" s="490"/>
      <c r="D30" s="490"/>
      <c r="E30" s="490"/>
      <c r="F30" s="490"/>
      <c r="G30" s="490"/>
      <c r="H30" s="490"/>
      <c r="I30" s="490"/>
      <c r="J30" s="490"/>
      <c r="K30" s="490"/>
    </row>
    <row r="31" spans="1:11" ht="14.5"/>
    <row r="32" spans="1:11" ht="14.5"/>
    <row r="33" ht="14.5" hidden="1"/>
  </sheetData>
  <sheetProtection formatCells="0" formatColumns="0" formatRows="0" insertColumns="0" insertRows="0" insertHyperlinks="0" deleteColumns="0" deleteRows="0" sort="0" autoFilter="0"/>
  <mergeCells count="1">
    <mergeCell ref="D4:H4"/>
  </mergeCell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027" r:id="rId4">
          <objectPr defaultSize="0" r:id="rId5">
            <anchor moveWithCells="1">
              <from>
                <xdr:col>0</xdr:col>
                <xdr:colOff>95250</xdr:colOff>
                <xdr:row>0</xdr:row>
                <xdr:rowOff>0</xdr:rowOff>
              </from>
              <to>
                <xdr:col>10</xdr:col>
                <xdr:colOff>628650</xdr:colOff>
                <xdr:row>22</xdr:row>
                <xdr:rowOff>152400</xdr:rowOff>
              </to>
            </anchor>
          </objectPr>
        </oleObject>
      </mc:Choice>
      <mc:Fallback>
        <oleObject progId="Word.Document.12" shapeId="1027"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Accept">
                <anchor moveWithCells="1" sizeWithCells="1">
                  <from>
                    <xdr:col>2</xdr:col>
                    <xdr:colOff>400050</xdr:colOff>
                    <xdr:row>29</xdr:row>
                    <xdr:rowOff>88900</xdr:rowOff>
                  </from>
                  <to>
                    <xdr:col>4</xdr:col>
                    <xdr:colOff>469900</xdr:colOff>
                    <xdr:row>31</xdr:row>
                    <xdr:rowOff>76200</xdr:rowOff>
                  </to>
                </anchor>
              </controlPr>
            </control>
          </mc:Choice>
        </mc:AlternateContent>
        <mc:AlternateContent xmlns:mc="http://schemas.openxmlformats.org/markup-compatibility/2006">
          <mc:Choice Requires="x14">
            <control shapeId="1026" r:id="rId7" name="Button 2">
              <controlPr defaultSize="0" print="0" autoFill="0" autoPict="0" macro="[0]!_xludf.Quit">
                <anchor moveWithCells="1" sizeWithCells="1">
                  <from>
                    <xdr:col>5</xdr:col>
                    <xdr:colOff>527050</xdr:colOff>
                    <xdr:row>29</xdr:row>
                    <xdr:rowOff>88900</xdr:rowOff>
                  </from>
                  <to>
                    <xdr:col>7</xdr:col>
                    <xdr:colOff>590550</xdr:colOff>
                    <xdr:row>31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X54"/>
  <sheetViews>
    <sheetView showGridLines="0" topLeftCell="B92" zoomScale="42" zoomScaleNormal="85" workbookViewId="0"/>
  </sheetViews>
  <sheetFormatPr baseColWidth="10" defaultColWidth="9.1796875" defaultRowHeight="14"/>
  <cols>
    <col min="1" max="1" width="1.453125" style="318" customWidth="1"/>
    <col min="2" max="2" width="20.54296875" style="318" customWidth="1"/>
    <col min="3" max="3" width="7.81640625" style="318" customWidth="1"/>
    <col min="4" max="4" width="13.81640625" style="332" customWidth="1"/>
    <col min="5" max="5" width="12.453125" style="333" customWidth="1"/>
    <col min="6" max="6" width="15" style="334" customWidth="1"/>
    <col min="7" max="7" width="12.26953125" style="318" customWidth="1"/>
    <col min="8" max="8" width="9.1796875" style="318"/>
    <col min="9" max="10" width="14" style="318" customWidth="1"/>
    <col min="11" max="16384" width="9.1796875" style="318"/>
  </cols>
  <sheetData>
    <row r="1" spans="1:24" ht="14.5" thickBot="1">
      <c r="B1" s="331"/>
    </row>
    <row r="2" spans="1:24">
      <c r="B2" s="319" t="s">
        <v>314</v>
      </c>
      <c r="C2" s="320"/>
      <c r="D2" s="321" t="s">
        <v>316</v>
      </c>
      <c r="E2" s="322"/>
      <c r="F2" s="323"/>
      <c r="G2" s="320"/>
      <c r="H2" s="320"/>
      <c r="I2" s="341"/>
    </row>
    <row r="3" spans="1:24" ht="15.75" customHeight="1">
      <c r="B3" s="324" t="s">
        <v>315</v>
      </c>
      <c r="C3" s="325"/>
      <c r="D3" s="508" t="s">
        <v>320</v>
      </c>
      <c r="E3" s="508"/>
      <c r="F3" s="508"/>
      <c r="G3" s="508"/>
      <c r="H3" s="325"/>
      <c r="I3" s="342"/>
    </row>
    <row r="4" spans="1:24">
      <c r="B4" s="324" t="s">
        <v>310</v>
      </c>
      <c r="C4" s="325"/>
      <c r="D4" s="326" t="s">
        <v>311</v>
      </c>
      <c r="E4" s="327"/>
      <c r="F4" s="328"/>
      <c r="G4" s="325"/>
      <c r="H4" s="325"/>
      <c r="I4" s="342"/>
    </row>
    <row r="5" spans="1:24" ht="14.5" thickBot="1">
      <c r="B5" s="324"/>
      <c r="C5" s="325"/>
      <c r="D5" s="412"/>
      <c r="E5" s="327"/>
      <c r="F5" s="328"/>
      <c r="G5" s="325"/>
      <c r="H5" s="325"/>
      <c r="I5" s="342"/>
    </row>
    <row r="6" spans="1:24" ht="14.5" thickBot="1">
      <c r="B6" s="329" t="s">
        <v>328</v>
      </c>
      <c r="C6" s="330"/>
      <c r="D6" s="354" t="b">
        <f>AND(C10:C11)</f>
        <v>1</v>
      </c>
      <c r="E6" s="335"/>
      <c r="F6" s="336"/>
      <c r="G6" s="330"/>
      <c r="H6" s="330"/>
      <c r="I6" s="343"/>
    </row>
    <row r="8" spans="1:24" ht="14.5" thickBot="1">
      <c r="B8" s="340" t="s">
        <v>319</v>
      </c>
    </row>
    <row r="9" spans="1:24">
      <c r="B9" s="344" t="s">
        <v>317</v>
      </c>
      <c r="C9" s="320" t="s">
        <v>318</v>
      </c>
      <c r="D9" s="339"/>
      <c r="E9" s="337" t="s">
        <v>325</v>
      </c>
      <c r="F9" s="345"/>
      <c r="G9" s="346" t="s">
        <v>324</v>
      </c>
      <c r="H9" s="346" t="s">
        <v>324</v>
      </c>
      <c r="I9" s="341"/>
    </row>
    <row r="10" spans="1:24" ht="18.75" customHeight="1">
      <c r="B10" s="479" t="s">
        <v>313</v>
      </c>
      <c r="C10" s="317" t="b">
        <f>'Petroleum model'!C1</f>
        <v>1</v>
      </c>
      <c r="D10" s="338"/>
      <c r="E10" s="351" t="s">
        <v>1</v>
      </c>
      <c r="F10" s="350"/>
      <c r="G10" s="480" t="s">
        <v>321</v>
      </c>
      <c r="H10" s="480" t="s">
        <v>322</v>
      </c>
      <c r="I10" s="342"/>
    </row>
    <row r="11" spans="1:24" ht="18.75" customHeight="1">
      <c r="B11" s="479" t="s">
        <v>312</v>
      </c>
      <c r="C11" s="317" t="b">
        <f>'Mining model'!C1</f>
        <v>1</v>
      </c>
      <c r="D11" s="338"/>
      <c r="E11" s="351" t="s">
        <v>323</v>
      </c>
      <c r="F11" s="350"/>
      <c r="G11" s="481" t="s">
        <v>321</v>
      </c>
      <c r="H11" s="480" t="s">
        <v>322</v>
      </c>
      <c r="I11" s="342"/>
    </row>
    <row r="12" spans="1:24" s="340" customFormat="1" ht="18.75" customHeight="1">
      <c r="A12" s="318"/>
      <c r="B12" s="347"/>
      <c r="C12" s="325"/>
      <c r="D12" s="325"/>
      <c r="E12" s="351" t="s">
        <v>326</v>
      </c>
      <c r="F12" s="350"/>
      <c r="G12" s="480" t="s">
        <v>321</v>
      </c>
      <c r="H12" s="480" t="s">
        <v>322</v>
      </c>
      <c r="I12" s="342"/>
      <c r="J12" s="318"/>
      <c r="K12" s="318"/>
      <c r="L12" s="318"/>
      <c r="M12" s="318"/>
      <c r="N12" s="318"/>
      <c r="O12" s="318"/>
      <c r="P12" s="318"/>
      <c r="Q12" s="318"/>
      <c r="R12" s="318"/>
      <c r="S12" s="318"/>
      <c r="T12" s="318"/>
      <c r="U12" s="318"/>
      <c r="V12" s="318"/>
      <c r="W12" s="318"/>
      <c r="X12" s="318"/>
    </row>
    <row r="13" spans="1:24" s="340" customFormat="1" ht="18.75" customHeight="1">
      <c r="A13" s="318"/>
      <c r="B13" s="347"/>
      <c r="C13" s="325"/>
      <c r="D13" s="325"/>
      <c r="E13" s="351" t="s">
        <v>327</v>
      </c>
      <c r="F13" s="350"/>
      <c r="G13" s="480" t="s">
        <v>321</v>
      </c>
      <c r="H13" s="480" t="s">
        <v>322</v>
      </c>
      <c r="I13" s="342"/>
      <c r="J13" s="318"/>
      <c r="K13" s="318"/>
      <c r="L13" s="318"/>
      <c r="M13" s="318"/>
      <c r="N13" s="318"/>
      <c r="O13" s="318"/>
      <c r="P13" s="318"/>
      <c r="Q13" s="318"/>
      <c r="R13" s="318"/>
      <c r="S13" s="318"/>
      <c r="T13" s="318"/>
      <c r="U13" s="318"/>
      <c r="V13" s="318"/>
      <c r="W13" s="318"/>
      <c r="X13" s="318"/>
    </row>
    <row r="14" spans="1:24" s="340" customFormat="1" ht="18.75" customHeight="1">
      <c r="A14" s="318"/>
      <c r="B14" s="347"/>
      <c r="C14" s="325"/>
      <c r="D14" s="325"/>
      <c r="E14" s="351" t="s">
        <v>377</v>
      </c>
      <c r="F14" s="350"/>
      <c r="G14" s="480" t="s">
        <v>321</v>
      </c>
      <c r="H14" s="480" t="s">
        <v>322</v>
      </c>
      <c r="I14" s="342"/>
      <c r="J14" s="318"/>
      <c r="K14" s="318"/>
      <c r="L14" s="318"/>
      <c r="M14" s="318"/>
      <c r="N14" s="318"/>
      <c r="O14" s="318"/>
      <c r="P14" s="318"/>
      <c r="Q14" s="318"/>
      <c r="R14" s="318"/>
      <c r="S14" s="318"/>
      <c r="T14" s="318"/>
      <c r="U14" s="318"/>
      <c r="V14" s="318"/>
      <c r="W14" s="318"/>
      <c r="X14" s="318"/>
    </row>
    <row r="15" spans="1:24" ht="20.25" customHeight="1" thickBot="1">
      <c r="B15" s="348"/>
      <c r="C15" s="330"/>
      <c r="D15" s="349"/>
      <c r="E15" s="352" t="s">
        <v>45</v>
      </c>
      <c r="F15" s="353"/>
      <c r="G15" s="482" t="s">
        <v>321</v>
      </c>
      <c r="H15" s="482" t="s">
        <v>322</v>
      </c>
      <c r="I15" s="343"/>
    </row>
    <row r="16" spans="1:24">
      <c r="E16" s="325"/>
      <c r="F16" s="325"/>
      <c r="G16" s="325"/>
      <c r="H16" s="325"/>
    </row>
    <row r="17" spans="2:24" s="325" customFormat="1" ht="14.5">
      <c r="B17" s="361" t="s">
        <v>330</v>
      </c>
      <c r="C17" s="358"/>
      <c r="D17" s="359"/>
      <c r="E17" s="360"/>
      <c r="F17" s="358"/>
      <c r="G17" s="358"/>
      <c r="H17" s="358"/>
      <c r="I17" s="357"/>
      <c r="J17" s="357"/>
      <c r="K17" s="357"/>
      <c r="L17" s="358"/>
      <c r="M17" s="358"/>
      <c r="N17" s="358"/>
      <c r="O17" s="358"/>
      <c r="P17" s="358"/>
      <c r="Q17" s="358"/>
      <c r="R17" s="358"/>
      <c r="S17" s="358"/>
      <c r="T17" s="358"/>
      <c r="U17" s="358"/>
      <c r="V17" s="358"/>
      <c r="W17" s="358"/>
      <c r="X17" s="358"/>
    </row>
    <row r="18" spans="2:24" ht="14.25" customHeight="1">
      <c r="I18" s="340"/>
      <c r="J18" s="340"/>
      <c r="K18" s="340"/>
    </row>
    <row r="19" spans="2:24" ht="14.25" customHeight="1">
      <c r="I19" s="340"/>
      <c r="J19" s="340"/>
      <c r="K19" s="340"/>
    </row>
    <row r="20" spans="2:24" ht="14.25" customHeight="1">
      <c r="I20" s="340"/>
      <c r="J20" s="340"/>
      <c r="K20" s="340"/>
    </row>
    <row r="21" spans="2:24" ht="14.25" customHeight="1">
      <c r="I21" s="340"/>
      <c r="J21" s="340"/>
      <c r="K21" s="340"/>
    </row>
    <row r="22" spans="2:24" ht="14.25" customHeight="1">
      <c r="I22" s="340"/>
      <c r="J22" s="340"/>
      <c r="K22" s="340"/>
    </row>
    <row r="23" spans="2:24" ht="14.25" customHeight="1">
      <c r="I23" s="340"/>
      <c r="J23" s="340"/>
      <c r="K23" s="340"/>
    </row>
    <row r="24" spans="2:24" ht="14.25" customHeight="1">
      <c r="I24" s="340"/>
      <c r="J24" s="340"/>
      <c r="K24" s="340"/>
    </row>
    <row r="25" spans="2:24" ht="14.25" customHeight="1">
      <c r="I25" s="340"/>
      <c r="J25" s="340"/>
      <c r="K25" s="340"/>
    </row>
    <row r="26" spans="2:24" ht="14.25" customHeight="1">
      <c r="I26" s="340"/>
      <c r="J26" s="340"/>
      <c r="K26" s="340"/>
    </row>
    <row r="27" spans="2:24" ht="14.25" customHeight="1">
      <c r="I27" s="340"/>
      <c r="J27" s="340"/>
      <c r="K27" s="340"/>
    </row>
    <row r="28" spans="2:24" ht="15" customHeight="1">
      <c r="I28" s="340"/>
      <c r="J28" s="340"/>
      <c r="K28" s="340"/>
    </row>
    <row r="29" spans="2:24" ht="14.25" customHeight="1">
      <c r="I29" s="340"/>
      <c r="J29" s="340"/>
      <c r="K29" s="340"/>
    </row>
    <row r="30" spans="2:24" ht="14.25" customHeight="1">
      <c r="I30" s="340"/>
      <c r="J30" s="340"/>
      <c r="K30" s="340"/>
    </row>
    <row r="31" spans="2:24" ht="14.25" customHeight="1">
      <c r="I31" s="340"/>
      <c r="J31" s="340"/>
      <c r="K31" s="340"/>
    </row>
    <row r="32" spans="2:24" ht="14.25" customHeight="1">
      <c r="I32" s="340"/>
      <c r="J32" s="340"/>
      <c r="K32" s="340"/>
    </row>
    <row r="33" spans="9:11" ht="15" customHeight="1">
      <c r="I33" s="340"/>
      <c r="J33" s="340"/>
      <c r="K33" s="340"/>
    </row>
    <row r="34" spans="9:11" ht="14.25" customHeight="1">
      <c r="I34" s="340"/>
      <c r="J34" s="340"/>
      <c r="K34" s="340"/>
    </row>
    <row r="35" spans="9:11" ht="14.25" customHeight="1">
      <c r="I35" s="340"/>
      <c r="J35" s="340"/>
      <c r="K35" s="340"/>
    </row>
    <row r="36" spans="9:11" ht="14.25" customHeight="1">
      <c r="I36" s="340"/>
      <c r="J36" s="340"/>
      <c r="K36" s="340"/>
    </row>
    <row r="37" spans="9:11" ht="14.25" customHeight="1">
      <c r="I37" s="340"/>
      <c r="J37" s="340"/>
      <c r="K37" s="340"/>
    </row>
    <row r="38" spans="9:11" ht="14.25" customHeight="1">
      <c r="I38" s="340"/>
      <c r="J38" s="340"/>
      <c r="K38" s="340"/>
    </row>
    <row r="39" spans="9:11" ht="14.25" customHeight="1">
      <c r="I39" s="340"/>
      <c r="J39" s="340"/>
      <c r="K39" s="340"/>
    </row>
    <row r="40" spans="9:11" ht="14.25" customHeight="1">
      <c r="I40" s="340"/>
      <c r="J40" s="340"/>
      <c r="K40" s="340"/>
    </row>
    <row r="41" spans="9:11" ht="14.25" customHeight="1">
      <c r="I41" s="340"/>
      <c r="J41" s="340"/>
      <c r="K41" s="340"/>
    </row>
    <row r="42" spans="9:11" ht="15" customHeight="1">
      <c r="I42" s="340"/>
      <c r="J42" s="340"/>
      <c r="K42" s="340"/>
    </row>
    <row r="43" spans="9:11" ht="14.25" customHeight="1">
      <c r="I43" s="340"/>
      <c r="J43" s="340"/>
      <c r="K43" s="340"/>
    </row>
    <row r="44" spans="9:11" ht="14.25" customHeight="1">
      <c r="I44" s="340"/>
      <c r="J44" s="340"/>
      <c r="K44" s="340"/>
    </row>
    <row r="45" spans="9:11" ht="15" customHeight="1">
      <c r="I45" s="340"/>
      <c r="J45" s="340"/>
      <c r="K45" s="340"/>
    </row>
    <row r="46" spans="9:11" ht="14.25" customHeight="1">
      <c r="I46" s="340"/>
      <c r="J46" s="340"/>
      <c r="K46" s="340"/>
    </row>
    <row r="47" spans="9:11" ht="14.25" customHeight="1">
      <c r="I47" s="340"/>
      <c r="J47" s="340"/>
      <c r="K47" s="340"/>
    </row>
    <row r="48" spans="9:11" ht="15" customHeight="1">
      <c r="I48" s="340"/>
      <c r="J48" s="340"/>
      <c r="K48" s="340"/>
    </row>
    <row r="49" spans="9:11" ht="14.25" customHeight="1">
      <c r="I49" s="340"/>
      <c r="J49" s="340"/>
      <c r="K49" s="340"/>
    </row>
    <row r="50" spans="9:11" ht="14.25" customHeight="1">
      <c r="I50" s="340"/>
      <c r="J50" s="340"/>
      <c r="K50" s="340"/>
    </row>
    <row r="51" spans="9:11" ht="15" customHeight="1">
      <c r="I51" s="340"/>
      <c r="J51" s="340"/>
      <c r="K51" s="340"/>
    </row>
    <row r="52" spans="9:11" ht="14.25" customHeight="1">
      <c r="I52" s="340"/>
      <c r="J52" s="340"/>
      <c r="K52" s="340"/>
    </row>
    <row r="53" spans="9:11" ht="14.25" customHeight="1">
      <c r="I53" s="340"/>
      <c r="J53" s="340"/>
      <c r="K53" s="340"/>
    </row>
    <row r="54" spans="9:11" ht="14.25" customHeight="1">
      <c r="I54" s="340"/>
      <c r="J54" s="340"/>
      <c r="K54" s="340"/>
    </row>
  </sheetData>
  <mergeCells count="1">
    <mergeCell ref="D3:G3"/>
  </mergeCells>
  <conditionalFormatting sqref="D6 C10:C11">
    <cfRule type="cellIs" dxfId="13" priority="10" stopIfTrue="1" operator="notEqual">
      <formula>TRUE</formula>
    </cfRule>
  </conditionalFormatting>
  <conditionalFormatting sqref="D6 C10:C11">
    <cfRule type="cellIs" dxfId="12" priority="8" stopIfTrue="1" operator="equal">
      <formula>FALSE</formula>
    </cfRule>
    <cfRule type="cellIs" dxfId="11" priority="9" stopIfTrue="1" operator="equal">
      <formula>TRUE</formula>
    </cfRule>
  </conditionalFormatting>
  <conditionalFormatting sqref="D6 C10:C11">
    <cfRule type="cellIs" dxfId="10" priority="7" operator="equal">
      <formula>FALSE</formula>
    </cfRule>
  </conditionalFormatting>
  <hyperlinks>
    <hyperlink ref="B10" location="'Petroleum model'!A1" display="Petroleum model" xr:uid="{00000000-0004-0000-0100-000000000000}"/>
    <hyperlink ref="B11" location="'Mining model'!A1" display="Mining model" xr:uid="{00000000-0004-0000-0100-000001000000}"/>
    <hyperlink ref="G10" location="'Petroleum model'!D5" display="Petroleum" xr:uid="{00000000-0004-0000-0100-000002000000}"/>
    <hyperlink ref="H10" location="'Mining model'!D5" display="Mining" xr:uid="{00000000-0004-0000-0100-000003000000}"/>
    <hyperlink ref="G11" location="'Petroleum model'!G66" display="Petroleum" xr:uid="{00000000-0004-0000-0100-000004000000}"/>
    <hyperlink ref="H11" location="'Mining model'!G51" display="Mining" xr:uid="{00000000-0004-0000-0100-000005000000}"/>
    <hyperlink ref="G12" location="'Petroleum model'!N6" display="Petroleum" xr:uid="{00000000-0004-0000-0100-000006000000}"/>
    <hyperlink ref="H12" location="'Mining model'!M6" display="Mining" xr:uid="{00000000-0004-0000-0100-000007000000}"/>
    <hyperlink ref="G13" location="'Petroleum model'!D353" display="Petroleum" xr:uid="{00000000-0004-0000-0100-000008000000}"/>
    <hyperlink ref="H13" location="'Mining model'!D247" display="Mining" xr:uid="{00000000-0004-0000-0100-000009000000}"/>
    <hyperlink ref="G14" location="'Petroleum model'!D465" display="Petroleum" xr:uid="{00000000-0004-0000-0100-00000A000000}"/>
    <hyperlink ref="G15" location="'Petroleum model'!D581" display="Petroleum" xr:uid="{00000000-0004-0000-0100-00000B000000}"/>
    <hyperlink ref="H14" location="'Mining model'!D363" display="Mining" xr:uid="{00000000-0004-0000-0100-00000C000000}"/>
    <hyperlink ref="H15" location="'Mining model'!D475" display="Mining" xr:uid="{00000000-0004-0000-0100-00000D000000}"/>
  </hyperlink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4126" r:id="rId4">
          <objectPr defaultSize="0" r:id="rId5">
            <anchor moveWithCells="1">
              <from>
                <xdr:col>1</xdr:col>
                <xdr:colOff>12700</xdr:colOff>
                <xdr:row>16</xdr:row>
                <xdr:rowOff>69850</xdr:rowOff>
              </from>
              <to>
                <xdr:col>10</xdr:col>
                <xdr:colOff>95250</xdr:colOff>
                <xdr:row>64</xdr:row>
                <xdr:rowOff>133350</xdr:rowOff>
              </to>
            </anchor>
          </objectPr>
        </oleObject>
      </mc:Choice>
      <mc:Fallback>
        <oleObject progId="Word.Document.12" shapeId="4126" r:id="rId4"/>
      </mc:Fallback>
    </mc:AlternateContent>
    <mc:AlternateContent xmlns:mc="http://schemas.openxmlformats.org/markup-compatibility/2006">
      <mc:Choice Requires="x14">
        <oleObject progId="Word.Document.12" shapeId="4127" r:id="rId6">
          <objectPr defaultSize="0" autoPict="0" r:id="rId7">
            <anchor moveWithCells="1">
              <from>
                <xdr:col>10</xdr:col>
                <xdr:colOff>133350</xdr:colOff>
                <xdr:row>17</xdr:row>
                <xdr:rowOff>38100</xdr:rowOff>
              </from>
              <to>
                <xdr:col>23</xdr:col>
                <xdr:colOff>533400</xdr:colOff>
                <xdr:row>65</xdr:row>
                <xdr:rowOff>127000</xdr:rowOff>
              </to>
            </anchor>
          </objectPr>
        </oleObject>
      </mc:Choice>
      <mc:Fallback>
        <oleObject progId="Word.Document.12" shapeId="4127" r:id="rId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C708"/>
  <sheetViews>
    <sheetView showGridLines="0" topLeftCell="D7" zoomScale="53" zoomScaleNormal="85" workbookViewId="0">
      <selection activeCell="D115" sqref="D115"/>
    </sheetView>
  </sheetViews>
  <sheetFormatPr baseColWidth="10" defaultColWidth="0" defaultRowHeight="12.5" zeroHeight="1" outlineLevelRow="1"/>
  <cols>
    <col min="1" max="1" width="8.54296875" style="13" customWidth="1"/>
    <col min="2" max="2" width="9.7265625" style="15" customWidth="1"/>
    <col min="3" max="3" width="8.81640625" style="15" bestFit="1" customWidth="1"/>
    <col min="4" max="4" width="70.7265625" style="15" customWidth="1"/>
    <col min="5" max="5" width="12.81640625" style="73" customWidth="1"/>
    <col min="6" max="6" width="11.453125" style="15" customWidth="1"/>
    <col min="7" max="7" width="9" style="15" customWidth="1"/>
    <col min="8" max="8" width="11.7265625" style="14" customWidth="1"/>
    <col min="9" max="9" width="12.1796875" style="15" customWidth="1"/>
    <col min="10" max="10" width="11.26953125" style="15" customWidth="1"/>
    <col min="11" max="11" width="9.81640625" style="15" customWidth="1"/>
    <col min="12" max="15" width="9.7265625" style="15" customWidth="1"/>
    <col min="16" max="16" width="10.54296875" style="15" customWidth="1"/>
    <col min="17" max="21" width="9.7265625" style="15" customWidth="1"/>
    <col min="22" max="81" width="0" style="15" hidden="1" customWidth="1"/>
    <col min="82" max="16384" width="9.1796875" style="15" hidden="1"/>
  </cols>
  <sheetData>
    <row r="1" spans="1:65" s="4" customFormat="1" ht="13">
      <c r="A1" s="478" t="s">
        <v>329</v>
      </c>
      <c r="B1" s="1"/>
      <c r="C1" s="2" t="b">
        <f>AND(A:A)</f>
        <v>1</v>
      </c>
      <c r="D1" s="3"/>
      <c r="E1" s="3" t="s">
        <v>0</v>
      </c>
      <c r="F1" s="3"/>
      <c r="G1" s="3">
        <v>1</v>
      </c>
      <c r="H1" s="3">
        <f>G1+1</f>
        <v>2</v>
      </c>
      <c r="I1" s="3">
        <f t="shared" ref="I1:S1" si="0">H1+1</f>
        <v>3</v>
      </c>
      <c r="J1" s="3">
        <f t="shared" si="0"/>
        <v>4</v>
      </c>
      <c r="K1" s="3">
        <f t="shared" si="0"/>
        <v>5</v>
      </c>
      <c r="L1" s="3">
        <f t="shared" si="0"/>
        <v>6</v>
      </c>
      <c r="M1" s="3">
        <f t="shared" si="0"/>
        <v>7</v>
      </c>
      <c r="N1" s="3">
        <f t="shared" si="0"/>
        <v>8</v>
      </c>
      <c r="O1" s="3">
        <f t="shared" si="0"/>
        <v>9</v>
      </c>
      <c r="P1" s="3">
        <f t="shared" si="0"/>
        <v>10</v>
      </c>
      <c r="Q1" s="3">
        <f t="shared" si="0"/>
        <v>11</v>
      </c>
      <c r="R1" s="3">
        <f t="shared" si="0"/>
        <v>12</v>
      </c>
      <c r="S1" s="3">
        <f t="shared" si="0"/>
        <v>13</v>
      </c>
      <c r="T1" s="3"/>
      <c r="U1" s="3"/>
    </row>
    <row r="2" spans="1:65" s="12" customFormat="1" ht="15" customHeight="1">
      <c r="A2" s="5"/>
      <c r="B2" s="6"/>
      <c r="C2" s="7"/>
      <c r="D2" s="8"/>
      <c r="E2" s="9"/>
      <c r="F2" s="9"/>
      <c r="G2" s="9"/>
      <c r="H2" s="9"/>
      <c r="I2" s="10"/>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c r="BM2" s="11"/>
    </row>
    <row r="3" spans="1:65" s="416" customFormat="1" ht="30" customHeight="1">
      <c r="A3" s="415" t="s">
        <v>371</v>
      </c>
    </row>
    <row r="4" spans="1:65" s="202" customFormat="1" ht="15" customHeight="1">
      <c r="A4" s="201"/>
    </row>
    <row r="5" spans="1:65" ht="15" customHeight="1" thickBot="1">
      <c r="B5" s="14"/>
      <c r="D5" s="16" t="s">
        <v>1</v>
      </c>
      <c r="E5" s="17"/>
      <c r="F5" s="17"/>
      <c r="G5" s="17"/>
      <c r="H5" s="17"/>
      <c r="I5" s="17"/>
      <c r="J5" s="17"/>
      <c r="K5" s="17"/>
      <c r="L5" s="17"/>
      <c r="M5" s="17"/>
      <c r="N5" s="17"/>
      <c r="O5" s="17"/>
      <c r="P5" s="17"/>
      <c r="Q5" s="17"/>
      <c r="R5" s="17"/>
      <c r="S5" s="17"/>
      <c r="T5" s="17"/>
      <c r="U5" s="18"/>
    </row>
    <row r="6" spans="1:65" ht="15" customHeight="1">
      <c r="D6" s="19" t="s">
        <v>2</v>
      </c>
      <c r="E6" s="20"/>
      <c r="F6" s="21" t="str">
        <f>INDEX(H6:L6,$F$7)</f>
        <v>DROP</v>
      </c>
      <c r="G6" s="22"/>
      <c r="H6" s="23" t="s">
        <v>3</v>
      </c>
      <c r="I6" s="23" t="s">
        <v>4</v>
      </c>
      <c r="J6" s="23" t="s">
        <v>5</v>
      </c>
      <c r="K6" s="23" t="s">
        <v>6</v>
      </c>
      <c r="L6" s="23" t="s">
        <v>7</v>
      </c>
      <c r="N6" s="417" t="s">
        <v>372</v>
      </c>
      <c r="O6" s="418"/>
      <c r="P6" s="418"/>
      <c r="Q6" s="418"/>
      <c r="R6" s="418"/>
      <c r="S6" s="418"/>
      <c r="T6" s="418"/>
      <c r="U6" s="419"/>
    </row>
    <row r="7" spans="1:65" ht="15" customHeight="1">
      <c r="D7" s="24" t="s">
        <v>9</v>
      </c>
      <c r="E7" s="25"/>
      <c r="F7" s="26">
        <v>1</v>
      </c>
      <c r="G7" s="27"/>
      <c r="H7" s="28">
        <v>1</v>
      </c>
      <c r="I7" s="28">
        <f>H7+1</f>
        <v>2</v>
      </c>
      <c r="J7" s="28">
        <f t="shared" ref="J7:L7" si="1">I7+1</f>
        <v>3</v>
      </c>
      <c r="K7" s="28">
        <f t="shared" si="1"/>
        <v>4</v>
      </c>
      <c r="L7" s="28">
        <f t="shared" si="1"/>
        <v>5</v>
      </c>
      <c r="N7" s="424"/>
      <c r="O7" s="425"/>
      <c r="P7" s="425"/>
      <c r="Q7" s="425"/>
      <c r="R7" s="428"/>
      <c r="S7" s="428"/>
      <c r="T7" s="428"/>
      <c r="U7" s="429"/>
    </row>
    <row r="8" spans="1:65" ht="15" customHeight="1">
      <c r="D8" s="29" t="s">
        <v>10</v>
      </c>
      <c r="E8" s="30"/>
      <c r="F8" s="21"/>
      <c r="G8" s="27"/>
      <c r="H8" s="27"/>
      <c r="I8" s="27"/>
      <c r="J8" s="27"/>
      <c r="K8" s="27"/>
      <c r="L8" s="31"/>
      <c r="N8" s="420" t="s">
        <v>8</v>
      </c>
      <c r="O8" s="421"/>
      <c r="P8" s="422"/>
      <c r="Q8" s="422"/>
      <c r="R8" s="422"/>
      <c r="S8" s="422"/>
      <c r="T8" s="422"/>
      <c r="U8" s="423"/>
    </row>
    <row r="9" spans="1:65" ht="15" customHeight="1">
      <c r="D9" s="32" t="s">
        <v>13</v>
      </c>
      <c r="E9" s="25" t="s">
        <v>14</v>
      </c>
      <c r="F9" s="33">
        <f>INDEX(H9:L9,$F$7)</f>
        <v>50</v>
      </c>
      <c r="G9" s="27"/>
      <c r="H9" s="23">
        <v>50</v>
      </c>
      <c r="I9" s="23">
        <v>50</v>
      </c>
      <c r="J9" s="23">
        <v>50</v>
      </c>
      <c r="K9" s="23"/>
      <c r="L9" s="23"/>
      <c r="N9" s="424"/>
      <c r="O9" s="425"/>
      <c r="P9" s="425"/>
      <c r="Q9" s="425"/>
      <c r="R9" s="426">
        <f>G435</f>
        <v>0</v>
      </c>
      <c r="S9" s="426">
        <f t="shared" ref="S9:U9" si="2">H435</f>
        <v>0.1</v>
      </c>
      <c r="T9" s="426">
        <f t="shared" si="2"/>
        <v>0.125</v>
      </c>
      <c r="U9" s="427">
        <f t="shared" si="2"/>
        <v>0.15</v>
      </c>
    </row>
    <row r="10" spans="1:65" ht="15" customHeight="1">
      <c r="D10" s="29" t="s">
        <v>16</v>
      </c>
      <c r="E10" s="30" t="s">
        <v>17</v>
      </c>
      <c r="F10" s="34">
        <f t="shared" ref="F10:F20" si="3">INDEX(H10:L10,$F$7)</f>
        <v>0</v>
      </c>
      <c r="G10" s="27"/>
      <c r="H10" s="35">
        <v>0</v>
      </c>
      <c r="I10" s="35">
        <v>0</v>
      </c>
      <c r="J10" s="35">
        <v>0.15</v>
      </c>
      <c r="K10" s="35"/>
      <c r="L10" s="35"/>
      <c r="N10" s="424"/>
      <c r="O10" s="425"/>
      <c r="P10" s="425"/>
      <c r="Q10" s="425"/>
      <c r="R10" s="428"/>
      <c r="S10" s="428"/>
      <c r="T10" s="428"/>
      <c r="U10" s="429"/>
    </row>
    <row r="11" spans="1:65" ht="15" customHeight="1">
      <c r="D11" s="36" t="s">
        <v>19</v>
      </c>
      <c r="E11" s="37" t="s">
        <v>20</v>
      </c>
      <c r="F11" s="34" t="str">
        <f t="shared" si="3"/>
        <v>net</v>
      </c>
      <c r="G11" s="27"/>
      <c r="H11" s="35" t="s">
        <v>21</v>
      </c>
      <c r="I11" s="35" t="s">
        <v>21</v>
      </c>
      <c r="J11" s="35" t="s">
        <v>21</v>
      </c>
      <c r="K11" s="35"/>
      <c r="L11" s="35"/>
      <c r="N11" s="430" t="s">
        <v>11</v>
      </c>
      <c r="O11" s="431"/>
      <c r="P11" s="431"/>
      <c r="Q11" s="432" t="s">
        <v>12</v>
      </c>
      <c r="R11" s="433">
        <f>G436</f>
        <v>2119.5760320000009</v>
      </c>
      <c r="S11" s="433">
        <f t="shared" ref="S11:U11" si="4">H436</f>
        <v>1021.0099740198245</v>
      </c>
      <c r="T11" s="433">
        <f t="shared" si="4"/>
        <v>841.62093541749618</v>
      </c>
      <c r="U11" s="434">
        <f t="shared" si="4"/>
        <v>687.94789990756794</v>
      </c>
    </row>
    <row r="12" spans="1:65" ht="15" customHeight="1">
      <c r="B12" s="38"/>
      <c r="D12" s="24" t="s">
        <v>23</v>
      </c>
      <c r="E12" s="39" t="s">
        <v>20</v>
      </c>
      <c r="F12" s="21" t="str">
        <f t="shared" si="3"/>
        <v>yes</v>
      </c>
      <c r="G12" s="27"/>
      <c r="H12" s="23" t="s">
        <v>24</v>
      </c>
      <c r="I12" s="23" t="s">
        <v>24</v>
      </c>
      <c r="J12" s="23" t="s">
        <v>24</v>
      </c>
      <c r="K12" s="23"/>
      <c r="L12" s="23"/>
      <c r="N12" s="430" t="s">
        <v>15</v>
      </c>
      <c r="O12" s="431"/>
      <c r="P12" s="431"/>
      <c r="Q12" s="432" t="s">
        <v>12</v>
      </c>
      <c r="R12" s="433">
        <f>G441</f>
        <v>2869.5760320000009</v>
      </c>
      <c r="S12" s="433">
        <f t="shared" ref="S12:U12" si="5">H441</f>
        <v>1725.5554285652793</v>
      </c>
      <c r="T12" s="433">
        <f t="shared" si="5"/>
        <v>1536.0653798619408</v>
      </c>
      <c r="U12" s="434">
        <f t="shared" si="5"/>
        <v>1372.7305086032202</v>
      </c>
    </row>
    <row r="13" spans="1:65" ht="15" customHeight="1">
      <c r="D13" s="32" t="s">
        <v>26</v>
      </c>
      <c r="E13" s="40" t="s">
        <v>27</v>
      </c>
      <c r="F13" s="41">
        <f t="shared" si="3"/>
        <v>0.6</v>
      </c>
      <c r="G13" s="27"/>
      <c r="H13" s="42">
        <v>0.6</v>
      </c>
      <c r="I13" s="42">
        <v>0.6</v>
      </c>
      <c r="J13" s="42">
        <v>0.6</v>
      </c>
      <c r="K13" s="42"/>
      <c r="L13" s="42"/>
      <c r="N13" s="430" t="s">
        <v>18</v>
      </c>
      <c r="O13" s="431"/>
      <c r="P13" s="431"/>
      <c r="Q13" s="432" t="s">
        <v>12</v>
      </c>
      <c r="R13" s="502">
        <f>G438</f>
        <v>620.52112183265831</v>
      </c>
      <c r="S13" s="433">
        <f t="shared" ref="S13:U13" si="6">H438</f>
        <v>192.13182263601215</v>
      </c>
      <c r="T13" s="433">
        <f t="shared" si="6"/>
        <v>125.41136991301306</v>
      </c>
      <c r="U13" s="434">
        <f t="shared" si="6"/>
        <v>69.057871403616446</v>
      </c>
    </row>
    <row r="14" spans="1:65" ht="15" customHeight="1">
      <c r="D14" s="29" t="s">
        <v>29</v>
      </c>
      <c r="E14" s="43"/>
      <c r="F14" s="34"/>
      <c r="G14" s="27"/>
      <c r="H14" s="27"/>
      <c r="I14" s="27"/>
      <c r="J14" s="27"/>
      <c r="K14" s="27"/>
      <c r="L14" s="31"/>
      <c r="N14" s="430" t="s">
        <v>22</v>
      </c>
      <c r="O14" s="431"/>
      <c r="P14" s="431"/>
      <c r="Q14" s="432" t="s">
        <v>12</v>
      </c>
      <c r="R14" s="503">
        <f>G437</f>
        <v>1499.4007702765025</v>
      </c>
      <c r="S14" s="435">
        <f t="shared" ref="S14:U14" si="7">H437</f>
        <v>854.06958803161979</v>
      </c>
      <c r="T14" s="435">
        <f t="shared" si="7"/>
        <v>751.18092251740927</v>
      </c>
      <c r="U14" s="436">
        <f t="shared" si="7"/>
        <v>663.51510194167781</v>
      </c>
    </row>
    <row r="15" spans="1:65" ht="15" customHeight="1">
      <c r="D15" s="44" t="s">
        <v>30</v>
      </c>
      <c r="E15" s="39" t="s">
        <v>17</v>
      </c>
      <c r="F15" s="34">
        <f t="shared" si="3"/>
        <v>0.8</v>
      </c>
      <c r="G15" s="27"/>
      <c r="H15" s="42">
        <v>0.8</v>
      </c>
      <c r="I15" s="42">
        <v>0.8</v>
      </c>
      <c r="J15" s="42">
        <v>1</v>
      </c>
      <c r="K15" s="42"/>
      <c r="L15" s="42"/>
      <c r="N15" s="430" t="s">
        <v>25</v>
      </c>
      <c r="O15" s="431"/>
      <c r="P15" s="431"/>
      <c r="Q15" s="432" t="s">
        <v>12</v>
      </c>
      <c r="R15" s="437">
        <f>R14/R11</f>
        <v>0.70740598480050276</v>
      </c>
      <c r="S15" s="437">
        <f>S14/S11</f>
        <v>0.83649485290438175</v>
      </c>
      <c r="T15" s="437">
        <f>T14/T11</f>
        <v>0.89254068061505265</v>
      </c>
      <c r="U15" s="438">
        <f>U14/U11</f>
        <v>0.96448452278265129</v>
      </c>
    </row>
    <row r="16" spans="1:65" ht="15" customHeight="1">
      <c r="D16" s="44" t="s">
        <v>351</v>
      </c>
      <c r="E16" s="40" t="s">
        <v>32</v>
      </c>
      <c r="F16" s="492">
        <f t="shared" si="3"/>
        <v>5</v>
      </c>
      <c r="G16" s="27"/>
      <c r="H16" s="23">
        <v>5</v>
      </c>
      <c r="I16" s="23">
        <v>5</v>
      </c>
      <c r="J16" s="23"/>
      <c r="K16" s="23"/>
      <c r="L16" s="23"/>
      <c r="N16" s="439" t="s">
        <v>28</v>
      </c>
      <c r="O16" s="440"/>
      <c r="P16" s="440"/>
      <c r="Q16" s="441" t="s">
        <v>12</v>
      </c>
      <c r="R16" s="442">
        <f>R14/R12</f>
        <v>0.52251648102575943</v>
      </c>
      <c r="S16" s="442">
        <f>S14/S12</f>
        <v>0.49495343579993817</v>
      </c>
      <c r="T16" s="442">
        <f>T14/T12</f>
        <v>0.48902926422632109</v>
      </c>
      <c r="U16" s="443">
        <f>U14/U12</f>
        <v>0.48335423288349383</v>
      </c>
    </row>
    <row r="17" spans="1:51" ht="15" customHeight="1">
      <c r="D17" s="44" t="s">
        <v>34</v>
      </c>
      <c r="E17" s="40" t="s">
        <v>20</v>
      </c>
      <c r="F17" s="21" t="str">
        <f t="shared" si="3"/>
        <v>no</v>
      </c>
      <c r="G17" s="27"/>
      <c r="H17" s="23" t="s">
        <v>35</v>
      </c>
      <c r="I17" s="23" t="s">
        <v>24</v>
      </c>
      <c r="J17" s="23" t="s">
        <v>35</v>
      </c>
      <c r="K17" s="23"/>
      <c r="L17" s="23"/>
      <c r="N17" s="430"/>
      <c r="O17" s="431"/>
      <c r="P17" s="431"/>
      <c r="Q17" s="431"/>
      <c r="R17" s="432"/>
      <c r="S17" s="444"/>
      <c r="T17" s="431"/>
      <c r="U17" s="445"/>
    </row>
    <row r="18" spans="1:51" ht="15" customHeight="1">
      <c r="D18" s="44" t="s">
        <v>37</v>
      </c>
      <c r="E18" s="40" t="s">
        <v>17</v>
      </c>
      <c r="F18" s="45">
        <f t="shared" si="3"/>
        <v>0</v>
      </c>
      <c r="G18" s="27"/>
      <c r="H18" s="35"/>
      <c r="I18" s="35">
        <v>0.15</v>
      </c>
      <c r="J18" s="35"/>
      <c r="K18" s="35"/>
      <c r="L18" s="35"/>
      <c r="N18" s="446" t="s">
        <v>31</v>
      </c>
      <c r="O18" s="447"/>
      <c r="P18" s="447"/>
      <c r="Q18" s="447"/>
      <c r="R18" s="448"/>
      <c r="S18" s="444"/>
      <c r="T18" s="431"/>
      <c r="U18" s="445"/>
    </row>
    <row r="19" spans="1:51" ht="15" customHeight="1">
      <c r="D19" s="44" t="s">
        <v>39</v>
      </c>
      <c r="E19" s="40" t="s">
        <v>32</v>
      </c>
      <c r="F19" s="46">
        <f t="shared" si="3"/>
        <v>10</v>
      </c>
      <c r="G19" s="27"/>
      <c r="H19" s="47">
        <v>10</v>
      </c>
      <c r="I19" s="47">
        <v>10</v>
      </c>
      <c r="J19" s="47"/>
      <c r="K19" s="47"/>
      <c r="L19" s="47"/>
      <c r="N19" s="449" t="s">
        <v>33</v>
      </c>
      <c r="O19" s="431"/>
      <c r="P19" s="432"/>
      <c r="Q19" s="428">
        <f>INDEX($I$609:$I$613,F7,)</f>
        <v>0.58618602746883552</v>
      </c>
      <c r="R19" s="450"/>
      <c r="S19" s="444"/>
      <c r="T19" s="431"/>
      <c r="U19" s="445"/>
      <c r="W19" s="48"/>
      <c r="X19" s="49"/>
    </row>
    <row r="20" spans="1:51" ht="15" customHeight="1">
      <c r="D20" s="50" t="s">
        <v>41</v>
      </c>
      <c r="E20" s="43" t="s">
        <v>20</v>
      </c>
      <c r="F20" s="51" t="str">
        <f t="shared" si="3"/>
        <v>DROP</v>
      </c>
      <c r="G20" s="27"/>
      <c r="H20" s="23" t="s">
        <v>3</v>
      </c>
      <c r="I20" s="23" t="s">
        <v>4</v>
      </c>
      <c r="J20" s="23" t="s">
        <v>42</v>
      </c>
      <c r="K20" s="23"/>
      <c r="L20" s="23"/>
      <c r="N20" s="430" t="s">
        <v>36</v>
      </c>
      <c r="O20" s="431"/>
      <c r="P20" s="432"/>
      <c r="Q20" s="451">
        <f>C84</f>
        <v>0.35457462421423069</v>
      </c>
      <c r="R20" s="450"/>
      <c r="S20" s="444"/>
      <c r="T20" s="431"/>
      <c r="U20" s="445"/>
    </row>
    <row r="21" spans="1:51" ht="15" customHeight="1">
      <c r="D21" s="52" t="s">
        <v>44</v>
      </c>
      <c r="E21" s="40"/>
      <c r="F21" s="53"/>
      <c r="G21" s="27"/>
      <c r="H21" s="27"/>
      <c r="I21" s="27"/>
      <c r="J21" s="27"/>
      <c r="K21" s="27"/>
      <c r="L21" s="31"/>
      <c r="N21" s="430" t="s">
        <v>38</v>
      </c>
      <c r="O21" s="431"/>
      <c r="P21" s="432"/>
      <c r="Q21" s="451">
        <f>F52</f>
        <v>0.125</v>
      </c>
      <c r="R21" s="450"/>
      <c r="S21" s="444"/>
      <c r="T21" s="431"/>
      <c r="U21" s="445"/>
    </row>
    <row r="22" spans="1:51" ht="15" customHeight="1">
      <c r="D22" s="32" t="s">
        <v>46</v>
      </c>
      <c r="E22" s="40" t="s">
        <v>47</v>
      </c>
      <c r="F22" s="54">
        <f>INDEX(H22:L22,$F$7)</f>
        <v>15</v>
      </c>
      <c r="G22" s="27"/>
      <c r="H22" s="23">
        <v>15</v>
      </c>
      <c r="I22" s="23"/>
      <c r="J22" s="23"/>
      <c r="K22" s="23"/>
      <c r="L22" s="23"/>
      <c r="N22" s="430" t="s">
        <v>40</v>
      </c>
      <c r="O22" s="431"/>
      <c r="P22" s="432"/>
      <c r="Q22" s="451">
        <f>C433</f>
        <v>0.15320364465252601</v>
      </c>
      <c r="R22" s="450"/>
      <c r="S22" s="444"/>
      <c r="T22" s="431"/>
      <c r="U22" s="445"/>
    </row>
    <row r="23" spans="1:51" ht="15" customHeight="1">
      <c r="D23" s="32" t="s">
        <v>48</v>
      </c>
      <c r="E23" s="40" t="s">
        <v>47</v>
      </c>
      <c r="F23" s="54">
        <f>INDEX(H23:L23,$F$7)</f>
        <v>30</v>
      </c>
      <c r="G23" s="27"/>
      <c r="H23" s="23">
        <v>30</v>
      </c>
      <c r="I23" s="23"/>
      <c r="J23" s="23"/>
      <c r="K23" s="23"/>
      <c r="L23" s="23"/>
      <c r="N23" s="430" t="s">
        <v>43</v>
      </c>
      <c r="O23" s="431"/>
      <c r="P23" s="432"/>
      <c r="Q23" s="451">
        <f>Q21-Q22</f>
        <v>-2.8203644652526005E-2</v>
      </c>
      <c r="R23" s="452"/>
      <c r="S23" s="431"/>
      <c r="T23" s="431"/>
      <c r="U23" s="445"/>
    </row>
    <row r="24" spans="1:51" ht="15" customHeight="1" thickBot="1">
      <c r="D24" s="32" t="s">
        <v>49</v>
      </c>
      <c r="E24" s="40" t="s">
        <v>47</v>
      </c>
      <c r="F24" s="54">
        <f>INDEX(H24:L24,$F$7)</f>
        <v>45</v>
      </c>
      <c r="G24" s="27"/>
      <c r="H24" s="23">
        <v>45</v>
      </c>
      <c r="I24" s="23"/>
      <c r="J24" s="23"/>
      <c r="K24" s="23"/>
      <c r="L24" s="23"/>
      <c r="N24" s="453" t="s">
        <v>45</v>
      </c>
      <c r="O24" s="454"/>
      <c r="P24" s="455"/>
      <c r="Q24" s="483">
        <f>INDEX($G$609:$G$613,F7,)</f>
        <v>56.534847677806106</v>
      </c>
      <c r="R24" s="456"/>
      <c r="S24" s="454"/>
      <c r="T24" s="454"/>
      <c r="U24" s="457"/>
    </row>
    <row r="25" spans="1:51" ht="15" customHeight="1">
      <c r="D25" s="32" t="s">
        <v>50</v>
      </c>
      <c r="E25" s="40" t="s">
        <v>47</v>
      </c>
      <c r="F25" s="54">
        <f>INDEX(H25:L25,$F$7)</f>
        <v>60</v>
      </c>
      <c r="G25" s="27"/>
      <c r="H25" s="23">
        <v>60</v>
      </c>
      <c r="I25" s="23"/>
      <c r="J25" s="23"/>
      <c r="K25" s="23"/>
      <c r="L25" s="23"/>
    </row>
    <row r="26" spans="1:51" ht="15" customHeight="1">
      <c r="D26" s="24" t="s">
        <v>51</v>
      </c>
      <c r="E26" s="40"/>
      <c r="F26" s="55"/>
      <c r="G26" s="27"/>
      <c r="H26" s="27"/>
      <c r="I26" s="27"/>
      <c r="J26" s="27"/>
      <c r="K26" s="27"/>
      <c r="L26" s="31"/>
      <c r="M26" s="56"/>
      <c r="Y26" s="57"/>
      <c r="Z26" s="57"/>
      <c r="AA26" s="57"/>
    </row>
    <row r="27" spans="1:51" s="27" customFormat="1" ht="15" customHeight="1">
      <c r="A27" s="13"/>
      <c r="D27" s="32" t="s">
        <v>52</v>
      </c>
      <c r="E27" s="40" t="s">
        <v>53</v>
      </c>
      <c r="F27" s="54">
        <f>INDEX(H27:L27,$F$7)</f>
        <v>0</v>
      </c>
      <c r="H27" s="58"/>
      <c r="I27" s="58">
        <v>1</v>
      </c>
      <c r="J27" s="58"/>
      <c r="K27" s="58"/>
      <c r="L27" s="58"/>
      <c r="M27" s="15"/>
      <c r="N27" s="15"/>
      <c r="O27" s="15"/>
      <c r="P27" s="15"/>
      <c r="Q27" s="15"/>
      <c r="R27" s="15"/>
      <c r="S27" s="15"/>
      <c r="T27" s="15"/>
      <c r="U27" s="15"/>
      <c r="V27" s="15"/>
      <c r="W27" s="15"/>
      <c r="X27" s="59"/>
      <c r="Y27" s="15"/>
      <c r="Z27" s="60"/>
      <c r="AA27" s="57"/>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row>
    <row r="28" spans="1:51" ht="15" customHeight="1">
      <c r="D28" s="32" t="s">
        <v>54</v>
      </c>
      <c r="E28" s="40" t="s">
        <v>53</v>
      </c>
      <c r="F28" s="54">
        <f>INDEX(H28:L28,$F$7)</f>
        <v>0</v>
      </c>
      <c r="G28" s="27"/>
      <c r="H28" s="58"/>
      <c r="I28" s="58">
        <v>1.5</v>
      </c>
      <c r="J28" s="58"/>
      <c r="K28" s="58"/>
      <c r="L28" s="58"/>
      <c r="X28" s="59"/>
      <c r="Y28" s="61"/>
      <c r="Z28" s="60"/>
      <c r="AA28" s="57"/>
    </row>
    <row r="29" spans="1:51" ht="15" customHeight="1">
      <c r="D29" s="32" t="s">
        <v>55</v>
      </c>
      <c r="E29" s="40" t="s">
        <v>53</v>
      </c>
      <c r="F29" s="54">
        <f>INDEX(H29:L29,$F$7)</f>
        <v>0</v>
      </c>
      <c r="G29" s="27"/>
      <c r="H29" s="58"/>
      <c r="I29" s="58">
        <v>2</v>
      </c>
      <c r="J29" s="58"/>
      <c r="K29" s="58"/>
      <c r="L29" s="58"/>
      <c r="X29" s="59"/>
      <c r="Y29" s="61"/>
      <c r="Z29" s="60"/>
      <c r="AA29" s="57"/>
    </row>
    <row r="30" spans="1:51" ht="15" customHeight="1">
      <c r="D30" s="32" t="s">
        <v>56</v>
      </c>
      <c r="E30" s="40" t="s">
        <v>53</v>
      </c>
      <c r="F30" s="54">
        <f>INDEX(H30:L30,$F$7)</f>
        <v>0</v>
      </c>
      <c r="G30" s="27"/>
      <c r="H30" s="58"/>
      <c r="I30" s="58">
        <v>2.5</v>
      </c>
      <c r="J30" s="58"/>
      <c r="K30" s="58"/>
      <c r="L30" s="58"/>
      <c r="X30" s="59"/>
      <c r="Y30" s="61"/>
      <c r="Z30" s="60"/>
      <c r="AA30" s="57"/>
    </row>
    <row r="31" spans="1:51" ht="15" customHeight="1">
      <c r="B31" s="62"/>
      <c r="D31" s="29" t="s">
        <v>57</v>
      </c>
      <c r="E31" s="63"/>
      <c r="F31" s="55"/>
      <c r="G31" s="27"/>
      <c r="H31" s="27"/>
      <c r="I31" s="27"/>
      <c r="J31" s="27"/>
      <c r="K31" s="27"/>
      <c r="L31" s="31"/>
    </row>
    <row r="32" spans="1:51" ht="15" customHeight="1">
      <c r="D32" s="32" t="s">
        <v>58</v>
      </c>
      <c r="E32" s="40" t="s">
        <v>17</v>
      </c>
      <c r="F32" s="41">
        <f t="shared" ref="F32:F43" si="8">INDEX(H32:L32,$F$7)</f>
        <v>0.4</v>
      </c>
      <c r="G32" s="27"/>
      <c r="H32" s="42">
        <v>0.4</v>
      </c>
      <c r="I32" s="42">
        <v>0.4</v>
      </c>
      <c r="J32" s="42"/>
      <c r="K32" s="42"/>
      <c r="L32" s="42"/>
    </row>
    <row r="33" spans="1:21" ht="15" customHeight="1">
      <c r="D33" s="32" t="s">
        <v>59</v>
      </c>
      <c r="E33" s="40" t="s">
        <v>17</v>
      </c>
      <c r="F33" s="41">
        <f t="shared" si="8"/>
        <v>0.5</v>
      </c>
      <c r="G33" s="27"/>
      <c r="H33" s="42">
        <v>0.5</v>
      </c>
      <c r="I33" s="42">
        <v>0.5</v>
      </c>
      <c r="J33" s="42"/>
      <c r="K33" s="42"/>
      <c r="L33" s="42"/>
    </row>
    <row r="34" spans="1:21" ht="15" customHeight="1">
      <c r="D34" s="32" t="s">
        <v>60</v>
      </c>
      <c r="E34" s="40" t="s">
        <v>17</v>
      </c>
      <c r="F34" s="41">
        <f t="shared" si="8"/>
        <v>0.6</v>
      </c>
      <c r="G34" s="27"/>
      <c r="H34" s="42">
        <v>0.6</v>
      </c>
      <c r="I34" s="42">
        <v>0.6</v>
      </c>
      <c r="J34" s="42"/>
      <c r="K34" s="42"/>
      <c r="L34" s="42"/>
    </row>
    <row r="35" spans="1:21" ht="15" customHeight="1">
      <c r="D35" s="32" t="s">
        <v>61</v>
      </c>
      <c r="E35" s="40" t="s">
        <v>17</v>
      </c>
      <c r="F35" s="41">
        <f t="shared" si="8"/>
        <v>0.65</v>
      </c>
      <c r="G35" s="27"/>
      <c r="H35" s="42">
        <v>0.65</v>
      </c>
      <c r="I35" s="42">
        <v>0.65</v>
      </c>
      <c r="J35" s="42"/>
      <c r="K35" s="42"/>
      <c r="L35" s="42"/>
    </row>
    <row r="36" spans="1:21" ht="15" customHeight="1">
      <c r="D36" s="32" t="s">
        <v>62</v>
      </c>
      <c r="E36" s="40" t="s">
        <v>17</v>
      </c>
      <c r="F36" s="64">
        <f t="shared" si="8"/>
        <v>0.75</v>
      </c>
      <c r="G36" s="27"/>
      <c r="H36" s="42">
        <v>0.75</v>
      </c>
      <c r="I36" s="42">
        <v>0.75</v>
      </c>
      <c r="J36" s="42"/>
      <c r="K36" s="42"/>
      <c r="L36" s="42"/>
    </row>
    <row r="37" spans="1:21" ht="15" customHeight="1">
      <c r="D37" s="29" t="s">
        <v>63</v>
      </c>
      <c r="E37" s="63" t="s">
        <v>17</v>
      </c>
      <c r="F37" s="41">
        <f t="shared" si="8"/>
        <v>0.2</v>
      </c>
      <c r="G37" s="27"/>
      <c r="H37" s="42">
        <v>0.2</v>
      </c>
      <c r="I37" s="42">
        <v>0.2</v>
      </c>
      <c r="J37" s="42">
        <v>0.3</v>
      </c>
      <c r="K37" s="42"/>
      <c r="L37" s="42"/>
    </row>
    <row r="38" spans="1:21" ht="15" customHeight="1">
      <c r="D38" s="32" t="s">
        <v>64</v>
      </c>
      <c r="E38" s="40" t="s">
        <v>20</v>
      </c>
      <c r="F38" s="65" t="str">
        <f t="shared" si="8"/>
        <v>deferred</v>
      </c>
      <c r="G38" s="27"/>
      <c r="H38" s="66" t="s">
        <v>65</v>
      </c>
      <c r="I38" s="66" t="s">
        <v>65</v>
      </c>
      <c r="J38" s="66" t="s">
        <v>65</v>
      </c>
      <c r="K38" s="66"/>
      <c r="L38" s="66"/>
    </row>
    <row r="39" spans="1:21" ht="15" customHeight="1">
      <c r="D39" s="32" t="s">
        <v>66</v>
      </c>
      <c r="E39" s="40" t="s">
        <v>20</v>
      </c>
      <c r="F39" s="65" t="str">
        <f t="shared" si="8"/>
        <v>deferred</v>
      </c>
      <c r="G39" s="27"/>
      <c r="H39" s="66" t="s">
        <v>65</v>
      </c>
      <c r="I39" s="66" t="s">
        <v>65</v>
      </c>
      <c r="J39" s="66" t="s">
        <v>65</v>
      </c>
      <c r="K39" s="66"/>
      <c r="L39" s="66"/>
    </row>
    <row r="40" spans="1:21" ht="15" customHeight="1">
      <c r="D40" s="32" t="s">
        <v>341</v>
      </c>
      <c r="E40" s="40" t="s">
        <v>32</v>
      </c>
      <c r="F40" s="21">
        <f t="shared" si="8"/>
        <v>10</v>
      </c>
      <c r="G40" s="27"/>
      <c r="H40" s="66">
        <v>10</v>
      </c>
      <c r="I40" s="66">
        <v>5</v>
      </c>
      <c r="J40" s="66">
        <v>5</v>
      </c>
      <c r="K40" s="66"/>
      <c r="L40" s="66"/>
    </row>
    <row r="41" spans="1:21" ht="15" customHeight="1">
      <c r="D41" s="67" t="s">
        <v>67</v>
      </c>
      <c r="E41" s="68" t="s">
        <v>17</v>
      </c>
      <c r="F41" s="45">
        <f t="shared" si="8"/>
        <v>0.05</v>
      </c>
      <c r="G41" s="27"/>
      <c r="H41" s="42">
        <v>0.05</v>
      </c>
      <c r="I41" s="42">
        <v>0.05</v>
      </c>
      <c r="J41" s="42">
        <v>0.05</v>
      </c>
      <c r="K41" s="42"/>
      <c r="L41" s="42"/>
    </row>
    <row r="42" spans="1:21" ht="15" customHeight="1">
      <c r="D42" s="29" t="s">
        <v>308</v>
      </c>
      <c r="E42" s="43" t="s">
        <v>17</v>
      </c>
      <c r="F42" s="45">
        <f t="shared" si="8"/>
        <v>0.1</v>
      </c>
      <c r="G42" s="27"/>
      <c r="H42" s="42">
        <v>0.1</v>
      </c>
      <c r="I42" s="42">
        <v>0.1</v>
      </c>
      <c r="J42" s="42">
        <v>0.1</v>
      </c>
      <c r="K42" s="42"/>
      <c r="L42" s="42"/>
      <c r="Q42" s="69"/>
      <c r="R42" s="27"/>
      <c r="S42" s="27"/>
      <c r="T42" s="27"/>
      <c r="U42" s="27"/>
    </row>
    <row r="43" spans="1:21" ht="15" customHeight="1">
      <c r="D43" s="36" t="s">
        <v>68</v>
      </c>
      <c r="E43" s="70" t="s">
        <v>20</v>
      </c>
      <c r="F43" s="65" t="str">
        <f t="shared" si="8"/>
        <v>development</v>
      </c>
      <c r="G43" s="71"/>
      <c r="H43" s="72" t="s">
        <v>69</v>
      </c>
      <c r="I43" s="72" t="s">
        <v>69</v>
      </c>
      <c r="J43" s="72" t="s">
        <v>69</v>
      </c>
      <c r="K43" s="72"/>
      <c r="L43" s="72"/>
      <c r="Q43" s="69"/>
      <c r="R43" s="27"/>
      <c r="S43" s="27"/>
      <c r="T43" s="27"/>
      <c r="U43" s="27"/>
    </row>
    <row r="44" spans="1:21" ht="15" customHeight="1">
      <c r="D44" s="25"/>
      <c r="F44" s="74"/>
      <c r="H44" s="15"/>
      <c r="Q44" s="69"/>
      <c r="R44" s="27"/>
      <c r="S44" s="27"/>
      <c r="T44" s="27"/>
      <c r="U44" s="27"/>
    </row>
    <row r="45" spans="1:21" ht="15" customHeight="1">
      <c r="D45" s="75" t="s">
        <v>70</v>
      </c>
      <c r="F45" s="74"/>
      <c r="H45" s="15"/>
      <c r="Q45" s="69"/>
      <c r="R45" s="27"/>
      <c r="S45" s="27"/>
      <c r="T45" s="27"/>
      <c r="U45" s="27"/>
    </row>
    <row r="46" spans="1:21" ht="15" customHeight="1">
      <c r="D46" s="76" t="s">
        <v>71</v>
      </c>
      <c r="E46" s="22" t="s">
        <v>17</v>
      </c>
      <c r="F46" s="362">
        <v>0.7</v>
      </c>
      <c r="G46" s="27"/>
      <c r="H46" s="15"/>
      <c r="Q46" s="69"/>
      <c r="R46" s="27"/>
      <c r="S46" s="27"/>
      <c r="T46" s="27"/>
      <c r="U46" s="27"/>
    </row>
    <row r="47" spans="1:21" ht="15" customHeight="1">
      <c r="D47" s="32" t="s">
        <v>72</v>
      </c>
      <c r="E47" s="40" t="s">
        <v>32</v>
      </c>
      <c r="F47" s="363">
        <v>5</v>
      </c>
      <c r="G47" s="27"/>
      <c r="H47" s="15"/>
      <c r="Q47" s="69"/>
      <c r="R47" s="27"/>
      <c r="S47" s="27"/>
      <c r="T47" s="27"/>
      <c r="U47" s="27"/>
    </row>
    <row r="48" spans="1:21" s="27" customFormat="1" ht="15" customHeight="1">
      <c r="A48" s="77"/>
      <c r="D48" s="78" t="s">
        <v>73</v>
      </c>
      <c r="E48" s="71" t="s">
        <v>17</v>
      </c>
      <c r="F48" s="364">
        <v>0.05</v>
      </c>
      <c r="H48" s="15"/>
      <c r="I48" s="15"/>
      <c r="J48" s="15"/>
      <c r="K48" s="15"/>
      <c r="L48" s="15"/>
      <c r="M48" s="15"/>
      <c r="Q48" s="69"/>
    </row>
    <row r="49" spans="1:36" ht="15" customHeight="1">
      <c r="D49" s="25"/>
      <c r="F49" s="74"/>
      <c r="H49" s="15"/>
      <c r="Q49" s="69"/>
      <c r="R49" s="27"/>
      <c r="S49" s="27"/>
      <c r="T49" s="27"/>
      <c r="U49" s="27"/>
    </row>
    <row r="50" spans="1:36" ht="15" customHeight="1">
      <c r="D50" s="75" t="s">
        <v>74</v>
      </c>
      <c r="F50" s="74"/>
      <c r="H50" s="15"/>
      <c r="Q50" s="69"/>
      <c r="R50" s="27"/>
      <c r="S50" s="27"/>
      <c r="T50" s="27"/>
      <c r="U50" s="27"/>
    </row>
    <row r="51" spans="1:36" ht="15" customHeight="1">
      <c r="D51" s="76" t="s">
        <v>75</v>
      </c>
      <c r="E51" s="22" t="s">
        <v>17</v>
      </c>
      <c r="F51" s="365">
        <v>0.1</v>
      </c>
      <c r="H51" s="15"/>
      <c r="Q51" s="69"/>
      <c r="R51" s="27"/>
      <c r="S51" s="27"/>
      <c r="T51" s="27"/>
      <c r="U51" s="27"/>
    </row>
    <row r="52" spans="1:36" ht="15" customHeight="1">
      <c r="D52" s="44" t="s">
        <v>76</v>
      </c>
      <c r="E52" s="27" t="s">
        <v>17</v>
      </c>
      <c r="F52" s="366">
        <v>0.125</v>
      </c>
      <c r="H52" s="15"/>
      <c r="Q52" s="69"/>
      <c r="R52" s="27"/>
      <c r="S52" s="27"/>
      <c r="T52" s="27"/>
      <c r="U52" s="27"/>
    </row>
    <row r="53" spans="1:36" ht="15" customHeight="1">
      <c r="D53" s="44" t="s">
        <v>77</v>
      </c>
      <c r="E53" s="27" t="s">
        <v>17</v>
      </c>
      <c r="F53" s="364">
        <v>0.02</v>
      </c>
      <c r="H53" s="15"/>
      <c r="Q53" s="69"/>
      <c r="R53" s="27"/>
      <c r="S53" s="27"/>
      <c r="T53" s="27"/>
      <c r="U53" s="27"/>
    </row>
    <row r="54" spans="1:36" ht="15" customHeight="1">
      <c r="D54" s="44" t="s">
        <v>78</v>
      </c>
      <c r="E54" s="27" t="s">
        <v>79</v>
      </c>
      <c r="F54" s="363">
        <v>365</v>
      </c>
      <c r="H54" s="15"/>
      <c r="Q54" s="69"/>
      <c r="R54" s="27"/>
      <c r="S54" s="27"/>
      <c r="T54" s="27"/>
      <c r="U54" s="27"/>
    </row>
    <row r="55" spans="1:36" ht="15" customHeight="1">
      <c r="D55" s="78" t="s">
        <v>80</v>
      </c>
      <c r="E55" s="71" t="s">
        <v>81</v>
      </c>
      <c r="F55" s="363">
        <v>60</v>
      </c>
      <c r="H55" s="15"/>
      <c r="Q55" s="69"/>
      <c r="R55" s="27"/>
      <c r="S55" s="27"/>
      <c r="T55" s="27"/>
      <c r="U55" s="27"/>
    </row>
    <row r="56" spans="1:36" ht="15" customHeight="1">
      <c r="D56" s="56"/>
      <c r="E56" s="27"/>
      <c r="F56" s="56"/>
      <c r="H56" s="15"/>
      <c r="Q56" s="69"/>
      <c r="R56" s="27"/>
      <c r="S56" s="27"/>
      <c r="T56" s="27"/>
      <c r="U56" s="27"/>
    </row>
    <row r="57" spans="1:36" ht="12" customHeight="1">
      <c r="A57" s="79"/>
      <c r="B57" s="14"/>
      <c r="C57" s="80"/>
      <c r="D57" s="81" t="s">
        <v>82</v>
      </c>
      <c r="E57" s="15"/>
      <c r="H57" s="82"/>
      <c r="I57" s="82"/>
      <c r="J57" s="82"/>
      <c r="K57" s="82"/>
      <c r="L57" s="82"/>
      <c r="M57" s="82"/>
      <c r="N57" s="82"/>
      <c r="O57" s="82"/>
      <c r="P57" s="82"/>
      <c r="Q57" s="82"/>
      <c r="R57" s="82"/>
      <c r="S57" s="82"/>
      <c r="T57" s="82"/>
      <c r="U57" s="82"/>
    </row>
    <row r="58" spans="1:36" s="27" customFormat="1" ht="12" customHeight="1">
      <c r="A58" s="77"/>
      <c r="C58" s="69" t="s">
        <v>379</v>
      </c>
      <c r="D58" s="16" t="s">
        <v>84</v>
      </c>
      <c r="E58" s="17" t="s">
        <v>0</v>
      </c>
      <c r="F58" s="17"/>
      <c r="G58" s="17">
        <v>1</v>
      </c>
      <c r="H58" s="17">
        <v>2</v>
      </c>
      <c r="I58" s="17">
        <v>3</v>
      </c>
      <c r="J58" s="17">
        <v>4</v>
      </c>
      <c r="K58" s="17">
        <v>5</v>
      </c>
      <c r="L58" s="17">
        <v>6</v>
      </c>
      <c r="M58" s="17">
        <v>7</v>
      </c>
      <c r="N58" s="17">
        <v>8</v>
      </c>
      <c r="O58" s="17">
        <v>9</v>
      </c>
      <c r="P58" s="17">
        <v>10</v>
      </c>
      <c r="Q58" s="17">
        <v>11</v>
      </c>
      <c r="R58" s="17">
        <v>12</v>
      </c>
      <c r="S58" s="17">
        <v>13</v>
      </c>
      <c r="T58" s="17"/>
      <c r="U58" s="18"/>
    </row>
    <row r="59" spans="1:36" s="27" customFormat="1" ht="12" customHeight="1">
      <c r="A59" s="77"/>
      <c r="B59" s="57"/>
      <c r="C59" s="83"/>
      <c r="D59" s="84" t="s">
        <v>85</v>
      </c>
      <c r="E59" s="40" t="s">
        <v>47</v>
      </c>
      <c r="G59" s="85">
        <v>0</v>
      </c>
      <c r="H59" s="86">
        <v>0</v>
      </c>
      <c r="I59" s="86">
        <v>10</v>
      </c>
      <c r="J59" s="86">
        <v>25</v>
      </c>
      <c r="K59" s="86">
        <v>75</v>
      </c>
      <c r="L59" s="86">
        <f t="shared" ref="L59:Q59" si="9">K59*0.8</f>
        <v>60</v>
      </c>
      <c r="M59" s="86">
        <f t="shared" si="9"/>
        <v>48</v>
      </c>
      <c r="N59" s="86">
        <f t="shared" si="9"/>
        <v>38.400000000000006</v>
      </c>
      <c r="O59" s="86">
        <f t="shared" si="9"/>
        <v>30.720000000000006</v>
      </c>
      <c r="P59" s="86">
        <f t="shared" si="9"/>
        <v>24.576000000000008</v>
      </c>
      <c r="Q59" s="86">
        <f t="shared" si="9"/>
        <v>19.660800000000009</v>
      </c>
      <c r="R59" s="86">
        <v>0</v>
      </c>
      <c r="S59" s="87">
        <v>0</v>
      </c>
      <c r="Z59" s="88"/>
      <c r="AA59" s="89"/>
      <c r="AB59" s="90"/>
      <c r="AC59" s="90"/>
      <c r="AD59" s="90"/>
      <c r="AE59" s="89"/>
      <c r="AF59" s="90"/>
      <c r="AG59" s="90"/>
      <c r="AH59" s="90"/>
      <c r="AI59" s="90"/>
      <c r="AJ59" s="91"/>
    </row>
    <row r="60" spans="1:36" ht="12" customHeight="1">
      <c r="B60" s="92"/>
      <c r="C60" s="11">
        <f>SUM(G60:S60)</f>
        <v>120.945232</v>
      </c>
      <c r="D60" s="91" t="s">
        <v>85</v>
      </c>
      <c r="E60" s="93" t="s">
        <v>86</v>
      </c>
      <c r="F60" s="93"/>
      <c r="G60" s="94">
        <f t="shared" ref="G60:S60" si="10">G59*$F$54/1000</f>
        <v>0</v>
      </c>
      <c r="H60" s="95">
        <f t="shared" si="10"/>
        <v>0</v>
      </c>
      <c r="I60" s="95">
        <f t="shared" si="10"/>
        <v>3.65</v>
      </c>
      <c r="J60" s="95">
        <f t="shared" si="10"/>
        <v>9.125</v>
      </c>
      <c r="K60" s="95">
        <f t="shared" si="10"/>
        <v>27.375</v>
      </c>
      <c r="L60" s="95">
        <f t="shared" si="10"/>
        <v>21.9</v>
      </c>
      <c r="M60" s="95">
        <f t="shared" si="10"/>
        <v>17.52</v>
      </c>
      <c r="N60" s="95">
        <f t="shared" si="10"/>
        <v>14.016000000000002</v>
      </c>
      <c r="O60" s="95">
        <f t="shared" si="10"/>
        <v>11.212800000000003</v>
      </c>
      <c r="P60" s="95">
        <f t="shared" si="10"/>
        <v>8.970240000000004</v>
      </c>
      <c r="Q60" s="95">
        <f t="shared" si="10"/>
        <v>7.1761920000000039</v>
      </c>
      <c r="R60" s="95">
        <f t="shared" si="10"/>
        <v>0</v>
      </c>
      <c r="S60" s="96">
        <f t="shared" si="10"/>
        <v>0</v>
      </c>
      <c r="T60" s="27"/>
      <c r="U60" s="27"/>
      <c r="V60" s="27"/>
      <c r="Z60" s="88"/>
      <c r="AA60" s="89"/>
      <c r="AB60" s="90"/>
      <c r="AC60" s="90"/>
      <c r="AD60" s="90"/>
      <c r="AE60" s="89"/>
      <c r="AF60" s="90"/>
      <c r="AG60" s="90"/>
      <c r="AH60" s="90"/>
      <c r="AI60" s="90"/>
      <c r="AJ60" s="38"/>
    </row>
    <row r="61" spans="1:36" ht="12" customHeight="1">
      <c r="B61" s="92"/>
      <c r="C61" s="11">
        <f>SUM(G61:S61)</f>
        <v>483.78092800000002</v>
      </c>
      <c r="D61" s="93" t="s">
        <v>87</v>
      </c>
      <c r="E61" s="40" t="s">
        <v>12</v>
      </c>
      <c r="F61" s="93"/>
      <c r="G61" s="94">
        <f>G60*4</f>
        <v>0</v>
      </c>
      <c r="H61" s="95">
        <f t="shared" ref="H61:S61" si="11">H60*4</f>
        <v>0</v>
      </c>
      <c r="I61" s="95">
        <f t="shared" si="11"/>
        <v>14.6</v>
      </c>
      <c r="J61" s="95">
        <f t="shared" si="11"/>
        <v>36.5</v>
      </c>
      <c r="K61" s="95">
        <f t="shared" si="11"/>
        <v>109.5</v>
      </c>
      <c r="L61" s="95">
        <f t="shared" si="11"/>
        <v>87.6</v>
      </c>
      <c r="M61" s="95">
        <f t="shared" si="11"/>
        <v>70.08</v>
      </c>
      <c r="N61" s="95">
        <f t="shared" si="11"/>
        <v>56.064000000000007</v>
      </c>
      <c r="O61" s="95">
        <f t="shared" si="11"/>
        <v>44.851200000000013</v>
      </c>
      <c r="P61" s="95">
        <f t="shared" si="11"/>
        <v>35.880960000000016</v>
      </c>
      <c r="Q61" s="95">
        <f t="shared" si="11"/>
        <v>28.704768000000016</v>
      </c>
      <c r="R61" s="95">
        <f t="shared" si="11"/>
        <v>0</v>
      </c>
      <c r="S61" s="96">
        <f t="shared" si="11"/>
        <v>0</v>
      </c>
      <c r="T61" s="27"/>
      <c r="U61" s="27"/>
      <c r="V61" s="27"/>
      <c r="Z61" s="88"/>
      <c r="AA61" s="89"/>
      <c r="AB61" s="90"/>
      <c r="AC61" s="90"/>
      <c r="AD61" s="90"/>
      <c r="AE61" s="89"/>
      <c r="AF61" s="90"/>
      <c r="AG61" s="90"/>
      <c r="AH61" s="90"/>
      <c r="AI61" s="90"/>
      <c r="AJ61" s="38"/>
    </row>
    <row r="62" spans="1:36" ht="12" customHeight="1">
      <c r="B62" s="92"/>
      <c r="C62" s="11">
        <f t="shared" ref="C62:C66" si="12">SUM(G62:S62)</f>
        <v>250</v>
      </c>
      <c r="D62" s="91" t="s">
        <v>88</v>
      </c>
      <c r="E62" s="40" t="s">
        <v>12</v>
      </c>
      <c r="F62" s="93"/>
      <c r="G62" s="94">
        <v>250</v>
      </c>
      <c r="H62" s="95">
        <v>0</v>
      </c>
      <c r="I62" s="95">
        <v>0</v>
      </c>
      <c r="J62" s="95">
        <v>0</v>
      </c>
      <c r="K62" s="95">
        <v>0</v>
      </c>
      <c r="L62" s="95">
        <v>0</v>
      </c>
      <c r="M62" s="95">
        <v>0</v>
      </c>
      <c r="N62" s="95">
        <v>0</v>
      </c>
      <c r="O62" s="95">
        <v>0</v>
      </c>
      <c r="P62" s="95">
        <v>0</v>
      </c>
      <c r="Q62" s="95">
        <v>0</v>
      </c>
      <c r="R62" s="95">
        <v>0</v>
      </c>
      <c r="S62" s="96">
        <v>0</v>
      </c>
      <c r="T62" s="27"/>
      <c r="U62" s="27"/>
      <c r="V62" s="27"/>
      <c r="Z62" s="88"/>
      <c r="AA62" s="89"/>
      <c r="AB62" s="90"/>
      <c r="AC62" s="90"/>
      <c r="AD62" s="90"/>
      <c r="AE62" s="89"/>
      <c r="AF62" s="90"/>
      <c r="AG62" s="90"/>
      <c r="AH62" s="90"/>
      <c r="AI62" s="90"/>
      <c r="AJ62" s="38"/>
    </row>
    <row r="63" spans="1:36" ht="12" customHeight="1">
      <c r="B63" s="92"/>
      <c r="C63" s="11">
        <f t="shared" si="12"/>
        <v>500</v>
      </c>
      <c r="D63" s="91" t="s">
        <v>89</v>
      </c>
      <c r="E63" s="40" t="s">
        <v>12</v>
      </c>
      <c r="F63" s="93"/>
      <c r="G63" s="94">
        <v>0</v>
      </c>
      <c r="H63" s="95">
        <v>500</v>
      </c>
      <c r="I63" s="95">
        <v>0</v>
      </c>
      <c r="J63" s="95">
        <v>0</v>
      </c>
      <c r="K63" s="95">
        <v>0</v>
      </c>
      <c r="L63" s="95">
        <v>0</v>
      </c>
      <c r="M63" s="95">
        <v>0</v>
      </c>
      <c r="N63" s="95">
        <v>0</v>
      </c>
      <c r="O63" s="95">
        <v>0</v>
      </c>
      <c r="P63" s="95">
        <v>0</v>
      </c>
      <c r="Q63" s="95">
        <v>0</v>
      </c>
      <c r="R63" s="95">
        <v>0</v>
      </c>
      <c r="S63" s="96">
        <v>0</v>
      </c>
      <c r="T63" s="27"/>
      <c r="U63" s="27"/>
      <c r="V63" s="27"/>
      <c r="Z63" s="88"/>
      <c r="AA63" s="89"/>
      <c r="AB63" s="90"/>
      <c r="AC63" s="90"/>
      <c r="AD63" s="90"/>
      <c r="AE63" s="89"/>
      <c r="AF63" s="90"/>
      <c r="AG63" s="90"/>
      <c r="AH63" s="90"/>
      <c r="AI63" s="90"/>
      <c r="AJ63" s="38"/>
    </row>
    <row r="64" spans="1:36" ht="12" customHeight="1">
      <c r="B64" s="92"/>
      <c r="C64" s="11">
        <f t="shared" si="12"/>
        <v>75</v>
      </c>
      <c r="D64" s="91" t="s">
        <v>336</v>
      </c>
      <c r="E64" s="40" t="s">
        <v>12</v>
      </c>
      <c r="F64" s="93"/>
      <c r="G64" s="94">
        <v>0</v>
      </c>
      <c r="H64" s="95">
        <v>0</v>
      </c>
      <c r="I64" s="95">
        <v>15</v>
      </c>
      <c r="J64" s="95">
        <v>15</v>
      </c>
      <c r="K64" s="95">
        <v>15</v>
      </c>
      <c r="L64" s="95">
        <v>15</v>
      </c>
      <c r="M64" s="95">
        <v>15</v>
      </c>
      <c r="N64" s="95">
        <v>0</v>
      </c>
      <c r="O64" s="95">
        <v>0</v>
      </c>
      <c r="P64" s="95">
        <v>0</v>
      </c>
      <c r="Q64" s="95">
        <v>0</v>
      </c>
      <c r="R64" s="95">
        <v>0</v>
      </c>
      <c r="S64" s="96">
        <v>0</v>
      </c>
      <c r="T64" s="27"/>
      <c r="U64" s="27"/>
      <c r="V64" s="27"/>
      <c r="Z64" s="88"/>
      <c r="AA64" s="89"/>
      <c r="AB64" s="90"/>
      <c r="AC64" s="90"/>
      <c r="AD64" s="90"/>
      <c r="AE64" s="89"/>
      <c r="AF64" s="90"/>
      <c r="AG64" s="90"/>
      <c r="AH64" s="90"/>
      <c r="AI64" s="90"/>
      <c r="AJ64" s="38"/>
    </row>
    <row r="65" spans="1:36" ht="12" customHeight="1">
      <c r="B65" s="92"/>
      <c r="C65" s="11">
        <f t="shared" si="12"/>
        <v>3628.3569600000001</v>
      </c>
      <c r="D65" s="91" t="s">
        <v>90</v>
      </c>
      <c r="E65" s="40" t="s">
        <v>12</v>
      </c>
      <c r="F65" s="93"/>
      <c r="G65" s="94">
        <v>0</v>
      </c>
      <c r="H65" s="95">
        <v>0</v>
      </c>
      <c r="I65" s="95">
        <v>109.5</v>
      </c>
      <c r="J65" s="95">
        <v>273.75</v>
      </c>
      <c r="K65" s="95">
        <v>821.25</v>
      </c>
      <c r="L65" s="95">
        <v>657</v>
      </c>
      <c r="M65" s="95">
        <v>525.6</v>
      </c>
      <c r="N65" s="95">
        <v>420.48</v>
      </c>
      <c r="O65" s="95">
        <v>336.38400000000001</v>
      </c>
      <c r="P65" s="95">
        <v>269.10719999999998</v>
      </c>
      <c r="Q65" s="95">
        <v>215.28576000000001</v>
      </c>
      <c r="R65" s="95">
        <v>0</v>
      </c>
      <c r="S65" s="96">
        <v>0</v>
      </c>
      <c r="T65" s="27"/>
      <c r="U65" s="27"/>
      <c r="V65" s="27"/>
      <c r="Z65" s="88"/>
      <c r="AA65" s="89"/>
      <c r="AB65" s="90"/>
      <c r="AC65" s="90"/>
      <c r="AD65" s="90"/>
      <c r="AE65" s="89"/>
      <c r="AF65" s="90"/>
      <c r="AG65" s="90"/>
      <c r="AH65" s="90"/>
      <c r="AI65" s="90"/>
      <c r="AJ65" s="38"/>
    </row>
    <row r="66" spans="1:36" ht="12" customHeight="1">
      <c r="B66" s="92"/>
      <c r="C66" s="11">
        <f t="shared" si="12"/>
        <v>200</v>
      </c>
      <c r="D66" s="91" t="s">
        <v>91</v>
      </c>
      <c r="E66" s="40" t="s">
        <v>12</v>
      </c>
      <c r="F66" s="93"/>
      <c r="G66" s="97">
        <v>0</v>
      </c>
      <c r="H66" s="98">
        <v>0</v>
      </c>
      <c r="I66" s="98">
        <v>0</v>
      </c>
      <c r="J66" s="98">
        <v>0</v>
      </c>
      <c r="K66" s="98">
        <v>0</v>
      </c>
      <c r="L66" s="98">
        <v>0</v>
      </c>
      <c r="M66" s="98">
        <v>0</v>
      </c>
      <c r="N66" s="98">
        <v>0</v>
      </c>
      <c r="O66" s="98">
        <v>0</v>
      </c>
      <c r="P66" s="98">
        <v>0</v>
      </c>
      <c r="Q66" s="98">
        <v>0</v>
      </c>
      <c r="R66" s="98">
        <v>200</v>
      </c>
      <c r="S66" s="99">
        <v>0</v>
      </c>
      <c r="T66" s="27"/>
      <c r="U66" s="27"/>
      <c r="V66" s="27"/>
      <c r="Z66" s="88"/>
      <c r="AA66" s="89"/>
      <c r="AB66" s="90"/>
      <c r="AC66" s="90"/>
      <c r="AD66" s="90"/>
      <c r="AE66" s="89"/>
      <c r="AF66" s="90"/>
      <c r="AG66" s="90"/>
      <c r="AH66" s="90"/>
      <c r="AI66" s="90"/>
      <c r="AJ66" s="38"/>
    </row>
    <row r="67" spans="1:36" ht="12" customHeight="1">
      <c r="B67" s="92"/>
      <c r="D67" s="91"/>
      <c r="E67" s="91"/>
      <c r="F67" s="91"/>
      <c r="G67" s="91"/>
      <c r="H67" s="91"/>
      <c r="I67" s="91"/>
      <c r="J67" s="91"/>
      <c r="K67" s="91"/>
      <c r="L67" s="91"/>
      <c r="M67" s="91"/>
      <c r="N67" s="91"/>
      <c r="O67" s="91"/>
      <c r="P67" s="91"/>
      <c r="Q67" s="91"/>
      <c r="R67" s="91"/>
      <c r="S67" s="91"/>
      <c r="T67" s="91"/>
      <c r="U67" s="91"/>
      <c r="V67" s="27"/>
      <c r="Z67" s="88"/>
      <c r="AA67" s="89"/>
      <c r="AB67" s="90"/>
      <c r="AC67" s="90"/>
      <c r="AD67" s="90"/>
      <c r="AE67" s="89"/>
      <c r="AF67" s="90"/>
      <c r="AG67" s="90"/>
      <c r="AH67" s="90"/>
      <c r="AI67" s="90"/>
      <c r="AJ67" s="38"/>
    </row>
    <row r="68" spans="1:36" ht="12" customHeight="1">
      <c r="B68" s="14"/>
      <c r="D68" s="16" t="s">
        <v>92</v>
      </c>
      <c r="E68" s="17"/>
      <c r="F68" s="17"/>
      <c r="G68" s="17"/>
      <c r="H68" s="17"/>
      <c r="I68" s="17"/>
      <c r="J68" s="17"/>
      <c r="K68" s="17"/>
      <c r="L68" s="17"/>
      <c r="M68" s="17"/>
      <c r="N68" s="17"/>
      <c r="O68" s="17"/>
      <c r="P68" s="17"/>
      <c r="Q68" s="17"/>
      <c r="R68" s="17"/>
      <c r="S68" s="17"/>
      <c r="T68" s="17"/>
      <c r="U68" s="18"/>
      <c r="V68" s="27"/>
      <c r="W68" s="100"/>
      <c r="X68" s="100"/>
      <c r="Y68" s="27"/>
      <c r="Z68" s="88"/>
      <c r="AA68" s="89"/>
      <c r="AB68" s="90"/>
      <c r="AC68" s="90"/>
      <c r="AD68" s="90"/>
      <c r="AE68" s="89"/>
      <c r="AF68" s="90"/>
      <c r="AG68" s="90"/>
      <c r="AH68" s="90"/>
      <c r="AI68" s="90"/>
      <c r="AJ68" s="38"/>
    </row>
    <row r="69" spans="1:36" ht="12" customHeight="1">
      <c r="B69" s="92"/>
      <c r="D69" s="91" t="s">
        <v>93</v>
      </c>
      <c r="E69" s="40" t="s">
        <v>94</v>
      </c>
      <c r="F69" s="93"/>
      <c r="G69" s="15">
        <f>$F$55</f>
        <v>60</v>
      </c>
      <c r="H69" s="15">
        <f t="shared" ref="H69:S69" si="13">$F$55</f>
        <v>60</v>
      </c>
      <c r="I69" s="15">
        <f t="shared" si="13"/>
        <v>60</v>
      </c>
      <c r="J69" s="15">
        <f t="shared" si="13"/>
        <v>60</v>
      </c>
      <c r="K69" s="15">
        <f t="shared" si="13"/>
        <v>60</v>
      </c>
      <c r="L69" s="15">
        <f t="shared" si="13"/>
        <v>60</v>
      </c>
      <c r="M69" s="15">
        <f t="shared" si="13"/>
        <v>60</v>
      </c>
      <c r="N69" s="15">
        <f t="shared" si="13"/>
        <v>60</v>
      </c>
      <c r="O69" s="15">
        <f t="shared" si="13"/>
        <v>60</v>
      </c>
      <c r="P69" s="15">
        <f t="shared" si="13"/>
        <v>60</v>
      </c>
      <c r="Q69" s="15">
        <f t="shared" si="13"/>
        <v>60</v>
      </c>
      <c r="R69" s="15">
        <f t="shared" si="13"/>
        <v>60</v>
      </c>
      <c r="S69" s="15">
        <f t="shared" si="13"/>
        <v>60</v>
      </c>
      <c r="V69" s="27"/>
      <c r="Z69" s="88"/>
      <c r="AA69" s="89"/>
      <c r="AB69" s="90"/>
      <c r="AC69" s="90"/>
      <c r="AD69" s="90"/>
      <c r="AE69" s="89"/>
      <c r="AF69" s="90"/>
      <c r="AG69" s="90"/>
      <c r="AH69" s="90"/>
      <c r="AI69" s="90"/>
      <c r="AJ69" s="38"/>
    </row>
    <row r="70" spans="1:36" ht="12" customHeight="1">
      <c r="B70" s="92"/>
      <c r="D70" s="91"/>
      <c r="E70" s="40"/>
      <c r="F70" s="93"/>
      <c r="H70" s="15"/>
      <c r="V70" s="27"/>
      <c r="Z70" s="88"/>
      <c r="AA70" s="89"/>
      <c r="AB70" s="90"/>
      <c r="AC70" s="90"/>
      <c r="AD70" s="90"/>
      <c r="AE70" s="89"/>
      <c r="AF70" s="90"/>
      <c r="AG70" s="90"/>
      <c r="AH70" s="90"/>
      <c r="AI70" s="90"/>
      <c r="AJ70" s="38"/>
    </row>
    <row r="71" spans="1:36" ht="12" customHeight="1">
      <c r="B71" s="92"/>
      <c r="C71" s="101"/>
      <c r="D71" s="16" t="s">
        <v>95</v>
      </c>
      <c r="E71" s="17" t="s">
        <v>0</v>
      </c>
      <c r="F71" s="17"/>
      <c r="G71" s="204">
        <v>1</v>
      </c>
      <c r="H71" s="204">
        <f>G71+1</f>
        <v>2</v>
      </c>
      <c r="I71" s="204">
        <f t="shared" ref="I71:S71" si="14">H71+1</f>
        <v>3</v>
      </c>
      <c r="J71" s="204">
        <f t="shared" si="14"/>
        <v>4</v>
      </c>
      <c r="K71" s="204">
        <f t="shared" si="14"/>
        <v>5</v>
      </c>
      <c r="L71" s="204">
        <f t="shared" si="14"/>
        <v>6</v>
      </c>
      <c r="M71" s="204">
        <f t="shared" si="14"/>
        <v>7</v>
      </c>
      <c r="N71" s="204">
        <f t="shared" si="14"/>
        <v>8</v>
      </c>
      <c r="O71" s="204">
        <f t="shared" si="14"/>
        <v>9</v>
      </c>
      <c r="P71" s="204">
        <f t="shared" si="14"/>
        <v>10</v>
      </c>
      <c r="Q71" s="204">
        <f t="shared" si="14"/>
        <v>11</v>
      </c>
      <c r="R71" s="204">
        <f t="shared" si="14"/>
        <v>12</v>
      </c>
      <c r="S71" s="204">
        <f t="shared" si="14"/>
        <v>13</v>
      </c>
      <c r="T71" s="17"/>
      <c r="U71" s="18"/>
      <c r="V71" s="27"/>
      <c r="W71" s="100"/>
      <c r="X71" s="100"/>
      <c r="Y71" s="27"/>
      <c r="Z71" s="88"/>
      <c r="AA71" s="89"/>
      <c r="AB71" s="90"/>
      <c r="AC71" s="90"/>
      <c r="AD71" s="90"/>
      <c r="AE71" s="89"/>
      <c r="AF71" s="90"/>
      <c r="AG71" s="90"/>
      <c r="AH71" s="90"/>
      <c r="AI71" s="90"/>
      <c r="AJ71" s="38"/>
    </row>
    <row r="72" spans="1:36" s="38" customFormat="1" ht="12" customHeight="1">
      <c r="A72" s="102"/>
      <c r="B72" s="103"/>
      <c r="C72" s="11">
        <f>SUM(G72:S72)</f>
        <v>120.945232</v>
      </c>
      <c r="D72" s="104" t="s">
        <v>85</v>
      </c>
      <c r="E72" s="104" t="s">
        <v>86</v>
      </c>
      <c r="F72" s="105"/>
      <c r="G72" s="105">
        <f t="shared" ref="G72:S72" si="15">G60</f>
        <v>0</v>
      </c>
      <c r="H72" s="105">
        <f t="shared" si="15"/>
        <v>0</v>
      </c>
      <c r="I72" s="105">
        <f t="shared" si="15"/>
        <v>3.65</v>
      </c>
      <c r="J72" s="105">
        <f t="shared" si="15"/>
        <v>9.125</v>
      </c>
      <c r="K72" s="105">
        <f t="shared" si="15"/>
        <v>27.375</v>
      </c>
      <c r="L72" s="105">
        <f t="shared" si="15"/>
        <v>21.9</v>
      </c>
      <c r="M72" s="105">
        <f t="shared" si="15"/>
        <v>17.52</v>
      </c>
      <c r="N72" s="105">
        <f t="shared" si="15"/>
        <v>14.016000000000002</v>
      </c>
      <c r="O72" s="105">
        <f t="shared" si="15"/>
        <v>11.212800000000003</v>
      </c>
      <c r="P72" s="105">
        <f t="shared" si="15"/>
        <v>8.970240000000004</v>
      </c>
      <c r="Q72" s="105">
        <f t="shared" si="15"/>
        <v>7.1761920000000039</v>
      </c>
      <c r="R72" s="105">
        <f t="shared" si="15"/>
        <v>0</v>
      </c>
      <c r="S72" s="105">
        <f t="shared" si="15"/>
        <v>0</v>
      </c>
      <c r="T72" s="105"/>
      <c r="U72" s="105"/>
      <c r="V72" s="91"/>
      <c r="W72" s="89"/>
      <c r="X72" s="89"/>
      <c r="Y72" s="91"/>
      <c r="Z72" s="88"/>
      <c r="AA72" s="89"/>
      <c r="AB72" s="90"/>
      <c r="AC72" s="90"/>
      <c r="AD72" s="90"/>
      <c r="AE72" s="89"/>
      <c r="AF72" s="90"/>
      <c r="AG72" s="90"/>
      <c r="AH72" s="90"/>
      <c r="AI72" s="90"/>
    </row>
    <row r="73" spans="1:36" ht="12" customHeight="1">
      <c r="B73" s="92"/>
      <c r="C73" s="11">
        <f t="shared" ref="C73:C82" si="16">SUM(G73:S73)</f>
        <v>7256.7139200000011</v>
      </c>
      <c r="D73" s="84" t="s">
        <v>96</v>
      </c>
      <c r="E73" s="40" t="s">
        <v>12</v>
      </c>
      <c r="F73" s="27"/>
      <c r="G73" s="105">
        <f t="shared" ref="G73:S73" si="17">G72*G69</f>
        <v>0</v>
      </c>
      <c r="H73" s="105">
        <f t="shared" si="17"/>
        <v>0</v>
      </c>
      <c r="I73" s="105">
        <f t="shared" si="17"/>
        <v>219</v>
      </c>
      <c r="J73" s="105">
        <f t="shared" si="17"/>
        <v>547.5</v>
      </c>
      <c r="K73" s="105">
        <f t="shared" si="17"/>
        <v>1642.5</v>
      </c>
      <c r="L73" s="105">
        <f t="shared" si="17"/>
        <v>1314</v>
      </c>
      <c r="M73" s="105">
        <f t="shared" si="17"/>
        <v>1051.2</v>
      </c>
      <c r="N73" s="105">
        <f t="shared" si="17"/>
        <v>840.96000000000015</v>
      </c>
      <c r="O73" s="105">
        <f t="shared" si="17"/>
        <v>672.76800000000014</v>
      </c>
      <c r="P73" s="105">
        <f t="shared" si="17"/>
        <v>538.2144000000003</v>
      </c>
      <c r="Q73" s="105">
        <f t="shared" si="17"/>
        <v>430.57152000000025</v>
      </c>
      <c r="R73" s="105">
        <f t="shared" si="17"/>
        <v>0</v>
      </c>
      <c r="S73" s="105">
        <f t="shared" si="17"/>
        <v>0</v>
      </c>
      <c r="T73" s="105"/>
      <c r="U73" s="105"/>
      <c r="V73" s="27"/>
      <c r="W73" s="100"/>
      <c r="X73" s="100"/>
      <c r="Y73" s="27"/>
      <c r="Z73" s="88"/>
      <c r="AA73" s="89"/>
      <c r="AB73" s="90"/>
      <c r="AC73" s="90"/>
      <c r="AD73" s="90"/>
      <c r="AE73" s="89"/>
      <c r="AF73" s="90"/>
      <c r="AG73" s="90"/>
      <c r="AH73" s="90"/>
      <c r="AI73" s="90"/>
      <c r="AJ73" s="38"/>
    </row>
    <row r="74" spans="1:36" ht="12" customHeight="1">
      <c r="B74" s="92"/>
      <c r="C74" s="11">
        <f t="shared" si="16"/>
        <v>483.78092800000002</v>
      </c>
      <c r="D74" s="106" t="s">
        <v>87</v>
      </c>
      <c r="E74" s="40" t="s">
        <v>12</v>
      </c>
      <c r="F74" s="27"/>
      <c r="G74" s="105">
        <f>G61</f>
        <v>0</v>
      </c>
      <c r="H74" s="105">
        <f t="shared" ref="H74:S74" si="18">H61</f>
        <v>0</v>
      </c>
      <c r="I74" s="105">
        <f t="shared" si="18"/>
        <v>14.6</v>
      </c>
      <c r="J74" s="105">
        <f t="shared" si="18"/>
        <v>36.5</v>
      </c>
      <c r="K74" s="105">
        <f t="shared" si="18"/>
        <v>109.5</v>
      </c>
      <c r="L74" s="105">
        <f t="shared" si="18"/>
        <v>87.6</v>
      </c>
      <c r="M74" s="105">
        <f t="shared" si="18"/>
        <v>70.08</v>
      </c>
      <c r="N74" s="105">
        <f t="shared" si="18"/>
        <v>56.064000000000007</v>
      </c>
      <c r="O74" s="105">
        <f t="shared" si="18"/>
        <v>44.851200000000013</v>
      </c>
      <c r="P74" s="105">
        <f t="shared" si="18"/>
        <v>35.880960000000016</v>
      </c>
      <c r="Q74" s="105">
        <f t="shared" si="18"/>
        <v>28.704768000000016</v>
      </c>
      <c r="R74" s="105">
        <f t="shared" si="18"/>
        <v>0</v>
      </c>
      <c r="S74" s="105">
        <f t="shared" si="18"/>
        <v>0</v>
      </c>
      <c r="T74" s="105"/>
      <c r="U74" s="105"/>
      <c r="V74" s="27"/>
      <c r="W74" s="100"/>
      <c r="X74" s="100"/>
      <c r="Y74" s="27"/>
      <c r="Z74" s="88"/>
      <c r="AA74" s="89"/>
      <c r="AB74" s="90"/>
      <c r="AC74" s="90"/>
      <c r="AD74" s="90"/>
      <c r="AE74" s="89"/>
      <c r="AF74" s="90"/>
      <c r="AG74" s="90"/>
      <c r="AH74" s="90"/>
      <c r="AI74" s="90"/>
      <c r="AJ74" s="38"/>
    </row>
    <row r="75" spans="1:36" ht="12" customHeight="1">
      <c r="A75" s="107" t="b">
        <f>ROUND(C75-(C73-C74),5)=0</f>
        <v>1</v>
      </c>
      <c r="B75" s="92"/>
      <c r="C75" s="11">
        <f t="shared" si="16"/>
        <v>6772.9329920000009</v>
      </c>
      <c r="D75" s="91" t="s">
        <v>97</v>
      </c>
      <c r="E75" s="40" t="s">
        <v>12</v>
      </c>
      <c r="F75" s="27"/>
      <c r="G75" s="105">
        <f>G73-G74</f>
        <v>0</v>
      </c>
      <c r="H75" s="105">
        <f t="shared" ref="H75:S75" si="19">H73-H74</f>
        <v>0</v>
      </c>
      <c r="I75" s="105">
        <f t="shared" si="19"/>
        <v>204.4</v>
      </c>
      <c r="J75" s="105">
        <f t="shared" si="19"/>
        <v>511</v>
      </c>
      <c r="K75" s="105">
        <f t="shared" si="19"/>
        <v>1533</v>
      </c>
      <c r="L75" s="105">
        <f t="shared" si="19"/>
        <v>1226.4000000000001</v>
      </c>
      <c r="M75" s="105">
        <f t="shared" si="19"/>
        <v>981.12</v>
      </c>
      <c r="N75" s="105">
        <f t="shared" si="19"/>
        <v>784.89600000000019</v>
      </c>
      <c r="O75" s="105">
        <f t="shared" si="19"/>
        <v>627.91680000000008</v>
      </c>
      <c r="P75" s="105">
        <f t="shared" si="19"/>
        <v>502.33344000000028</v>
      </c>
      <c r="Q75" s="105">
        <f t="shared" si="19"/>
        <v>401.86675200000025</v>
      </c>
      <c r="R75" s="105">
        <f t="shared" si="19"/>
        <v>0</v>
      </c>
      <c r="S75" s="105">
        <f t="shared" si="19"/>
        <v>0</v>
      </c>
      <c r="T75" s="105"/>
      <c r="U75" s="105"/>
      <c r="V75" s="27"/>
      <c r="W75" s="100"/>
      <c r="X75" s="100"/>
      <c r="Y75" s="27"/>
      <c r="Z75" s="88"/>
      <c r="AA75" s="89"/>
      <c r="AB75" s="90"/>
      <c r="AC75" s="90"/>
      <c r="AD75" s="90"/>
      <c r="AE75" s="89"/>
      <c r="AF75" s="90"/>
      <c r="AG75" s="90"/>
      <c r="AH75" s="90"/>
      <c r="AI75" s="90"/>
      <c r="AJ75" s="38"/>
    </row>
    <row r="76" spans="1:36" ht="12" customHeight="1">
      <c r="B76" s="92"/>
      <c r="C76" s="11">
        <f t="shared" si="16"/>
        <v>250</v>
      </c>
      <c r="D76" s="91" t="s">
        <v>88</v>
      </c>
      <c r="E76" s="40" t="s">
        <v>12</v>
      </c>
      <c r="F76" s="27"/>
      <c r="G76" s="105">
        <f t="shared" ref="G76:S76" si="20">G62</f>
        <v>250</v>
      </c>
      <c r="H76" s="105">
        <f t="shared" si="20"/>
        <v>0</v>
      </c>
      <c r="I76" s="105">
        <f t="shared" si="20"/>
        <v>0</v>
      </c>
      <c r="J76" s="105">
        <f t="shared" si="20"/>
        <v>0</v>
      </c>
      <c r="K76" s="105">
        <f t="shared" si="20"/>
        <v>0</v>
      </c>
      <c r="L76" s="105">
        <f t="shared" si="20"/>
        <v>0</v>
      </c>
      <c r="M76" s="105">
        <f t="shared" si="20"/>
        <v>0</v>
      </c>
      <c r="N76" s="105">
        <f t="shared" si="20"/>
        <v>0</v>
      </c>
      <c r="O76" s="105">
        <f t="shared" si="20"/>
        <v>0</v>
      </c>
      <c r="P76" s="105">
        <f t="shared" si="20"/>
        <v>0</v>
      </c>
      <c r="Q76" s="105">
        <f t="shared" si="20"/>
        <v>0</v>
      </c>
      <c r="R76" s="105">
        <f t="shared" si="20"/>
        <v>0</v>
      </c>
      <c r="S76" s="105">
        <f t="shared" si="20"/>
        <v>0</v>
      </c>
      <c r="T76" s="105"/>
      <c r="U76" s="105"/>
      <c r="V76" s="27"/>
      <c r="W76" s="100"/>
      <c r="X76" s="100"/>
      <c r="Y76" s="27"/>
      <c r="Z76" s="88"/>
      <c r="AA76" s="89"/>
      <c r="AB76" s="90"/>
      <c r="AC76" s="90"/>
      <c r="AD76" s="90"/>
      <c r="AE76" s="89"/>
      <c r="AF76" s="90"/>
      <c r="AG76" s="90"/>
      <c r="AH76" s="90"/>
      <c r="AI76" s="90"/>
      <c r="AJ76" s="38"/>
    </row>
    <row r="77" spans="1:36" ht="12" customHeight="1">
      <c r="B77" s="92"/>
      <c r="C77" s="11">
        <f t="shared" si="16"/>
        <v>500</v>
      </c>
      <c r="D77" s="91" t="s">
        <v>89</v>
      </c>
      <c r="E77" s="40" t="s">
        <v>12</v>
      </c>
      <c r="G77" s="105">
        <f t="shared" ref="G77:S77" si="21">G63</f>
        <v>0</v>
      </c>
      <c r="H77" s="105">
        <f t="shared" si="21"/>
        <v>500</v>
      </c>
      <c r="I77" s="105">
        <f t="shared" si="21"/>
        <v>0</v>
      </c>
      <c r="J77" s="105">
        <f t="shared" si="21"/>
        <v>0</v>
      </c>
      <c r="K77" s="105">
        <f t="shared" si="21"/>
        <v>0</v>
      </c>
      <c r="L77" s="105">
        <f t="shared" si="21"/>
        <v>0</v>
      </c>
      <c r="M77" s="105">
        <f t="shared" si="21"/>
        <v>0</v>
      </c>
      <c r="N77" s="105">
        <f t="shared" si="21"/>
        <v>0</v>
      </c>
      <c r="O77" s="105">
        <f t="shared" si="21"/>
        <v>0</v>
      </c>
      <c r="P77" s="105">
        <f t="shared" si="21"/>
        <v>0</v>
      </c>
      <c r="Q77" s="105">
        <f t="shared" si="21"/>
        <v>0</v>
      </c>
      <c r="R77" s="105">
        <f t="shared" si="21"/>
        <v>0</v>
      </c>
      <c r="S77" s="105">
        <f t="shared" si="21"/>
        <v>0</v>
      </c>
      <c r="T77" s="105"/>
      <c r="U77" s="105"/>
      <c r="V77" s="27"/>
      <c r="W77" s="100"/>
      <c r="X77" s="100"/>
      <c r="Y77" s="27"/>
      <c r="Z77" s="88"/>
      <c r="AA77" s="89"/>
      <c r="AB77" s="90"/>
      <c r="AC77" s="90"/>
      <c r="AD77" s="90"/>
      <c r="AE77" s="89"/>
      <c r="AF77" s="90"/>
      <c r="AG77" s="90"/>
      <c r="AH77" s="90"/>
      <c r="AI77" s="90"/>
      <c r="AJ77" s="38"/>
    </row>
    <row r="78" spans="1:36" ht="12" customHeight="1">
      <c r="B78" s="92"/>
      <c r="C78" s="11">
        <f t="shared" ref="C78" si="22">SUM(G78:S78)</f>
        <v>75</v>
      </c>
      <c r="D78" s="91" t="s">
        <v>336</v>
      </c>
      <c r="E78" s="40" t="s">
        <v>12</v>
      </c>
      <c r="G78" s="105">
        <f t="shared" ref="G78:S78" si="23">G64</f>
        <v>0</v>
      </c>
      <c r="H78" s="105">
        <f t="shared" si="23"/>
        <v>0</v>
      </c>
      <c r="I78" s="105">
        <f t="shared" si="23"/>
        <v>15</v>
      </c>
      <c r="J78" s="105">
        <f t="shared" si="23"/>
        <v>15</v>
      </c>
      <c r="K78" s="105">
        <f t="shared" si="23"/>
        <v>15</v>
      </c>
      <c r="L78" s="105">
        <f t="shared" si="23"/>
        <v>15</v>
      </c>
      <c r="M78" s="105">
        <f t="shared" si="23"/>
        <v>15</v>
      </c>
      <c r="N78" s="105">
        <f t="shared" si="23"/>
        <v>0</v>
      </c>
      <c r="O78" s="105">
        <f t="shared" si="23"/>
        <v>0</v>
      </c>
      <c r="P78" s="105">
        <f t="shared" si="23"/>
        <v>0</v>
      </c>
      <c r="Q78" s="105">
        <f t="shared" si="23"/>
        <v>0</v>
      </c>
      <c r="R78" s="105">
        <f t="shared" si="23"/>
        <v>0</v>
      </c>
      <c r="S78" s="105">
        <f t="shared" si="23"/>
        <v>0</v>
      </c>
      <c r="T78" s="105"/>
      <c r="U78" s="105"/>
      <c r="V78" s="27"/>
      <c r="W78" s="100"/>
      <c r="X78" s="100"/>
      <c r="Y78" s="27"/>
      <c r="Z78" s="88"/>
      <c r="AA78" s="89"/>
      <c r="AB78" s="90"/>
      <c r="AC78" s="90"/>
      <c r="AD78" s="90"/>
      <c r="AE78" s="89"/>
      <c r="AF78" s="90"/>
      <c r="AG78" s="90"/>
      <c r="AH78" s="90"/>
      <c r="AI78" s="90"/>
      <c r="AJ78" s="38"/>
    </row>
    <row r="79" spans="1:36" ht="12" customHeight="1">
      <c r="B79" s="92"/>
      <c r="C79" s="11">
        <f t="shared" si="16"/>
        <v>3628.3569600000001</v>
      </c>
      <c r="D79" s="82" t="s">
        <v>90</v>
      </c>
      <c r="E79" s="40" t="s">
        <v>12</v>
      </c>
      <c r="G79" s="105">
        <f t="shared" ref="G79:S80" si="24">G65</f>
        <v>0</v>
      </c>
      <c r="H79" s="105">
        <f t="shared" si="24"/>
        <v>0</v>
      </c>
      <c r="I79" s="105">
        <f t="shared" si="24"/>
        <v>109.5</v>
      </c>
      <c r="J79" s="105">
        <f t="shared" si="24"/>
        <v>273.75</v>
      </c>
      <c r="K79" s="105">
        <f t="shared" si="24"/>
        <v>821.25</v>
      </c>
      <c r="L79" s="105">
        <f t="shared" si="24"/>
        <v>657</v>
      </c>
      <c r="M79" s="105">
        <f t="shared" si="24"/>
        <v>525.6</v>
      </c>
      <c r="N79" s="105">
        <f t="shared" si="24"/>
        <v>420.48</v>
      </c>
      <c r="O79" s="105">
        <f t="shared" si="24"/>
        <v>336.38400000000001</v>
      </c>
      <c r="P79" s="105">
        <f t="shared" si="24"/>
        <v>269.10719999999998</v>
      </c>
      <c r="Q79" s="105">
        <f t="shared" si="24"/>
        <v>215.28576000000001</v>
      </c>
      <c r="R79" s="105">
        <f t="shared" si="24"/>
        <v>0</v>
      </c>
      <c r="S79" s="105">
        <f t="shared" si="24"/>
        <v>0</v>
      </c>
      <c r="T79" s="105"/>
      <c r="U79" s="105"/>
      <c r="V79" s="27"/>
      <c r="W79" s="100"/>
      <c r="X79" s="100"/>
      <c r="Y79" s="27"/>
      <c r="Z79" s="88"/>
      <c r="AA79" s="89"/>
      <c r="AB79" s="90"/>
      <c r="AC79" s="90"/>
      <c r="AD79" s="90"/>
      <c r="AE79" s="89"/>
      <c r="AF79" s="90"/>
      <c r="AG79" s="90"/>
      <c r="AH79" s="90"/>
      <c r="AI79" s="90"/>
      <c r="AJ79" s="38"/>
    </row>
    <row r="80" spans="1:36" ht="12" customHeight="1">
      <c r="B80" s="92"/>
      <c r="C80" s="11">
        <f t="shared" si="16"/>
        <v>200</v>
      </c>
      <c r="D80" s="82" t="s">
        <v>91</v>
      </c>
      <c r="E80" s="40" t="s">
        <v>12</v>
      </c>
      <c r="G80" s="105">
        <f t="shared" si="24"/>
        <v>0</v>
      </c>
      <c r="H80" s="105">
        <f t="shared" si="24"/>
        <v>0</v>
      </c>
      <c r="I80" s="105">
        <f t="shared" si="24"/>
        <v>0</v>
      </c>
      <c r="J80" s="105">
        <f t="shared" si="24"/>
        <v>0</v>
      </c>
      <c r="K80" s="105">
        <f t="shared" si="24"/>
        <v>0</v>
      </c>
      <c r="L80" s="105">
        <f t="shared" si="24"/>
        <v>0</v>
      </c>
      <c r="M80" s="105">
        <f t="shared" si="24"/>
        <v>0</v>
      </c>
      <c r="N80" s="105">
        <f t="shared" si="24"/>
        <v>0</v>
      </c>
      <c r="O80" s="105">
        <f t="shared" si="24"/>
        <v>0</v>
      </c>
      <c r="P80" s="105">
        <f t="shared" si="24"/>
        <v>0</v>
      </c>
      <c r="Q80" s="105">
        <f t="shared" si="24"/>
        <v>0</v>
      </c>
      <c r="R80" s="105">
        <f t="shared" si="24"/>
        <v>200</v>
      </c>
      <c r="S80" s="105">
        <f t="shared" si="24"/>
        <v>0</v>
      </c>
      <c r="T80" s="105"/>
      <c r="U80" s="105"/>
      <c r="V80" s="27"/>
      <c r="W80" s="100"/>
      <c r="X80" s="100"/>
      <c r="Y80" s="27"/>
      <c r="Z80" s="88"/>
      <c r="AA80" s="89"/>
      <c r="AB80" s="90"/>
      <c r="AC80" s="90"/>
      <c r="AD80" s="90"/>
      <c r="AE80" s="89"/>
      <c r="AF80" s="90"/>
      <c r="AG80" s="90"/>
      <c r="AH80" s="90"/>
      <c r="AI80" s="90"/>
      <c r="AJ80" s="38"/>
    </row>
    <row r="81" spans="1:36" ht="12" customHeight="1">
      <c r="B81" s="92"/>
      <c r="C81" s="11">
        <f t="shared" si="16"/>
        <v>4653.3569600000001</v>
      </c>
      <c r="D81" s="82" t="s">
        <v>98</v>
      </c>
      <c r="E81" s="40" t="s">
        <v>12</v>
      </c>
      <c r="G81" s="105">
        <f>SUM(G76:G80)</f>
        <v>250</v>
      </c>
      <c r="H81" s="105">
        <f t="shared" ref="H81:S81" si="25">SUM(H76:H80)</f>
        <v>500</v>
      </c>
      <c r="I81" s="105">
        <f t="shared" si="25"/>
        <v>124.5</v>
      </c>
      <c r="J81" s="105">
        <f t="shared" si="25"/>
        <v>288.75</v>
      </c>
      <c r="K81" s="105">
        <f t="shared" si="25"/>
        <v>836.25</v>
      </c>
      <c r="L81" s="105">
        <f t="shared" si="25"/>
        <v>672</v>
      </c>
      <c r="M81" s="105">
        <f t="shared" si="25"/>
        <v>540.6</v>
      </c>
      <c r="N81" s="105">
        <f t="shared" si="25"/>
        <v>420.48</v>
      </c>
      <c r="O81" s="105">
        <f t="shared" si="25"/>
        <v>336.38400000000001</v>
      </c>
      <c r="P81" s="105">
        <f t="shared" si="25"/>
        <v>269.10719999999998</v>
      </c>
      <c r="Q81" s="105">
        <f t="shared" si="25"/>
        <v>215.28576000000001</v>
      </c>
      <c r="R81" s="105">
        <f t="shared" si="25"/>
        <v>200</v>
      </c>
      <c r="S81" s="105">
        <f t="shared" si="25"/>
        <v>0</v>
      </c>
      <c r="T81" s="105"/>
      <c r="U81" s="105"/>
      <c r="V81" s="27"/>
      <c r="W81" s="100"/>
      <c r="X81" s="100"/>
      <c r="Y81" s="27"/>
      <c r="Z81" s="88"/>
      <c r="AA81" s="89"/>
      <c r="AB81" s="90"/>
      <c r="AC81" s="90"/>
      <c r="AD81" s="90"/>
      <c r="AE81" s="89"/>
      <c r="AF81" s="90"/>
      <c r="AG81" s="90"/>
      <c r="AH81" s="90"/>
      <c r="AI81" s="90"/>
      <c r="AJ81" s="38"/>
    </row>
    <row r="82" spans="1:36" ht="14.25" customHeight="1" thickBot="1">
      <c r="A82" s="107" t="b">
        <f>ROUND(C82-(C75-SUM(C76:C80)),5)=0</f>
        <v>1</v>
      </c>
      <c r="B82" s="92"/>
      <c r="C82" s="11">
        <f t="shared" si="16"/>
        <v>2119.5760320000009</v>
      </c>
      <c r="D82" s="108" t="s">
        <v>99</v>
      </c>
      <c r="E82" s="109" t="s">
        <v>12</v>
      </c>
      <c r="F82" s="109"/>
      <c r="G82" s="109">
        <f>G75-G81</f>
        <v>-250</v>
      </c>
      <c r="H82" s="109">
        <f t="shared" ref="H82:S82" si="26">H75-H81</f>
        <v>-500</v>
      </c>
      <c r="I82" s="109">
        <f t="shared" si="26"/>
        <v>79.900000000000006</v>
      </c>
      <c r="J82" s="109">
        <f t="shared" si="26"/>
        <v>222.25</v>
      </c>
      <c r="K82" s="109">
        <f t="shared" si="26"/>
        <v>696.75</v>
      </c>
      <c r="L82" s="109">
        <f t="shared" si="26"/>
        <v>554.40000000000009</v>
      </c>
      <c r="M82" s="109">
        <f t="shared" si="26"/>
        <v>440.52</v>
      </c>
      <c r="N82" s="109">
        <f t="shared" si="26"/>
        <v>364.41600000000017</v>
      </c>
      <c r="O82" s="109">
        <f t="shared" si="26"/>
        <v>291.53280000000007</v>
      </c>
      <c r="P82" s="109">
        <f t="shared" si="26"/>
        <v>233.2262400000003</v>
      </c>
      <c r="Q82" s="109">
        <f t="shared" si="26"/>
        <v>186.58099200000024</v>
      </c>
      <c r="R82" s="109">
        <f t="shared" si="26"/>
        <v>-200</v>
      </c>
      <c r="S82" s="109">
        <f t="shared" si="26"/>
        <v>0</v>
      </c>
      <c r="T82" s="11"/>
      <c r="U82" s="11"/>
      <c r="V82" s="27"/>
      <c r="W82" s="100"/>
      <c r="X82" s="100"/>
      <c r="Y82" s="27"/>
      <c r="Z82" s="88"/>
      <c r="AA82" s="89"/>
      <c r="AB82" s="90"/>
      <c r="AC82" s="90"/>
      <c r="AD82" s="90"/>
      <c r="AE82" s="89"/>
      <c r="AF82" s="90"/>
      <c r="AG82" s="90"/>
      <c r="AH82" s="90"/>
      <c r="AI82" s="90"/>
      <c r="AJ82" s="38"/>
    </row>
    <row r="83" spans="1:36" ht="12" customHeight="1" thickTop="1">
      <c r="B83" s="92"/>
      <c r="C83" s="11"/>
      <c r="D83" s="8"/>
      <c r="E83" s="11"/>
      <c r="F83" s="11"/>
      <c r="G83" s="11"/>
      <c r="H83" s="11"/>
      <c r="I83" s="11"/>
      <c r="J83" s="11"/>
      <c r="K83" s="11"/>
      <c r="L83" s="11"/>
      <c r="M83" s="11"/>
      <c r="N83" s="11"/>
      <c r="O83" s="11"/>
      <c r="P83" s="11"/>
      <c r="Q83" s="11"/>
      <c r="R83" s="11"/>
      <c r="S83" s="11"/>
      <c r="T83" s="11"/>
      <c r="U83" s="11"/>
      <c r="V83" s="27"/>
      <c r="W83" s="100"/>
      <c r="X83" s="100"/>
      <c r="Y83" s="27"/>
      <c r="Z83" s="88"/>
      <c r="AA83" s="89"/>
      <c r="AB83" s="90"/>
      <c r="AC83" s="90"/>
      <c r="AD83" s="90"/>
      <c r="AE83" s="89"/>
      <c r="AF83" s="90"/>
      <c r="AG83" s="90"/>
      <c r="AH83" s="90"/>
      <c r="AI83" s="90"/>
      <c r="AJ83" s="38"/>
    </row>
    <row r="84" spans="1:36" ht="12" customHeight="1">
      <c r="B84" s="92"/>
      <c r="C84" s="260">
        <f>IFERROR(IRR(G82:S82),0)</f>
        <v>0.35457462421423069</v>
      </c>
      <c r="D84" s="84" t="s">
        <v>100</v>
      </c>
      <c r="E84" s="40" t="s">
        <v>17</v>
      </c>
      <c r="F84" s="27"/>
      <c r="G84" s="110" t="str">
        <f>IFERROR(IRR($G82:G82),"--")</f>
        <v>--</v>
      </c>
      <c r="H84" s="110" t="str">
        <f>IFERROR(IRR($G82:H82),"--")</f>
        <v>--</v>
      </c>
      <c r="I84" s="110" t="str">
        <f>IFERROR(IRR($G82:I82),"--")</f>
        <v>--</v>
      </c>
      <c r="J84" s="110">
        <f>IFERROR(IRR($G82:J82),"--")</f>
        <v>-0.35649721532975631</v>
      </c>
      <c r="K84" s="110">
        <f>IFERROR(IRR($G82:K82),"--")</f>
        <v>0.10231474239903537</v>
      </c>
      <c r="L84" s="110">
        <f>IFERROR(IRR($G82:L82),"--")</f>
        <v>0.23950029340852108</v>
      </c>
      <c r="M84" s="110">
        <f>IFERROR(IRR($G82:M82),"--")</f>
        <v>0.2990662127946162</v>
      </c>
      <c r="N84" s="110">
        <f>IFERROR(IRR($G82:N82),"--")</f>
        <v>0.32926549631860014</v>
      </c>
      <c r="O84" s="110">
        <f>IFERROR(IRR($G82:O82),"--")</f>
        <v>0.3450111362958046</v>
      </c>
      <c r="P84" s="110">
        <f>IFERROR(IRR($G82:P82),"--")</f>
        <v>0.35356173250930811</v>
      </c>
      <c r="Q84" s="110">
        <f>IFERROR(IRR($G82:Q82),"--")</f>
        <v>0.35832807537635847</v>
      </c>
      <c r="R84" s="110">
        <f>IFERROR(IRR($G82:R82),"--")</f>
        <v>0.35457462421423069</v>
      </c>
      <c r="S84" s="110">
        <f>IFERROR(IRR($G82:S82),"--")</f>
        <v>0.35457462421423069</v>
      </c>
      <c r="T84" s="111"/>
      <c r="U84" s="111"/>
    </row>
    <row r="85" spans="1:36" ht="12" customHeight="1">
      <c r="B85" s="92"/>
      <c r="C85" s="112">
        <f>NPV($F$51,$H$82:$S$82)+$G$82</f>
        <v>1021.0099740198245</v>
      </c>
      <c r="D85" s="84" t="str">
        <f>"Project pre-tax cash flow NPV"&amp;$F$51*100</f>
        <v>Project pre-tax cash flow NPV10</v>
      </c>
      <c r="E85" s="40" t="s">
        <v>12</v>
      </c>
      <c r="F85" s="27"/>
      <c r="G85" s="111"/>
      <c r="H85" s="111"/>
      <c r="I85" s="111"/>
      <c r="J85" s="111"/>
      <c r="K85" s="111"/>
      <c r="L85" s="111"/>
      <c r="M85" s="111"/>
      <c r="N85" s="111"/>
      <c r="O85" s="111"/>
      <c r="P85" s="111"/>
      <c r="Q85" s="111"/>
      <c r="R85" s="111"/>
      <c r="S85" s="111"/>
      <c r="T85" s="111"/>
      <c r="U85" s="111"/>
    </row>
    <row r="86" spans="1:36" s="38" customFormat="1" ht="12" customHeight="1">
      <c r="A86" s="102"/>
      <c r="C86" s="113"/>
      <c r="D86" s="114"/>
      <c r="E86" s="114"/>
      <c r="F86" s="114"/>
      <c r="G86" s="114"/>
      <c r="H86" s="114"/>
      <c r="I86" s="114"/>
      <c r="J86" s="114"/>
      <c r="K86" s="114"/>
      <c r="L86" s="114"/>
      <c r="M86" s="114"/>
      <c r="N86" s="114"/>
      <c r="O86" s="114"/>
      <c r="P86" s="114"/>
      <c r="Q86" s="114"/>
      <c r="R86" s="114"/>
      <c r="S86" s="114"/>
      <c r="T86" s="114"/>
      <c r="U86" s="114"/>
    </row>
    <row r="87" spans="1:36" ht="12" customHeight="1">
      <c r="B87" s="92"/>
      <c r="D87" s="16" t="s">
        <v>101</v>
      </c>
      <c r="E87" s="17"/>
      <c r="F87" s="17"/>
      <c r="G87" s="17"/>
      <c r="H87" s="17"/>
      <c r="I87" s="17"/>
      <c r="J87" s="17"/>
      <c r="K87" s="17"/>
      <c r="L87" s="17"/>
      <c r="M87" s="17"/>
      <c r="N87" s="17"/>
      <c r="O87" s="17"/>
      <c r="P87" s="17"/>
      <c r="Q87" s="17"/>
      <c r="R87" s="17"/>
      <c r="S87" s="17"/>
      <c r="T87" s="17"/>
      <c r="U87" s="18"/>
      <c r="V87" s="27"/>
      <c r="Z87" s="88"/>
      <c r="AA87" s="89"/>
      <c r="AB87" s="90"/>
      <c r="AC87" s="90"/>
      <c r="AD87" s="90"/>
      <c r="AE87" s="89"/>
      <c r="AF87" s="90"/>
      <c r="AG87" s="90"/>
      <c r="AH87" s="90"/>
      <c r="AI87" s="90"/>
      <c r="AJ87" s="38"/>
    </row>
    <row r="88" spans="1:36" ht="12" customHeight="1">
      <c r="B88" s="92"/>
      <c r="C88" s="15">
        <f>MAX(G88:S88)</f>
        <v>13</v>
      </c>
      <c r="D88" s="84" t="s">
        <v>102</v>
      </c>
      <c r="E88" s="56" t="s">
        <v>32</v>
      </c>
      <c r="F88" s="84"/>
      <c r="G88" s="105">
        <f>(SUM($G$59:G66)&gt;0)*1+F88</f>
        <v>1</v>
      </c>
      <c r="H88" s="105">
        <f>(SUM($G$59:H66)&gt;0)*1+G88</f>
        <v>2</v>
      </c>
      <c r="I88" s="105">
        <f>(SUM($G$59:I66)&gt;0)*1+H88</f>
        <v>3</v>
      </c>
      <c r="J88" s="105">
        <f>(SUM($G$59:J66)&gt;0)*1+I88</f>
        <v>4</v>
      </c>
      <c r="K88" s="105">
        <f>(SUM($G$59:K66)&gt;0)*1+J88</f>
        <v>5</v>
      </c>
      <c r="L88" s="105">
        <f>(SUM($G$59:L66)&gt;0)*1+K88</f>
        <v>6</v>
      </c>
      <c r="M88" s="105">
        <f>(SUM($G$59:M66)&gt;0)*1+L88</f>
        <v>7</v>
      </c>
      <c r="N88" s="105">
        <f>(SUM($G$59:N66)&gt;0)*1+M88</f>
        <v>8</v>
      </c>
      <c r="O88" s="105">
        <f>(SUM($G$59:O66)&gt;0)*1+N88</f>
        <v>9</v>
      </c>
      <c r="P88" s="105">
        <f>(SUM($G$59:P66)&gt;0)*1+O88</f>
        <v>10</v>
      </c>
      <c r="Q88" s="105">
        <f>(SUM($G$59:Q66)&gt;0)*1+P88</f>
        <v>11</v>
      </c>
      <c r="R88" s="105">
        <f>(SUM($G$59:R66)&gt;0)*1+Q88</f>
        <v>12</v>
      </c>
      <c r="S88" s="105">
        <f>(SUM($G$59:S66)&gt;0)*1+R88</f>
        <v>13</v>
      </c>
      <c r="T88" s="105"/>
      <c r="U88" s="105"/>
      <c r="V88" s="27"/>
      <c r="Z88" s="88"/>
      <c r="AA88" s="89"/>
      <c r="AB88" s="90"/>
      <c r="AC88" s="90"/>
      <c r="AD88" s="90"/>
      <c r="AE88" s="89"/>
      <c r="AF88" s="90"/>
      <c r="AG88" s="90"/>
      <c r="AH88" s="90"/>
      <c r="AI88" s="90"/>
      <c r="AJ88" s="38"/>
    </row>
    <row r="89" spans="1:36" ht="12" customHeight="1">
      <c r="B89" s="92"/>
      <c r="C89" s="15">
        <f t="shared" ref="C89:C91" si="27">MAX(G89:S89)</f>
        <v>9</v>
      </c>
      <c r="D89" s="84" t="s">
        <v>103</v>
      </c>
      <c r="E89" s="56" t="s">
        <v>32</v>
      </c>
      <c r="F89" s="84"/>
      <c r="G89" s="105">
        <f t="shared" ref="G89:S89" si="28">((G59&gt;0)*1+F89)*(G59&gt;0)</f>
        <v>0</v>
      </c>
      <c r="H89" s="105">
        <f t="shared" si="28"/>
        <v>0</v>
      </c>
      <c r="I89" s="105">
        <f t="shared" si="28"/>
        <v>1</v>
      </c>
      <c r="J89" s="105">
        <f t="shared" si="28"/>
        <v>2</v>
      </c>
      <c r="K89" s="105">
        <f t="shared" si="28"/>
        <v>3</v>
      </c>
      <c r="L89" s="105">
        <f t="shared" si="28"/>
        <v>4</v>
      </c>
      <c r="M89" s="105">
        <f t="shared" si="28"/>
        <v>5</v>
      </c>
      <c r="N89" s="105">
        <f t="shared" si="28"/>
        <v>6</v>
      </c>
      <c r="O89" s="105">
        <f t="shared" si="28"/>
        <v>7</v>
      </c>
      <c r="P89" s="105">
        <f t="shared" si="28"/>
        <v>8</v>
      </c>
      <c r="Q89" s="105">
        <f t="shared" si="28"/>
        <v>9</v>
      </c>
      <c r="R89" s="105">
        <f t="shared" si="28"/>
        <v>0</v>
      </c>
      <c r="S89" s="105">
        <f t="shared" si="28"/>
        <v>0</v>
      </c>
      <c r="T89" s="105"/>
      <c r="U89" s="105"/>
      <c r="V89" s="27"/>
      <c r="Z89" s="88"/>
      <c r="AA89" s="89"/>
      <c r="AB89" s="90"/>
      <c r="AC89" s="90"/>
      <c r="AD89" s="90"/>
      <c r="AE89" s="89"/>
      <c r="AF89" s="90"/>
      <c r="AG89" s="90"/>
      <c r="AH89" s="90"/>
      <c r="AI89" s="90"/>
      <c r="AJ89" s="38"/>
    </row>
    <row r="90" spans="1:36" ht="12" customHeight="1">
      <c r="B90" s="92"/>
      <c r="C90" s="15">
        <f t="shared" si="27"/>
        <v>9</v>
      </c>
      <c r="D90" s="84" t="s">
        <v>104</v>
      </c>
      <c r="E90" s="56" t="s">
        <v>32</v>
      </c>
      <c r="F90" s="84"/>
      <c r="G90" s="105">
        <f t="shared" ref="G90:S90" si="29">($C$89-G89+1)*(G59&gt;0)</f>
        <v>0</v>
      </c>
      <c r="H90" s="105">
        <f t="shared" si="29"/>
        <v>0</v>
      </c>
      <c r="I90" s="105">
        <f t="shared" si="29"/>
        <v>9</v>
      </c>
      <c r="J90" s="105">
        <f t="shared" si="29"/>
        <v>8</v>
      </c>
      <c r="K90" s="105">
        <f t="shared" si="29"/>
        <v>7</v>
      </c>
      <c r="L90" s="105">
        <f t="shared" si="29"/>
        <v>6</v>
      </c>
      <c r="M90" s="105">
        <f t="shared" si="29"/>
        <v>5</v>
      </c>
      <c r="N90" s="105">
        <f t="shared" si="29"/>
        <v>4</v>
      </c>
      <c r="O90" s="105">
        <f t="shared" si="29"/>
        <v>3</v>
      </c>
      <c r="P90" s="105">
        <f t="shared" si="29"/>
        <v>2</v>
      </c>
      <c r="Q90" s="105">
        <f t="shared" si="29"/>
        <v>1</v>
      </c>
      <c r="R90" s="105">
        <f t="shared" si="29"/>
        <v>0</v>
      </c>
      <c r="S90" s="105">
        <f t="shared" si="29"/>
        <v>0</v>
      </c>
      <c r="T90" s="105"/>
      <c r="U90" s="105"/>
      <c r="V90" s="27"/>
      <c r="Z90" s="88"/>
      <c r="AA90" s="89"/>
      <c r="AB90" s="90"/>
      <c r="AC90" s="90"/>
      <c r="AD90" s="90"/>
      <c r="AE90" s="89"/>
      <c r="AF90" s="90"/>
      <c r="AG90" s="90"/>
      <c r="AH90" s="90"/>
      <c r="AI90" s="90"/>
      <c r="AJ90" s="38"/>
    </row>
    <row r="91" spans="1:36" ht="12" customHeight="1">
      <c r="B91" s="92"/>
      <c r="C91" s="15">
        <f t="shared" si="27"/>
        <v>12</v>
      </c>
      <c r="D91" s="84" t="s">
        <v>105</v>
      </c>
      <c r="E91" s="56" t="s">
        <v>32</v>
      </c>
      <c r="F91" s="84"/>
      <c r="G91" s="105">
        <f>1*(SUM(G$77:$G77)&gt;0)+F91</f>
        <v>0</v>
      </c>
      <c r="H91" s="105">
        <f>1*(SUM($G$77:H77)&gt;0)+G91</f>
        <v>1</v>
      </c>
      <c r="I91" s="105">
        <f>1*(SUM($G$77:I77)&gt;0)+H91</f>
        <v>2</v>
      </c>
      <c r="J91" s="105">
        <f>1*(SUM($G$77:J77)&gt;0)+I91</f>
        <v>3</v>
      </c>
      <c r="K91" s="105">
        <f>1*(SUM($G$77:K77)&gt;0)+J91</f>
        <v>4</v>
      </c>
      <c r="L91" s="105">
        <f>1*(SUM($G$77:L77)&gt;0)+K91</f>
        <v>5</v>
      </c>
      <c r="M91" s="105">
        <f>1*(SUM($G$77:M77)&gt;0)+L91</f>
        <v>6</v>
      </c>
      <c r="N91" s="105">
        <f>1*(SUM($G$77:N77)&gt;0)+M91</f>
        <v>7</v>
      </c>
      <c r="O91" s="105">
        <f>1*(SUM($G$77:O77)&gt;0)+N91</f>
        <v>8</v>
      </c>
      <c r="P91" s="105">
        <f>1*(SUM($G$77:P77)&gt;0)+O91</f>
        <v>9</v>
      </c>
      <c r="Q91" s="105">
        <f>1*(SUM($G$77:Q77)&gt;0)+P91</f>
        <v>10</v>
      </c>
      <c r="R91" s="105">
        <f>1*(SUM($G$77:R77)&gt;0)+Q91</f>
        <v>11</v>
      </c>
      <c r="S91" s="105">
        <f>1*(SUM($G$77:S77)&gt;0)+R91</f>
        <v>12</v>
      </c>
      <c r="T91" s="105"/>
      <c r="U91" s="105"/>
      <c r="V91" s="27"/>
      <c r="Z91" s="88"/>
      <c r="AA91" s="89"/>
      <c r="AB91" s="90"/>
      <c r="AC91" s="90"/>
      <c r="AD91" s="90"/>
      <c r="AE91" s="89"/>
      <c r="AF91" s="90"/>
      <c r="AG91" s="90"/>
      <c r="AH91" s="90"/>
      <c r="AI91" s="90"/>
      <c r="AJ91" s="38"/>
    </row>
    <row r="92" spans="1:36" ht="12" customHeight="1">
      <c r="B92" s="92"/>
      <c r="D92" s="84"/>
      <c r="E92" s="40"/>
      <c r="F92" s="27"/>
      <c r="G92" s="115"/>
      <c r="H92" s="115"/>
      <c r="I92" s="115"/>
      <c r="J92" s="115"/>
      <c r="K92" s="115"/>
      <c r="L92" s="115"/>
      <c r="M92" s="115"/>
      <c r="N92" s="115"/>
      <c r="O92" s="115"/>
      <c r="P92" s="115"/>
      <c r="Q92" s="115"/>
      <c r="R92" s="115"/>
      <c r="S92" s="115"/>
      <c r="T92" s="115"/>
      <c r="U92" s="115"/>
    </row>
    <row r="93" spans="1:36" ht="12" customHeight="1">
      <c r="B93" s="92"/>
      <c r="D93" s="16" t="s">
        <v>106</v>
      </c>
      <c r="E93" s="17"/>
      <c r="F93" s="17"/>
      <c r="G93" s="17"/>
      <c r="H93" s="17"/>
      <c r="I93" s="17"/>
      <c r="J93" s="17"/>
      <c r="K93" s="17"/>
      <c r="L93" s="17"/>
      <c r="M93" s="17"/>
      <c r="N93" s="17"/>
      <c r="O93" s="17"/>
      <c r="P93" s="17"/>
      <c r="Q93" s="17"/>
      <c r="R93" s="17"/>
      <c r="S93" s="17"/>
      <c r="T93" s="17"/>
      <c r="U93" s="18"/>
    </row>
    <row r="94" spans="1:36" ht="12" customHeight="1">
      <c r="B94" s="92"/>
      <c r="D94" s="27" t="s">
        <v>11</v>
      </c>
      <c r="E94" s="27" t="s">
        <v>12</v>
      </c>
      <c r="F94" s="27"/>
      <c r="G94" s="11">
        <f t="shared" ref="G94:S94" si="30">G82</f>
        <v>-250</v>
      </c>
      <c r="H94" s="11">
        <f t="shared" si="30"/>
        <v>-500</v>
      </c>
      <c r="I94" s="11">
        <f t="shared" si="30"/>
        <v>79.900000000000006</v>
      </c>
      <c r="J94" s="11">
        <f t="shared" si="30"/>
        <v>222.25</v>
      </c>
      <c r="K94" s="11">
        <f t="shared" si="30"/>
        <v>696.75</v>
      </c>
      <c r="L94" s="11">
        <f t="shared" si="30"/>
        <v>554.40000000000009</v>
      </c>
      <c r="M94" s="11">
        <f t="shared" si="30"/>
        <v>440.52</v>
      </c>
      <c r="N94" s="11">
        <f t="shared" si="30"/>
        <v>364.41600000000017</v>
      </c>
      <c r="O94" s="11">
        <f t="shared" si="30"/>
        <v>291.53280000000007</v>
      </c>
      <c r="P94" s="11">
        <f t="shared" si="30"/>
        <v>233.2262400000003</v>
      </c>
      <c r="Q94" s="11">
        <f t="shared" si="30"/>
        <v>186.58099200000024</v>
      </c>
      <c r="R94" s="11">
        <f t="shared" si="30"/>
        <v>-200</v>
      </c>
      <c r="S94" s="11">
        <f t="shared" si="30"/>
        <v>0</v>
      </c>
      <c r="T94" s="115"/>
      <c r="U94" s="115"/>
    </row>
    <row r="95" spans="1:36" ht="12" customHeight="1">
      <c r="B95" s="92"/>
      <c r="D95" s="8" t="s">
        <v>107</v>
      </c>
      <c r="E95" s="27" t="s">
        <v>12</v>
      </c>
      <c r="F95" s="27"/>
      <c r="G95" s="11">
        <f>F95+G94</f>
        <v>-250</v>
      </c>
      <c r="H95" s="11">
        <f t="shared" ref="H95:S95" si="31">G95+H94</f>
        <v>-750</v>
      </c>
      <c r="I95" s="11">
        <f t="shared" si="31"/>
        <v>-670.1</v>
      </c>
      <c r="J95" s="11">
        <f t="shared" si="31"/>
        <v>-447.85</v>
      </c>
      <c r="K95" s="11">
        <f t="shared" si="31"/>
        <v>248.89999999999998</v>
      </c>
      <c r="L95" s="11">
        <f t="shared" si="31"/>
        <v>803.30000000000007</v>
      </c>
      <c r="M95" s="11">
        <f t="shared" si="31"/>
        <v>1243.8200000000002</v>
      </c>
      <c r="N95" s="11">
        <f t="shared" si="31"/>
        <v>1608.2360000000003</v>
      </c>
      <c r="O95" s="11">
        <f t="shared" si="31"/>
        <v>1899.7688000000003</v>
      </c>
      <c r="P95" s="11">
        <f t="shared" si="31"/>
        <v>2132.9950400000007</v>
      </c>
      <c r="Q95" s="11">
        <f t="shared" si="31"/>
        <v>2319.5760320000009</v>
      </c>
      <c r="R95" s="11">
        <f t="shared" si="31"/>
        <v>2119.5760320000009</v>
      </c>
      <c r="S95" s="11">
        <f t="shared" si="31"/>
        <v>2119.5760320000009</v>
      </c>
      <c r="T95" s="115"/>
      <c r="U95" s="115"/>
    </row>
    <row r="96" spans="1:36" ht="12" customHeight="1">
      <c r="B96" s="92"/>
      <c r="C96" s="144">
        <f>SUM(G96:S96)</f>
        <v>4.6427700035880877</v>
      </c>
      <c r="D96" s="8" t="s">
        <v>106</v>
      </c>
      <c r="E96" s="40" t="s">
        <v>32</v>
      </c>
      <c r="F96" s="27"/>
      <c r="G96" s="116">
        <f>IF(AND(G95&lt;=0,H95&gt;0),G88+(-G95/H94),0)</f>
        <v>0</v>
      </c>
      <c r="H96" s="116">
        <f t="shared" ref="H96:S96" si="32">IF(AND(H95&lt;=0,I95&gt;0),H88+(-H95/I94),0)</f>
        <v>0</v>
      </c>
      <c r="I96" s="116">
        <f t="shared" si="32"/>
        <v>0</v>
      </c>
      <c r="J96" s="116">
        <f t="shared" si="32"/>
        <v>4.6427700035880877</v>
      </c>
      <c r="K96" s="116">
        <f t="shared" si="32"/>
        <v>0</v>
      </c>
      <c r="L96" s="116">
        <f t="shared" si="32"/>
        <v>0</v>
      </c>
      <c r="M96" s="116">
        <f t="shared" si="32"/>
        <v>0</v>
      </c>
      <c r="N96" s="116">
        <f t="shared" si="32"/>
        <v>0</v>
      </c>
      <c r="O96" s="116">
        <f t="shared" si="32"/>
        <v>0</v>
      </c>
      <c r="P96" s="116">
        <f t="shared" si="32"/>
        <v>0</v>
      </c>
      <c r="Q96" s="116">
        <f t="shared" si="32"/>
        <v>0</v>
      </c>
      <c r="R96" s="116">
        <f t="shared" si="32"/>
        <v>0</v>
      </c>
      <c r="S96" s="116">
        <f t="shared" si="32"/>
        <v>0</v>
      </c>
      <c r="T96" s="117"/>
      <c r="U96" s="117"/>
    </row>
    <row r="97" spans="1:36" ht="12" customHeight="1">
      <c r="B97" s="92"/>
      <c r="D97" s="84"/>
      <c r="E97" s="40"/>
      <c r="F97" s="27"/>
      <c r="G97" s="115"/>
      <c r="H97" s="115"/>
      <c r="I97" s="115"/>
      <c r="J97" s="115"/>
      <c r="K97" s="115"/>
      <c r="L97" s="115"/>
      <c r="M97" s="115"/>
      <c r="N97" s="115"/>
      <c r="O97" s="115"/>
      <c r="P97" s="115"/>
      <c r="Q97" s="115"/>
      <c r="R97" s="115"/>
      <c r="S97" s="115"/>
      <c r="T97" s="115"/>
      <c r="U97" s="115"/>
    </row>
    <row r="98" spans="1:36" ht="12" customHeight="1">
      <c r="B98" s="92"/>
      <c r="D98" s="16" t="s">
        <v>108</v>
      </c>
      <c r="E98" s="17"/>
      <c r="F98" s="17"/>
      <c r="G98" s="17"/>
      <c r="H98" s="17"/>
      <c r="I98" s="17"/>
      <c r="J98" s="17"/>
      <c r="K98" s="17"/>
      <c r="L98" s="17"/>
      <c r="M98" s="17"/>
      <c r="N98" s="17"/>
      <c r="O98" s="17"/>
      <c r="P98" s="17"/>
      <c r="Q98" s="17"/>
      <c r="R98" s="17"/>
      <c r="S98" s="17"/>
      <c r="T98" s="17"/>
      <c r="U98" s="18"/>
    </row>
    <row r="99" spans="1:36" ht="12" customHeight="1">
      <c r="B99" s="92"/>
      <c r="D99" s="91" t="s">
        <v>109</v>
      </c>
      <c r="E99" s="93" t="s">
        <v>110</v>
      </c>
      <c r="F99" s="93"/>
      <c r="G99" s="88">
        <f>IF(G$58=1,1,(1+$F$53)^(G$58-1))</f>
        <v>1</v>
      </c>
      <c r="H99" s="88">
        <f t="shared" ref="H99:S99" si="33">IF(H$58=1,1,(1+$F$53)^(H$58-1))</f>
        <v>1.02</v>
      </c>
      <c r="I99" s="88">
        <f t="shared" si="33"/>
        <v>1.0404</v>
      </c>
      <c r="J99" s="88">
        <f t="shared" si="33"/>
        <v>1.0612079999999999</v>
      </c>
      <c r="K99" s="88">
        <f t="shared" si="33"/>
        <v>1.08243216</v>
      </c>
      <c r="L99" s="88">
        <f t="shared" si="33"/>
        <v>1.1040808032</v>
      </c>
      <c r="M99" s="88">
        <f t="shared" si="33"/>
        <v>1.1261624192640001</v>
      </c>
      <c r="N99" s="88">
        <f t="shared" si="33"/>
        <v>1.1486856676492798</v>
      </c>
      <c r="O99" s="88">
        <f t="shared" si="33"/>
        <v>1.1716593810022655</v>
      </c>
      <c r="P99" s="88">
        <f t="shared" si="33"/>
        <v>1.1950925686223108</v>
      </c>
      <c r="Q99" s="88">
        <f t="shared" si="33"/>
        <v>1.2189944199947571</v>
      </c>
      <c r="R99" s="88">
        <f t="shared" si="33"/>
        <v>1.243374308394652</v>
      </c>
      <c r="S99" s="88">
        <f t="shared" si="33"/>
        <v>1.2682417945625453</v>
      </c>
      <c r="T99" s="88"/>
      <c r="U99" s="88"/>
    </row>
    <row r="100" spans="1:36" ht="12" customHeight="1">
      <c r="B100" s="92"/>
      <c r="D100" s="91"/>
      <c r="E100" s="93"/>
      <c r="F100" s="93"/>
      <c r="G100" s="89"/>
      <c r="H100" s="89"/>
      <c r="I100" s="89"/>
      <c r="J100" s="89"/>
      <c r="K100" s="89"/>
      <c r="L100" s="89"/>
      <c r="M100" s="89"/>
      <c r="N100" s="89"/>
      <c r="O100" s="89"/>
      <c r="P100" s="89"/>
      <c r="Q100" s="89"/>
      <c r="R100" s="89"/>
      <c r="S100" s="89"/>
      <c r="T100" s="89"/>
      <c r="U100" s="89"/>
      <c r="V100" s="27"/>
      <c r="W100" s="100"/>
      <c r="X100" s="100"/>
      <c r="Y100" s="27"/>
      <c r="Z100" s="88"/>
      <c r="AA100" s="89"/>
      <c r="AB100" s="90"/>
      <c r="AC100" s="90"/>
      <c r="AD100" s="90"/>
      <c r="AE100" s="89"/>
      <c r="AF100" s="90"/>
      <c r="AG100" s="90"/>
      <c r="AH100" s="90"/>
      <c r="AI100" s="90"/>
      <c r="AJ100" s="38"/>
    </row>
    <row r="101" spans="1:36" ht="12" customHeight="1">
      <c r="B101" s="14"/>
      <c r="C101" s="101"/>
      <c r="D101" s="16" t="s">
        <v>111</v>
      </c>
      <c r="E101" s="17" t="s">
        <v>0</v>
      </c>
      <c r="F101" s="17"/>
      <c r="G101" s="204">
        <v>1</v>
      </c>
      <c r="H101" s="204">
        <f>G101+1</f>
        <v>2</v>
      </c>
      <c r="I101" s="204">
        <f t="shared" ref="I101:S101" si="34">H101+1</f>
        <v>3</v>
      </c>
      <c r="J101" s="204">
        <f t="shared" si="34"/>
        <v>4</v>
      </c>
      <c r="K101" s="204">
        <f t="shared" si="34"/>
        <v>5</v>
      </c>
      <c r="L101" s="204">
        <f t="shared" si="34"/>
        <v>6</v>
      </c>
      <c r="M101" s="204">
        <f t="shared" si="34"/>
        <v>7</v>
      </c>
      <c r="N101" s="204">
        <f t="shared" si="34"/>
        <v>8</v>
      </c>
      <c r="O101" s="204">
        <f t="shared" si="34"/>
        <v>9</v>
      </c>
      <c r="P101" s="204">
        <f t="shared" si="34"/>
        <v>10</v>
      </c>
      <c r="Q101" s="204">
        <f t="shared" si="34"/>
        <v>11</v>
      </c>
      <c r="R101" s="204">
        <f t="shared" si="34"/>
        <v>12</v>
      </c>
      <c r="S101" s="204">
        <f t="shared" si="34"/>
        <v>13</v>
      </c>
      <c r="T101" s="17"/>
      <c r="U101" s="18"/>
    </row>
    <row r="102" spans="1:36" ht="12" customHeight="1">
      <c r="B102" s="14"/>
      <c r="C102" s="11">
        <f>SUM(G102:S102)</f>
        <v>8143.6718608937663</v>
      </c>
      <c r="D102" s="84" t="s">
        <v>96</v>
      </c>
      <c r="E102" s="40" t="s">
        <v>112</v>
      </c>
      <c r="F102" s="27"/>
      <c r="G102" s="105">
        <f t="shared" ref="G102:S102" si="35">G73*G$99</f>
        <v>0</v>
      </c>
      <c r="H102" s="105">
        <f t="shared" si="35"/>
        <v>0</v>
      </c>
      <c r="I102" s="105">
        <f t="shared" si="35"/>
        <v>227.8476</v>
      </c>
      <c r="J102" s="105">
        <f t="shared" si="35"/>
        <v>581.01137999999992</v>
      </c>
      <c r="K102" s="105">
        <f t="shared" si="35"/>
        <v>1777.8948227999999</v>
      </c>
      <c r="L102" s="105">
        <f t="shared" si="35"/>
        <v>1450.7621754048</v>
      </c>
      <c r="M102" s="105">
        <f t="shared" si="35"/>
        <v>1183.8219351303169</v>
      </c>
      <c r="N102" s="105">
        <f t="shared" si="35"/>
        <v>965.99869906633853</v>
      </c>
      <c r="O102" s="105">
        <f t="shared" si="35"/>
        <v>788.25493843813229</v>
      </c>
      <c r="P102" s="105">
        <f t="shared" si="35"/>
        <v>643.21602976551617</v>
      </c>
      <c r="Q102" s="105">
        <f t="shared" si="35"/>
        <v>524.86428028866123</v>
      </c>
      <c r="R102" s="105">
        <f t="shared" si="35"/>
        <v>0</v>
      </c>
      <c r="S102" s="105">
        <f t="shared" si="35"/>
        <v>0</v>
      </c>
      <c r="T102" s="105"/>
      <c r="U102" s="105"/>
    </row>
    <row r="103" spans="1:36" ht="12" customHeight="1">
      <c r="B103" s="14"/>
      <c r="C103" s="11">
        <f t="shared" ref="C103:C111" si="36">SUM(G103:S103)</f>
        <v>542.91145739291767</v>
      </c>
      <c r="D103" s="106" t="s">
        <v>87</v>
      </c>
      <c r="E103" s="40" t="s">
        <v>112</v>
      </c>
      <c r="F103" s="27"/>
      <c r="G103" s="105">
        <f t="shared" ref="G103:S103" si="37">G74*G$99</f>
        <v>0</v>
      </c>
      <c r="H103" s="105">
        <f t="shared" si="37"/>
        <v>0</v>
      </c>
      <c r="I103" s="105">
        <f t="shared" si="37"/>
        <v>15.18984</v>
      </c>
      <c r="J103" s="105">
        <f t="shared" si="37"/>
        <v>38.734091999999997</v>
      </c>
      <c r="K103" s="105">
        <f t="shared" si="37"/>
        <v>118.52632152</v>
      </c>
      <c r="L103" s="105">
        <f t="shared" si="37"/>
        <v>96.717478360320001</v>
      </c>
      <c r="M103" s="105">
        <f t="shared" si="37"/>
        <v>78.92146234202113</v>
      </c>
      <c r="N103" s="105">
        <f t="shared" si="37"/>
        <v>64.399913271089233</v>
      </c>
      <c r="O103" s="105">
        <f t="shared" si="37"/>
        <v>52.550329229208828</v>
      </c>
      <c r="P103" s="105">
        <f t="shared" si="37"/>
        <v>42.881068651034411</v>
      </c>
      <c r="Q103" s="105">
        <f t="shared" si="37"/>
        <v>34.990952019244084</v>
      </c>
      <c r="R103" s="105">
        <f t="shared" si="37"/>
        <v>0</v>
      </c>
      <c r="S103" s="105">
        <f t="shared" si="37"/>
        <v>0</v>
      </c>
      <c r="T103" s="105"/>
      <c r="U103" s="105"/>
    </row>
    <row r="104" spans="1:36" ht="12" customHeight="1">
      <c r="A104" s="107" t="b">
        <f>ROUND(C104-(C102-C103),5)=0</f>
        <v>1</v>
      </c>
      <c r="B104" s="14"/>
      <c r="C104" s="11">
        <f t="shared" si="36"/>
        <v>7600.760403500848</v>
      </c>
      <c r="D104" s="91" t="s">
        <v>97</v>
      </c>
      <c r="E104" s="40" t="s">
        <v>112</v>
      </c>
      <c r="F104" s="27"/>
      <c r="G104" s="105">
        <f t="shared" ref="G104:S104" si="38">G75*G$99</f>
        <v>0</v>
      </c>
      <c r="H104" s="105">
        <f t="shared" si="38"/>
        <v>0</v>
      </c>
      <c r="I104" s="105">
        <f t="shared" si="38"/>
        <v>212.65776</v>
      </c>
      <c r="J104" s="105">
        <f t="shared" si="38"/>
        <v>542.277288</v>
      </c>
      <c r="K104" s="105">
        <f t="shared" si="38"/>
        <v>1659.3685012799999</v>
      </c>
      <c r="L104" s="105">
        <f t="shared" si="38"/>
        <v>1354.04469704448</v>
      </c>
      <c r="M104" s="105">
        <f t="shared" si="38"/>
        <v>1104.9004727882957</v>
      </c>
      <c r="N104" s="105">
        <f t="shared" si="38"/>
        <v>901.59878579524934</v>
      </c>
      <c r="O104" s="105">
        <f t="shared" si="38"/>
        <v>735.70460920892344</v>
      </c>
      <c r="P104" s="105">
        <f t="shared" si="38"/>
        <v>600.33496111448176</v>
      </c>
      <c r="Q104" s="105">
        <f t="shared" si="38"/>
        <v>489.87332826941719</v>
      </c>
      <c r="R104" s="105">
        <f t="shared" si="38"/>
        <v>0</v>
      </c>
      <c r="S104" s="105">
        <f t="shared" si="38"/>
        <v>0</v>
      </c>
      <c r="T104" s="105"/>
      <c r="U104" s="105"/>
    </row>
    <row r="105" spans="1:36" ht="12" customHeight="1">
      <c r="B105" s="14"/>
      <c r="C105" s="11">
        <f t="shared" si="36"/>
        <v>250</v>
      </c>
      <c r="D105" s="91" t="s">
        <v>88</v>
      </c>
      <c r="E105" s="40" t="s">
        <v>112</v>
      </c>
      <c r="F105" s="27"/>
      <c r="G105" s="105">
        <f t="shared" ref="G105:S105" si="39">G76*G$99</f>
        <v>250</v>
      </c>
      <c r="H105" s="105">
        <f t="shared" si="39"/>
        <v>0</v>
      </c>
      <c r="I105" s="105">
        <f t="shared" si="39"/>
        <v>0</v>
      </c>
      <c r="J105" s="105">
        <f t="shared" si="39"/>
        <v>0</v>
      </c>
      <c r="K105" s="105">
        <f t="shared" si="39"/>
        <v>0</v>
      </c>
      <c r="L105" s="105">
        <f t="shared" si="39"/>
        <v>0</v>
      </c>
      <c r="M105" s="105">
        <f t="shared" si="39"/>
        <v>0</v>
      </c>
      <c r="N105" s="105">
        <f t="shared" si="39"/>
        <v>0</v>
      </c>
      <c r="O105" s="105">
        <f t="shared" si="39"/>
        <v>0</v>
      </c>
      <c r="P105" s="105">
        <f t="shared" si="39"/>
        <v>0</v>
      </c>
      <c r="Q105" s="105">
        <f t="shared" si="39"/>
        <v>0</v>
      </c>
      <c r="R105" s="105">
        <f t="shared" si="39"/>
        <v>0</v>
      </c>
      <c r="S105" s="105">
        <f t="shared" si="39"/>
        <v>0</v>
      </c>
      <c r="T105" s="105"/>
      <c r="U105" s="105"/>
    </row>
    <row r="106" spans="1:36" ht="12" customHeight="1">
      <c r="B106" s="14"/>
      <c r="C106" s="11">
        <f t="shared" si="36"/>
        <v>510</v>
      </c>
      <c r="D106" s="91" t="s">
        <v>89</v>
      </c>
      <c r="E106" s="40" t="s">
        <v>112</v>
      </c>
      <c r="G106" s="105">
        <f t="shared" ref="G106:S106" si="40">G77*G$99</f>
        <v>0</v>
      </c>
      <c r="H106" s="105">
        <f t="shared" si="40"/>
        <v>510</v>
      </c>
      <c r="I106" s="105">
        <f t="shared" si="40"/>
        <v>0</v>
      </c>
      <c r="J106" s="105">
        <f t="shared" si="40"/>
        <v>0</v>
      </c>
      <c r="K106" s="105">
        <f t="shared" si="40"/>
        <v>0</v>
      </c>
      <c r="L106" s="105">
        <f t="shared" si="40"/>
        <v>0</v>
      </c>
      <c r="M106" s="105">
        <f t="shared" si="40"/>
        <v>0</v>
      </c>
      <c r="N106" s="105">
        <f t="shared" si="40"/>
        <v>0</v>
      </c>
      <c r="O106" s="105">
        <f t="shared" si="40"/>
        <v>0</v>
      </c>
      <c r="P106" s="105">
        <f t="shared" si="40"/>
        <v>0</v>
      </c>
      <c r="Q106" s="105">
        <f t="shared" si="40"/>
        <v>0</v>
      </c>
      <c r="R106" s="105">
        <f t="shared" si="40"/>
        <v>0</v>
      </c>
      <c r="S106" s="105">
        <f t="shared" si="40"/>
        <v>0</v>
      </c>
      <c r="T106" s="105"/>
      <c r="U106" s="105"/>
    </row>
    <row r="107" spans="1:36" ht="12" customHeight="1">
      <c r="B107" s="14"/>
      <c r="C107" s="11">
        <f t="shared" ref="C107" si="41">SUM(G107:S107)</f>
        <v>81.214250736959997</v>
      </c>
      <c r="D107" s="91" t="s">
        <v>336</v>
      </c>
      <c r="E107" s="40" t="s">
        <v>112</v>
      </c>
      <c r="G107" s="105">
        <f t="shared" ref="G107:S107" si="42">G78*G$99</f>
        <v>0</v>
      </c>
      <c r="H107" s="105">
        <f t="shared" si="42"/>
        <v>0</v>
      </c>
      <c r="I107" s="105">
        <f t="shared" si="42"/>
        <v>15.606</v>
      </c>
      <c r="J107" s="105">
        <f t="shared" si="42"/>
        <v>15.918119999999998</v>
      </c>
      <c r="K107" s="105">
        <f t="shared" si="42"/>
        <v>16.2364824</v>
      </c>
      <c r="L107" s="105">
        <f t="shared" si="42"/>
        <v>16.561212048000002</v>
      </c>
      <c r="M107" s="105">
        <f t="shared" si="42"/>
        <v>16.892436288960003</v>
      </c>
      <c r="N107" s="105">
        <f t="shared" si="42"/>
        <v>0</v>
      </c>
      <c r="O107" s="105">
        <f t="shared" si="42"/>
        <v>0</v>
      </c>
      <c r="P107" s="105">
        <f t="shared" si="42"/>
        <v>0</v>
      </c>
      <c r="Q107" s="105">
        <f t="shared" si="42"/>
        <v>0</v>
      </c>
      <c r="R107" s="105">
        <f t="shared" si="42"/>
        <v>0</v>
      </c>
      <c r="S107" s="105">
        <f t="shared" si="42"/>
        <v>0</v>
      </c>
      <c r="T107" s="105"/>
      <c r="U107" s="105"/>
    </row>
    <row r="108" spans="1:36" ht="12" customHeight="1">
      <c r="B108" s="14"/>
      <c r="C108" s="11">
        <f t="shared" si="36"/>
        <v>4071.8359304468818</v>
      </c>
      <c r="D108" s="82" t="s">
        <v>90</v>
      </c>
      <c r="E108" s="40" t="s">
        <v>112</v>
      </c>
      <c r="G108" s="105">
        <f t="shared" ref="G108:S108" si="43">G79*G$99</f>
        <v>0</v>
      </c>
      <c r="H108" s="105">
        <f t="shared" si="43"/>
        <v>0</v>
      </c>
      <c r="I108" s="105">
        <f t="shared" si="43"/>
        <v>113.9238</v>
      </c>
      <c r="J108" s="105">
        <f t="shared" si="43"/>
        <v>290.50568999999996</v>
      </c>
      <c r="K108" s="105">
        <f t="shared" si="43"/>
        <v>888.94741139999996</v>
      </c>
      <c r="L108" s="105">
        <f t="shared" si="43"/>
        <v>725.38108770240001</v>
      </c>
      <c r="M108" s="105">
        <f t="shared" si="43"/>
        <v>591.91096756515844</v>
      </c>
      <c r="N108" s="105">
        <f t="shared" si="43"/>
        <v>482.99934953316921</v>
      </c>
      <c r="O108" s="105">
        <f t="shared" si="43"/>
        <v>394.12746921906609</v>
      </c>
      <c r="P108" s="105">
        <f t="shared" si="43"/>
        <v>321.60801488275791</v>
      </c>
      <c r="Q108" s="105">
        <f t="shared" si="43"/>
        <v>262.4321401443305</v>
      </c>
      <c r="R108" s="105">
        <f t="shared" si="43"/>
        <v>0</v>
      </c>
      <c r="S108" s="105">
        <f t="shared" si="43"/>
        <v>0</v>
      </c>
      <c r="T108" s="105"/>
      <c r="U108" s="105"/>
    </row>
    <row r="109" spans="1:36" ht="12" customHeight="1">
      <c r="B109" s="14"/>
      <c r="C109" s="11">
        <f t="shared" si="36"/>
        <v>248.6748616789304</v>
      </c>
      <c r="D109" s="82" t="s">
        <v>91</v>
      </c>
      <c r="E109" s="40" t="s">
        <v>112</v>
      </c>
      <c r="G109" s="105">
        <f t="shared" ref="G109:S109" si="44">G80*G$99</f>
        <v>0</v>
      </c>
      <c r="H109" s="105">
        <f t="shared" si="44"/>
        <v>0</v>
      </c>
      <c r="I109" s="105">
        <f t="shared" si="44"/>
        <v>0</v>
      </c>
      <c r="J109" s="105">
        <f t="shared" si="44"/>
        <v>0</v>
      </c>
      <c r="K109" s="105">
        <f t="shared" si="44"/>
        <v>0</v>
      </c>
      <c r="L109" s="105">
        <f t="shared" si="44"/>
        <v>0</v>
      </c>
      <c r="M109" s="105">
        <f t="shared" si="44"/>
        <v>0</v>
      </c>
      <c r="N109" s="105">
        <f t="shared" si="44"/>
        <v>0</v>
      </c>
      <c r="O109" s="105">
        <f t="shared" si="44"/>
        <v>0</v>
      </c>
      <c r="P109" s="105">
        <f t="shared" si="44"/>
        <v>0</v>
      </c>
      <c r="Q109" s="105">
        <f t="shared" si="44"/>
        <v>0</v>
      </c>
      <c r="R109" s="105">
        <f t="shared" si="44"/>
        <v>248.6748616789304</v>
      </c>
      <c r="S109" s="105">
        <f t="shared" si="44"/>
        <v>0</v>
      </c>
      <c r="T109" s="105"/>
      <c r="U109" s="105"/>
    </row>
    <row r="110" spans="1:36" ht="12" customHeight="1">
      <c r="B110" s="92"/>
      <c r="C110" s="11">
        <f t="shared" si="36"/>
        <v>5161.7250428627722</v>
      </c>
      <c r="D110" s="82" t="s">
        <v>98</v>
      </c>
      <c r="E110" s="40" t="s">
        <v>112</v>
      </c>
      <c r="G110" s="105">
        <f>SUM(G105:G109)</f>
        <v>250</v>
      </c>
      <c r="H110" s="105">
        <f t="shared" ref="H110:S110" si="45">SUM(H105:H109)</f>
        <v>510</v>
      </c>
      <c r="I110" s="105">
        <f t="shared" si="45"/>
        <v>129.52979999999999</v>
      </c>
      <c r="J110" s="105">
        <f t="shared" si="45"/>
        <v>306.42380999999995</v>
      </c>
      <c r="K110" s="105">
        <f t="shared" si="45"/>
        <v>905.18389379999996</v>
      </c>
      <c r="L110" s="105">
        <f t="shared" si="45"/>
        <v>741.94229975040003</v>
      </c>
      <c r="M110" s="105">
        <f t="shared" si="45"/>
        <v>608.80340385411841</v>
      </c>
      <c r="N110" s="105">
        <f t="shared" si="45"/>
        <v>482.99934953316921</v>
      </c>
      <c r="O110" s="105">
        <f t="shared" si="45"/>
        <v>394.12746921906609</v>
      </c>
      <c r="P110" s="105">
        <f t="shared" si="45"/>
        <v>321.60801488275791</v>
      </c>
      <c r="Q110" s="105">
        <f t="shared" si="45"/>
        <v>262.4321401443305</v>
      </c>
      <c r="R110" s="105">
        <f t="shared" si="45"/>
        <v>248.6748616789304</v>
      </c>
      <c r="S110" s="105">
        <f t="shared" si="45"/>
        <v>0</v>
      </c>
      <c r="T110" s="105"/>
      <c r="U110" s="105"/>
      <c r="V110" s="27"/>
      <c r="W110" s="100"/>
      <c r="X110" s="100"/>
      <c r="Y110" s="27"/>
      <c r="Z110" s="88"/>
      <c r="AA110" s="89"/>
      <c r="AB110" s="90"/>
      <c r="AC110" s="90"/>
      <c r="AD110" s="90"/>
      <c r="AE110" s="89"/>
      <c r="AF110" s="90"/>
      <c r="AG110" s="90"/>
      <c r="AH110" s="90"/>
      <c r="AI110" s="90"/>
      <c r="AJ110" s="38"/>
    </row>
    <row r="111" spans="1:36" ht="14.25" customHeight="1" thickBot="1">
      <c r="A111" s="107" t="b">
        <f>ROUND(C111-(C104-SUM(C105:C109)),5)=0</f>
        <v>1</v>
      </c>
      <c r="B111" s="92"/>
      <c r="C111" s="11">
        <f t="shared" si="36"/>
        <v>2439.035360638075</v>
      </c>
      <c r="D111" s="108" t="s">
        <v>113</v>
      </c>
      <c r="E111" s="109" t="s">
        <v>112</v>
      </c>
      <c r="F111" s="109"/>
      <c r="G111" s="109">
        <f>G104-G110</f>
        <v>-250</v>
      </c>
      <c r="H111" s="109">
        <f t="shared" ref="H111:S111" si="46">H104-H110</f>
        <v>-510</v>
      </c>
      <c r="I111" s="109">
        <f t="shared" si="46"/>
        <v>83.127960000000002</v>
      </c>
      <c r="J111" s="109">
        <f t="shared" si="46"/>
        <v>235.85347800000005</v>
      </c>
      <c r="K111" s="109">
        <f t="shared" si="46"/>
        <v>754.18460747999995</v>
      </c>
      <c r="L111" s="109">
        <f t="shared" si="46"/>
        <v>612.10239729407999</v>
      </c>
      <c r="M111" s="109">
        <f t="shared" si="46"/>
        <v>496.09706893417729</v>
      </c>
      <c r="N111" s="109">
        <f t="shared" si="46"/>
        <v>418.59943626208013</v>
      </c>
      <c r="O111" s="109">
        <f t="shared" si="46"/>
        <v>341.57713998985736</v>
      </c>
      <c r="P111" s="109">
        <f t="shared" si="46"/>
        <v>278.72694623172384</v>
      </c>
      <c r="Q111" s="109">
        <f t="shared" si="46"/>
        <v>227.44118812508668</v>
      </c>
      <c r="R111" s="109">
        <f t="shared" si="46"/>
        <v>-248.6748616789304</v>
      </c>
      <c r="S111" s="109">
        <f t="shared" si="46"/>
        <v>0</v>
      </c>
      <c r="T111" s="11"/>
      <c r="U111" s="11"/>
      <c r="V111" s="27"/>
      <c r="W111" s="100"/>
      <c r="X111" s="100"/>
      <c r="Y111" s="27"/>
      <c r="Z111" s="88"/>
      <c r="AA111" s="89"/>
      <c r="AB111" s="90"/>
      <c r="AC111" s="90"/>
      <c r="AD111" s="90"/>
      <c r="AE111" s="89"/>
      <c r="AF111" s="90"/>
      <c r="AG111" s="90"/>
      <c r="AH111" s="90"/>
      <c r="AI111" s="90"/>
      <c r="AJ111" s="38"/>
    </row>
    <row r="112" spans="1:36" ht="12" customHeight="1" thickTop="1">
      <c r="B112" s="14"/>
      <c r="C112" s="11"/>
      <c r="D112" s="8"/>
      <c r="E112" s="11"/>
      <c r="F112" s="11"/>
      <c r="G112" s="11"/>
      <c r="H112" s="11"/>
      <c r="I112" s="11"/>
      <c r="J112" s="11"/>
      <c r="K112" s="11"/>
      <c r="L112" s="11"/>
      <c r="M112" s="11"/>
      <c r="N112" s="11"/>
      <c r="O112" s="11"/>
      <c r="P112" s="11"/>
      <c r="Q112" s="11"/>
      <c r="R112" s="11"/>
      <c r="S112" s="11"/>
      <c r="T112" s="11"/>
      <c r="U112" s="11"/>
    </row>
    <row r="113" spans="1:36" ht="12" customHeight="1">
      <c r="B113" s="14"/>
      <c r="C113" s="260">
        <f>IFERROR(IRR(G111:S111),0)</f>
        <v>0.3816661166962787</v>
      </c>
      <c r="D113" s="84" t="s">
        <v>114</v>
      </c>
      <c r="E113" s="40" t="s">
        <v>17</v>
      </c>
      <c r="F113" s="27"/>
      <c r="G113" s="110" t="str">
        <f>IFERROR(IRR($G111:G111),"--")</f>
        <v>--</v>
      </c>
      <c r="H113" s="110" t="str">
        <f>IFERROR(IRR($G111:H111),"--")</f>
        <v>--</v>
      </c>
      <c r="I113" s="110" t="str">
        <f>IFERROR(IRR($G111:I111),"--")</f>
        <v>--</v>
      </c>
      <c r="J113" s="110">
        <f>IFERROR(IRR($G111:J111),"--")</f>
        <v>-0.34362715963553048</v>
      </c>
      <c r="K113" s="110">
        <f>IFERROR(IRR($G111:K111),"--")</f>
        <v>0.12436103724595005</v>
      </c>
      <c r="L113" s="110">
        <f>IFERROR(IRR($G111:L111),"--")</f>
        <v>0.26429029927663361</v>
      </c>
      <c r="M113" s="110">
        <f>IFERROR(IRR($G111:M111),"--")</f>
        <v>0.3250475370606396</v>
      </c>
      <c r="N113" s="110">
        <f>IFERROR(IRR($G111:N111),"--")</f>
        <v>0.35585080624495835</v>
      </c>
      <c r="O113" s="110">
        <f>IFERROR(IRR($G111:O111),"--")</f>
        <v>0.3719113590213845</v>
      </c>
      <c r="P113" s="110">
        <f>IFERROR(IRR($G111:P111),"--")</f>
        <v>0.38063296715688422</v>
      </c>
      <c r="Q113" s="110">
        <f>IFERROR(IRR($G111:Q111),"--")</f>
        <v>0.38549463687321506</v>
      </c>
      <c r="R113" s="110">
        <f>IFERROR(IRR($G111:R111),"--")</f>
        <v>0.3816661166962787</v>
      </c>
      <c r="S113" s="110">
        <f>IFERROR(IRR($G111:S111),"--")</f>
        <v>0.3816661166962787</v>
      </c>
      <c r="T113" s="111"/>
      <c r="U113" s="111"/>
    </row>
    <row r="114" spans="1:36" ht="12" customHeight="1">
      <c r="B114" s="92"/>
      <c r="C114" s="112">
        <f>NPV($F$51,$H$111:$S$111)+$G$111</f>
        <v>1200.376957563258</v>
      </c>
      <c r="D114" s="84" t="str">
        <f>"Project pre-tax cash flow NPV"&amp;$F$51*100</f>
        <v>Project pre-tax cash flow NPV10</v>
      </c>
      <c r="E114" s="40" t="s">
        <v>112</v>
      </c>
      <c r="F114" s="27"/>
      <c r="G114" s="111"/>
      <c r="H114" s="111"/>
      <c r="I114" s="111"/>
      <c r="J114" s="111"/>
      <c r="K114" s="111"/>
      <c r="L114" s="111"/>
      <c r="M114" s="111"/>
      <c r="N114" s="111"/>
      <c r="O114" s="111"/>
      <c r="P114" s="111"/>
      <c r="Q114" s="111"/>
      <c r="R114" s="111"/>
      <c r="S114" s="111"/>
      <c r="T114" s="111"/>
      <c r="U114" s="111"/>
    </row>
    <row r="115" spans="1:36" ht="12" customHeight="1">
      <c r="B115" s="14"/>
      <c r="C115" s="11"/>
      <c r="D115" s="118"/>
      <c r="E115" s="25"/>
      <c r="F115" s="27"/>
      <c r="G115" s="27"/>
      <c r="H115" s="27"/>
      <c r="I115" s="27"/>
      <c r="J115" s="119"/>
      <c r="K115" s="27"/>
      <c r="L115" s="27"/>
      <c r="M115" s="27"/>
      <c r="N115" s="27"/>
      <c r="O115" s="27"/>
      <c r="P115" s="27"/>
      <c r="Q115" s="27"/>
      <c r="R115" s="27"/>
      <c r="S115" s="27"/>
      <c r="T115" s="27"/>
      <c r="U115" s="27"/>
      <c r="V115" s="27"/>
      <c r="W115" s="100"/>
      <c r="X115" s="100"/>
      <c r="Y115" s="27"/>
      <c r="Z115" s="88"/>
      <c r="AA115" s="89"/>
      <c r="AB115" s="90"/>
      <c r="AC115" s="90"/>
      <c r="AD115" s="90"/>
      <c r="AE115" s="89"/>
      <c r="AF115" s="90"/>
      <c r="AG115" s="90"/>
      <c r="AH115" s="90"/>
      <c r="AI115" s="90"/>
      <c r="AJ115" s="38"/>
    </row>
    <row r="116" spans="1:36" s="416" customFormat="1" ht="30" customHeight="1">
      <c r="A116" s="415" t="s">
        <v>115</v>
      </c>
    </row>
    <row r="117" spans="1:36" ht="6" customHeight="1">
      <c r="B117" s="14"/>
      <c r="E117" s="15"/>
      <c r="H117" s="15"/>
      <c r="V117" s="27"/>
      <c r="W117" s="100"/>
      <c r="X117" s="100"/>
      <c r="Y117" s="27"/>
      <c r="Z117" s="88"/>
      <c r="AA117" s="89"/>
      <c r="AB117" s="90"/>
      <c r="AC117" s="90"/>
      <c r="AD117" s="90"/>
      <c r="AE117" s="89"/>
      <c r="AF117" s="90"/>
      <c r="AG117" s="90"/>
      <c r="AH117" s="90"/>
      <c r="AI117" s="90"/>
      <c r="AJ117" s="38"/>
    </row>
    <row r="118" spans="1:36" ht="15" customHeight="1">
      <c r="B118" s="14"/>
      <c r="C118" s="69" t="s">
        <v>379</v>
      </c>
      <c r="D118" s="120" t="s">
        <v>116</v>
      </c>
      <c r="E118" s="15"/>
      <c r="H118" s="15"/>
      <c r="V118" s="27"/>
      <c r="W118" s="100"/>
      <c r="X118" s="100"/>
      <c r="Y118" s="27"/>
      <c r="Z118" s="88"/>
      <c r="AA118" s="89"/>
      <c r="AB118" s="90"/>
      <c r="AC118" s="90"/>
      <c r="AD118" s="90"/>
      <c r="AE118" s="89"/>
      <c r="AF118" s="90"/>
      <c r="AG118" s="90"/>
      <c r="AH118" s="90"/>
      <c r="AI118" s="90"/>
      <c r="AJ118" s="38"/>
    </row>
    <row r="119" spans="1:36" ht="15" customHeight="1">
      <c r="B119" s="14"/>
      <c r="C119" s="105">
        <f>SUM(G119:S119)</f>
        <v>12</v>
      </c>
      <c r="D119" s="121" t="s">
        <v>117</v>
      </c>
      <c r="E119" s="25" t="s">
        <v>32</v>
      </c>
      <c r="F119" s="27"/>
      <c r="G119" s="11">
        <f>G58*(G120&gt;0)</f>
        <v>0</v>
      </c>
      <c r="H119" s="11">
        <f t="shared" ref="H119:S119" si="47">H58*(H120&gt;0)</f>
        <v>0</v>
      </c>
      <c r="I119" s="11">
        <f t="shared" si="47"/>
        <v>0</v>
      </c>
      <c r="J119" s="11">
        <f t="shared" si="47"/>
        <v>0</v>
      </c>
      <c r="K119" s="11">
        <f t="shared" si="47"/>
        <v>0</v>
      </c>
      <c r="L119" s="11">
        <f t="shared" si="47"/>
        <v>0</v>
      </c>
      <c r="M119" s="11">
        <f t="shared" si="47"/>
        <v>0</v>
      </c>
      <c r="N119" s="11">
        <f t="shared" si="47"/>
        <v>0</v>
      </c>
      <c r="O119" s="11">
        <f t="shared" si="47"/>
        <v>0</v>
      </c>
      <c r="P119" s="11">
        <f t="shared" si="47"/>
        <v>0</v>
      </c>
      <c r="Q119" s="11">
        <f t="shared" si="47"/>
        <v>0</v>
      </c>
      <c r="R119" s="11">
        <f t="shared" si="47"/>
        <v>12</v>
      </c>
      <c r="S119" s="11">
        <f t="shared" si="47"/>
        <v>0</v>
      </c>
      <c r="T119" s="27"/>
      <c r="U119" s="27"/>
      <c r="V119" s="27"/>
      <c r="W119" s="100"/>
      <c r="X119" s="100"/>
      <c r="Y119" s="27"/>
      <c r="Z119" s="88"/>
      <c r="AA119" s="89"/>
      <c r="AB119" s="90"/>
      <c r="AC119" s="90"/>
      <c r="AD119" s="90"/>
      <c r="AE119" s="89"/>
      <c r="AF119" s="90"/>
      <c r="AG119" s="90"/>
      <c r="AH119" s="90"/>
      <c r="AI119" s="90"/>
      <c r="AJ119" s="38"/>
    </row>
    <row r="120" spans="1:36" ht="15" customHeight="1">
      <c r="B120" s="14"/>
      <c r="C120" s="105">
        <f t="shared" ref="C120:C121" si="48">SUM(G120:S120)</f>
        <v>248.6748616789304</v>
      </c>
      <c r="D120" s="91" t="s">
        <v>118</v>
      </c>
      <c r="E120" s="40" t="s">
        <v>112</v>
      </c>
      <c r="F120" s="27"/>
      <c r="G120" s="11">
        <f t="shared" ref="G120" si="49">G109</f>
        <v>0</v>
      </c>
      <c r="H120" s="11">
        <f t="shared" ref="H120:S120" si="50">H109</f>
        <v>0</v>
      </c>
      <c r="I120" s="11">
        <f t="shared" si="50"/>
        <v>0</v>
      </c>
      <c r="J120" s="11">
        <f t="shared" si="50"/>
        <v>0</v>
      </c>
      <c r="K120" s="11">
        <f t="shared" si="50"/>
        <v>0</v>
      </c>
      <c r="L120" s="11">
        <f t="shared" si="50"/>
        <v>0</v>
      </c>
      <c r="M120" s="11">
        <f t="shared" si="50"/>
        <v>0</v>
      </c>
      <c r="N120" s="11">
        <f t="shared" si="50"/>
        <v>0</v>
      </c>
      <c r="O120" s="11">
        <f t="shared" si="50"/>
        <v>0</v>
      </c>
      <c r="P120" s="11">
        <f t="shared" si="50"/>
        <v>0</v>
      </c>
      <c r="Q120" s="11">
        <f t="shared" si="50"/>
        <v>0</v>
      </c>
      <c r="R120" s="11">
        <f t="shared" si="50"/>
        <v>248.6748616789304</v>
      </c>
      <c r="S120" s="11">
        <f t="shared" si="50"/>
        <v>0</v>
      </c>
      <c r="T120" s="27"/>
      <c r="U120" s="27"/>
      <c r="V120" s="27"/>
      <c r="W120" s="100"/>
      <c r="X120" s="100"/>
      <c r="Y120" s="27"/>
      <c r="Z120" s="88"/>
      <c r="AA120" s="89"/>
      <c r="AB120" s="90"/>
      <c r="AC120" s="90"/>
      <c r="AD120" s="90"/>
      <c r="AE120" s="89"/>
      <c r="AF120" s="90"/>
      <c r="AG120" s="90"/>
      <c r="AH120" s="90"/>
      <c r="AI120" s="90"/>
      <c r="AJ120" s="38"/>
    </row>
    <row r="121" spans="1:36" ht="15" customHeight="1">
      <c r="B121" s="14"/>
      <c r="C121" s="105">
        <f t="shared" si="48"/>
        <v>200</v>
      </c>
      <c r="D121" s="91" t="s">
        <v>119</v>
      </c>
      <c r="E121" s="40" t="s">
        <v>12</v>
      </c>
      <c r="F121" s="27"/>
      <c r="G121" s="11">
        <f t="shared" ref="G121" si="51">G120/G99</f>
        <v>0</v>
      </c>
      <c r="H121" s="11">
        <f t="shared" ref="H121:S121" si="52">H120/H99</f>
        <v>0</v>
      </c>
      <c r="I121" s="11">
        <f t="shared" si="52"/>
        <v>0</v>
      </c>
      <c r="J121" s="11">
        <f t="shared" si="52"/>
        <v>0</v>
      </c>
      <c r="K121" s="11">
        <f t="shared" si="52"/>
        <v>0</v>
      </c>
      <c r="L121" s="11">
        <f t="shared" si="52"/>
        <v>0</v>
      </c>
      <c r="M121" s="11">
        <f t="shared" si="52"/>
        <v>0</v>
      </c>
      <c r="N121" s="11">
        <f t="shared" si="52"/>
        <v>0</v>
      </c>
      <c r="O121" s="11">
        <f t="shared" si="52"/>
        <v>0</v>
      </c>
      <c r="P121" s="11">
        <f t="shared" si="52"/>
        <v>0</v>
      </c>
      <c r="Q121" s="11">
        <f t="shared" si="52"/>
        <v>0</v>
      </c>
      <c r="R121" s="11">
        <f t="shared" si="52"/>
        <v>200</v>
      </c>
      <c r="S121" s="11">
        <f t="shared" si="52"/>
        <v>0</v>
      </c>
      <c r="T121" s="27"/>
      <c r="U121" s="27"/>
      <c r="V121" s="27"/>
      <c r="W121" s="100"/>
      <c r="X121" s="100"/>
      <c r="Y121" s="27"/>
      <c r="Z121" s="88"/>
      <c r="AA121" s="89"/>
      <c r="AB121" s="90"/>
      <c r="AC121" s="90"/>
      <c r="AD121" s="90"/>
      <c r="AE121" s="89"/>
      <c r="AF121" s="90"/>
      <c r="AG121" s="90"/>
      <c r="AH121" s="90"/>
      <c r="AI121" s="90"/>
      <c r="AJ121" s="38"/>
    </row>
    <row r="122" spans="1:36" ht="15" customHeight="1">
      <c r="B122" s="14"/>
      <c r="C122" s="105"/>
      <c r="D122" s="91" t="s">
        <v>120</v>
      </c>
      <c r="E122" s="40" t="s">
        <v>112</v>
      </c>
      <c r="F122" s="27"/>
      <c r="G122" s="11">
        <f>$C$121*G99*(G58&lt;=$C$119)*(1+$F$53)</f>
        <v>204</v>
      </c>
      <c r="H122" s="11">
        <f t="shared" ref="H122:S122" si="53">$C$121*H99*(H58&lt;=$C$119)*(1+$F$53)</f>
        <v>208.08</v>
      </c>
      <c r="I122" s="11">
        <f t="shared" si="53"/>
        <v>212.24159999999998</v>
      </c>
      <c r="J122" s="11">
        <f t="shared" si="53"/>
        <v>216.48643199999998</v>
      </c>
      <c r="K122" s="11">
        <f t="shared" si="53"/>
        <v>220.81616064000002</v>
      </c>
      <c r="L122" s="11">
        <f t="shared" si="53"/>
        <v>225.23248385279999</v>
      </c>
      <c r="M122" s="11">
        <f t="shared" si="53"/>
        <v>229.73713352985601</v>
      </c>
      <c r="N122" s="11">
        <f t="shared" si="53"/>
        <v>234.33187620045308</v>
      </c>
      <c r="O122" s="11">
        <f t="shared" si="53"/>
        <v>239.01851372446217</v>
      </c>
      <c r="P122" s="11">
        <f t="shared" si="53"/>
        <v>243.79888399895142</v>
      </c>
      <c r="Q122" s="11">
        <f t="shared" si="53"/>
        <v>248.67486167893045</v>
      </c>
      <c r="R122" s="11">
        <f t="shared" si="53"/>
        <v>253.648358912509</v>
      </c>
      <c r="S122" s="11">
        <f t="shared" si="53"/>
        <v>0</v>
      </c>
      <c r="T122" s="27"/>
      <c r="U122" s="27"/>
      <c r="V122" s="27"/>
      <c r="W122" s="100"/>
      <c r="X122" s="100"/>
      <c r="Y122" s="27"/>
      <c r="Z122" s="88"/>
      <c r="AA122" s="89"/>
      <c r="AB122" s="90"/>
      <c r="AC122" s="90"/>
      <c r="AD122" s="90"/>
      <c r="AE122" s="89"/>
      <c r="AF122" s="90"/>
      <c r="AG122" s="90"/>
      <c r="AH122" s="90"/>
      <c r="AI122" s="90"/>
      <c r="AJ122" s="38"/>
    </row>
    <row r="123" spans="1:36" ht="15" customHeight="1">
      <c r="B123" s="14"/>
      <c r="C123" s="105"/>
      <c r="D123" s="91"/>
      <c r="E123" s="25"/>
      <c r="F123" s="27"/>
      <c r="G123" s="27"/>
      <c r="H123" s="27"/>
      <c r="I123" s="27"/>
      <c r="J123" s="119"/>
      <c r="K123" s="27"/>
      <c r="L123" s="27"/>
      <c r="M123" s="27"/>
      <c r="N123" s="27"/>
      <c r="O123" s="27"/>
      <c r="P123" s="27"/>
      <c r="Q123" s="27"/>
      <c r="R123" s="27"/>
      <c r="S123" s="27"/>
      <c r="T123" s="27"/>
      <c r="U123" s="27"/>
      <c r="V123" s="27"/>
      <c r="W123" s="100"/>
      <c r="X123" s="100"/>
      <c r="Y123" s="27"/>
      <c r="Z123" s="88"/>
      <c r="AA123" s="89"/>
      <c r="AB123" s="90"/>
      <c r="AC123" s="90"/>
      <c r="AD123" s="90"/>
      <c r="AE123" s="89"/>
      <c r="AF123" s="90"/>
      <c r="AG123" s="90"/>
      <c r="AH123" s="90"/>
      <c r="AI123" s="90"/>
      <c r="AJ123" s="38"/>
    </row>
    <row r="124" spans="1:36" ht="15" customHeight="1">
      <c r="B124" s="14"/>
      <c r="D124" s="91" t="s">
        <v>121</v>
      </c>
      <c r="E124" s="25" t="s">
        <v>17</v>
      </c>
      <c r="F124" s="27"/>
      <c r="G124" s="57">
        <f>SUM($G$60:G60)/$C$60</f>
        <v>0</v>
      </c>
      <c r="H124" s="57">
        <f>SUM($G$60:H60)/$C$60</f>
        <v>0</v>
      </c>
      <c r="I124" s="57">
        <f>SUM($G$60:I60)/$C$60</f>
        <v>3.0178949096562976E-2</v>
      </c>
      <c r="J124" s="57">
        <f>SUM($G$60:J60)/$C$60</f>
        <v>0.10562632183797042</v>
      </c>
      <c r="K124" s="57">
        <f>SUM($G$60:K60)/$C$60</f>
        <v>0.33196844006219278</v>
      </c>
      <c r="L124" s="57">
        <f>SUM($G$60:L60)/$C$60</f>
        <v>0.51304213464157067</v>
      </c>
      <c r="M124" s="57">
        <f>SUM($G$60:M60)/$C$60</f>
        <v>0.65790109030507293</v>
      </c>
      <c r="N124" s="57">
        <f>SUM($G$60:N60)/$C$60</f>
        <v>0.77378825483587477</v>
      </c>
      <c r="O124" s="57">
        <f>SUM($G$60:O60)/$C$60</f>
        <v>0.86649798646051623</v>
      </c>
      <c r="P124" s="57">
        <f>SUM($G$60:P60)/$C$60</f>
        <v>0.94066577176022947</v>
      </c>
      <c r="Q124" s="57">
        <f>SUM($G$60:Q60)/$C$60</f>
        <v>1</v>
      </c>
      <c r="R124" s="57">
        <f>SUM($G$60:R60)/$C$60</f>
        <v>1</v>
      </c>
      <c r="S124" s="57">
        <f>SUM($G$60:S60)/$C$60</f>
        <v>1</v>
      </c>
      <c r="T124" s="57"/>
      <c r="U124" s="57"/>
      <c r="V124" s="27"/>
      <c r="W124" s="100"/>
      <c r="X124" s="100"/>
      <c r="Y124" s="27"/>
      <c r="Z124" s="88"/>
      <c r="AA124" s="89"/>
      <c r="AB124" s="90"/>
      <c r="AC124" s="90"/>
      <c r="AD124" s="90"/>
      <c r="AE124" s="89"/>
      <c r="AF124" s="90"/>
      <c r="AG124" s="90"/>
      <c r="AH124" s="90"/>
      <c r="AI124" s="90"/>
      <c r="AJ124" s="38"/>
    </row>
    <row r="125" spans="1:36" ht="15" customHeight="1">
      <c r="B125" s="14"/>
      <c r="D125" s="91" t="s">
        <v>122</v>
      </c>
      <c r="E125" s="93" t="s">
        <v>86</v>
      </c>
      <c r="F125" s="27"/>
      <c r="G125" s="11">
        <f>$C$60-SUM($G$60:G60)</f>
        <v>120.945232</v>
      </c>
      <c r="H125" s="11">
        <f>$C$60-SUM($G$60:H60)</f>
        <v>120.945232</v>
      </c>
      <c r="I125" s="11">
        <f>$C$60-SUM($G$60:I60)</f>
        <v>117.295232</v>
      </c>
      <c r="J125" s="11">
        <f>$C$60-SUM($G$60:J60)</f>
        <v>108.170232</v>
      </c>
      <c r="K125" s="11">
        <f>$C$60-SUM($G$60:K60)</f>
        <v>80.795231999999999</v>
      </c>
      <c r="L125" s="11">
        <f>$C$60-SUM($G$60:L60)</f>
        <v>58.895232000000007</v>
      </c>
      <c r="M125" s="11">
        <f>$C$60-SUM($G$60:M60)</f>
        <v>41.375232000000011</v>
      </c>
      <c r="N125" s="11">
        <f>$C$60-SUM($G$60:N60)</f>
        <v>27.359232000000006</v>
      </c>
      <c r="O125" s="11">
        <f>$C$60-SUM($G$60:O60)</f>
        <v>16.146432000000004</v>
      </c>
      <c r="P125" s="11">
        <f>$C$60-SUM($G$60:P60)</f>
        <v>7.1761920000000003</v>
      </c>
      <c r="Q125" s="11">
        <f>$C$60-SUM($G$60:Q60)</f>
        <v>0</v>
      </c>
      <c r="R125" s="11">
        <f>$C$60-SUM($G$60:R60)</f>
        <v>0</v>
      </c>
      <c r="S125" s="11">
        <f>$C$60-SUM($G$60:S60)</f>
        <v>0</v>
      </c>
      <c r="T125" s="27"/>
      <c r="U125" s="27"/>
      <c r="V125" s="27"/>
      <c r="W125" s="100"/>
      <c r="X125" s="100"/>
      <c r="Y125" s="27"/>
      <c r="Z125" s="88"/>
      <c r="AA125" s="89"/>
      <c r="AB125" s="90"/>
      <c r="AC125" s="90"/>
      <c r="AD125" s="90"/>
      <c r="AE125" s="89"/>
      <c r="AF125" s="90"/>
      <c r="AG125" s="90"/>
      <c r="AH125" s="90"/>
      <c r="AI125" s="90"/>
      <c r="AJ125" s="38"/>
    </row>
    <row r="126" spans="1:36" ht="15" customHeight="1">
      <c r="B126" s="14"/>
      <c r="D126" s="91" t="s">
        <v>123</v>
      </c>
      <c r="E126" s="25" t="s">
        <v>124</v>
      </c>
      <c r="F126" s="27"/>
      <c r="G126" s="11">
        <f t="shared" ref="G126:S126" si="54">1*(G124&gt;$F$13)*(G59&gt;0)</f>
        <v>0</v>
      </c>
      <c r="H126" s="11">
        <f t="shared" si="54"/>
        <v>0</v>
      </c>
      <c r="I126" s="11">
        <f t="shared" si="54"/>
        <v>0</v>
      </c>
      <c r="J126" s="11">
        <f t="shared" si="54"/>
        <v>0</v>
      </c>
      <c r="K126" s="11">
        <f t="shared" si="54"/>
        <v>0</v>
      </c>
      <c r="L126" s="11">
        <f t="shared" si="54"/>
        <v>0</v>
      </c>
      <c r="M126" s="11">
        <f t="shared" si="54"/>
        <v>1</v>
      </c>
      <c r="N126" s="11">
        <f t="shared" si="54"/>
        <v>1</v>
      </c>
      <c r="O126" s="11">
        <f t="shared" si="54"/>
        <v>1</v>
      </c>
      <c r="P126" s="11">
        <f t="shared" si="54"/>
        <v>1</v>
      </c>
      <c r="Q126" s="11">
        <f t="shared" si="54"/>
        <v>1</v>
      </c>
      <c r="R126" s="11">
        <f t="shared" si="54"/>
        <v>0</v>
      </c>
      <c r="S126" s="11">
        <f t="shared" si="54"/>
        <v>0</v>
      </c>
      <c r="T126" s="27"/>
      <c r="U126" s="27"/>
      <c r="V126" s="27"/>
      <c r="W126" s="100"/>
      <c r="X126" s="100"/>
      <c r="Y126" s="27"/>
      <c r="Z126" s="88"/>
      <c r="AA126" s="89"/>
      <c r="AB126" s="90"/>
      <c r="AC126" s="90"/>
      <c r="AD126" s="90"/>
      <c r="AE126" s="89"/>
      <c r="AF126" s="90"/>
      <c r="AG126" s="90"/>
      <c r="AH126" s="90"/>
      <c r="AI126" s="90"/>
      <c r="AJ126" s="38"/>
    </row>
    <row r="127" spans="1:36" ht="15" customHeight="1">
      <c r="B127" s="14"/>
      <c r="C127" s="105">
        <f t="shared" ref="C127:C132" si="55">SUM(G127:S127)</f>
        <v>58.895232000000007</v>
      </c>
      <c r="D127" s="91" t="s">
        <v>125</v>
      </c>
      <c r="E127" s="93" t="s">
        <v>86</v>
      </c>
      <c r="F127" s="27"/>
      <c r="G127" s="11">
        <f t="shared" ref="G127:S127" si="56">G126*G60</f>
        <v>0</v>
      </c>
      <c r="H127" s="11">
        <f t="shared" si="56"/>
        <v>0</v>
      </c>
      <c r="I127" s="11">
        <f t="shared" si="56"/>
        <v>0</v>
      </c>
      <c r="J127" s="11">
        <f t="shared" si="56"/>
        <v>0</v>
      </c>
      <c r="K127" s="11">
        <f t="shared" si="56"/>
        <v>0</v>
      </c>
      <c r="L127" s="11">
        <f t="shared" si="56"/>
        <v>0</v>
      </c>
      <c r="M127" s="11">
        <f t="shared" si="56"/>
        <v>17.52</v>
      </c>
      <c r="N127" s="11">
        <f t="shared" si="56"/>
        <v>14.016000000000002</v>
      </c>
      <c r="O127" s="11">
        <f t="shared" si="56"/>
        <v>11.212800000000003</v>
      </c>
      <c r="P127" s="11">
        <f t="shared" si="56"/>
        <v>8.970240000000004</v>
      </c>
      <c r="Q127" s="11">
        <f t="shared" si="56"/>
        <v>7.1761920000000039</v>
      </c>
      <c r="R127" s="11">
        <f t="shared" si="56"/>
        <v>0</v>
      </c>
      <c r="S127" s="11">
        <f t="shared" si="56"/>
        <v>0</v>
      </c>
      <c r="T127" s="27"/>
      <c r="U127" s="27"/>
      <c r="V127" s="27"/>
      <c r="W127" s="100"/>
      <c r="X127" s="100"/>
      <c r="Y127" s="27"/>
      <c r="Z127" s="88"/>
      <c r="AA127" s="89"/>
      <c r="AB127" s="90"/>
      <c r="AC127" s="90"/>
      <c r="AD127" s="90"/>
      <c r="AE127" s="89"/>
      <c r="AF127" s="90"/>
      <c r="AG127" s="90"/>
      <c r="AH127" s="90"/>
      <c r="AI127" s="90"/>
      <c r="AJ127" s="38"/>
    </row>
    <row r="128" spans="1:36" ht="15" customHeight="1">
      <c r="B128" s="14"/>
      <c r="C128" s="105">
        <f t="shared" si="55"/>
        <v>202.41907200000003</v>
      </c>
      <c r="D128" s="91" t="s">
        <v>126</v>
      </c>
      <c r="E128" s="93" t="s">
        <v>86</v>
      </c>
      <c r="F128" s="27"/>
      <c r="G128" s="11">
        <f>(G127+F128)*G126</f>
        <v>0</v>
      </c>
      <c r="H128" s="11">
        <f t="shared" ref="H128:S128" si="57">(H127+G128)*H126</f>
        <v>0</v>
      </c>
      <c r="I128" s="11">
        <f t="shared" si="57"/>
        <v>0</v>
      </c>
      <c r="J128" s="11">
        <f t="shared" si="57"/>
        <v>0</v>
      </c>
      <c r="K128" s="11">
        <f t="shared" si="57"/>
        <v>0</v>
      </c>
      <c r="L128" s="11">
        <f t="shared" si="57"/>
        <v>0</v>
      </c>
      <c r="M128" s="11">
        <f t="shared" si="57"/>
        <v>17.52</v>
      </c>
      <c r="N128" s="11">
        <f t="shared" si="57"/>
        <v>31.536000000000001</v>
      </c>
      <c r="O128" s="11">
        <f t="shared" si="57"/>
        <v>42.748800000000003</v>
      </c>
      <c r="P128" s="11">
        <f t="shared" si="57"/>
        <v>51.719040000000007</v>
      </c>
      <c r="Q128" s="11">
        <f t="shared" si="57"/>
        <v>58.895232000000007</v>
      </c>
      <c r="R128" s="11">
        <f t="shared" si="57"/>
        <v>0</v>
      </c>
      <c r="S128" s="11">
        <f t="shared" si="57"/>
        <v>0</v>
      </c>
      <c r="T128" s="27"/>
      <c r="U128" s="27"/>
      <c r="V128" s="27"/>
      <c r="W128" s="100"/>
      <c r="X128" s="100"/>
      <c r="Y128" s="27"/>
      <c r="Z128" s="88"/>
      <c r="AA128" s="89"/>
      <c r="AB128" s="90"/>
      <c r="AC128" s="90"/>
      <c r="AD128" s="90"/>
      <c r="AE128" s="89"/>
      <c r="AF128" s="90"/>
      <c r="AG128" s="90"/>
      <c r="AH128" s="90"/>
      <c r="AI128" s="90"/>
      <c r="AJ128" s="38"/>
    </row>
    <row r="129" spans="2:36" ht="15" customHeight="1">
      <c r="B129" s="14"/>
      <c r="C129" s="105">
        <f t="shared" si="55"/>
        <v>824.71912504670684</v>
      </c>
      <c r="D129" s="91" t="s">
        <v>127</v>
      </c>
      <c r="E129" s="40" t="s">
        <v>112</v>
      </c>
      <c r="F129" s="27"/>
      <c r="G129" s="11">
        <f>F133</f>
        <v>0</v>
      </c>
      <c r="H129" s="11">
        <f t="shared" ref="H129:S129" si="58">G133</f>
        <v>0</v>
      </c>
      <c r="I129" s="11">
        <f t="shared" si="58"/>
        <v>0</v>
      </c>
      <c r="J129" s="11">
        <f t="shared" si="58"/>
        <v>0</v>
      </c>
      <c r="K129" s="11">
        <f t="shared" si="58"/>
        <v>0</v>
      </c>
      <c r="L129" s="11">
        <f t="shared" si="58"/>
        <v>0</v>
      </c>
      <c r="M129" s="11">
        <f t="shared" si="58"/>
        <v>0</v>
      </c>
      <c r="N129" s="11">
        <f t="shared" si="58"/>
        <v>68.341603263284142</v>
      </c>
      <c r="O129" s="11">
        <f t="shared" si="58"/>
        <v>124.57137051842267</v>
      </c>
      <c r="P129" s="11">
        <f t="shared" si="58"/>
        <v>171.47593740614377</v>
      </c>
      <c r="Q129" s="11">
        <f t="shared" si="58"/>
        <v>211.65535217992581</v>
      </c>
      <c r="R129" s="11">
        <f t="shared" si="58"/>
        <v>248.67486167893048</v>
      </c>
      <c r="S129" s="11">
        <f t="shared" si="58"/>
        <v>0</v>
      </c>
      <c r="T129" s="27"/>
      <c r="U129" s="27"/>
      <c r="V129" s="27"/>
      <c r="W129" s="100"/>
      <c r="X129" s="100"/>
      <c r="Y129" s="27"/>
      <c r="Z129" s="88"/>
      <c r="AA129" s="89"/>
      <c r="AB129" s="90"/>
      <c r="AC129" s="90"/>
      <c r="AD129" s="90"/>
      <c r="AE129" s="89"/>
      <c r="AF129" s="90"/>
      <c r="AG129" s="90"/>
      <c r="AH129" s="90"/>
      <c r="AI129" s="90"/>
      <c r="AJ129" s="38"/>
    </row>
    <row r="130" spans="2:36" ht="15" customHeight="1">
      <c r="B130" s="14"/>
      <c r="C130" s="105">
        <f t="shared" si="55"/>
        <v>248.67486167893048</v>
      </c>
      <c r="D130" s="91" t="s">
        <v>128</v>
      </c>
      <c r="E130" s="40" t="s">
        <v>112</v>
      </c>
      <c r="F130" s="27"/>
      <c r="G130" s="11">
        <f t="shared" ref="G130:S130" si="59">IF(G126&lt;&gt;0,(G122-G129)*IFERROR(G127/F125,1)*($F$12="yes"),0)</f>
        <v>0</v>
      </c>
      <c r="H130" s="11">
        <f t="shared" si="59"/>
        <v>0</v>
      </c>
      <c r="I130" s="11">
        <f t="shared" si="59"/>
        <v>0</v>
      </c>
      <c r="J130" s="11">
        <f t="shared" si="59"/>
        <v>0</v>
      </c>
      <c r="K130" s="11">
        <f t="shared" si="59"/>
        <v>0</v>
      </c>
      <c r="L130" s="11">
        <f t="shared" si="59"/>
        <v>0</v>
      </c>
      <c r="M130" s="11">
        <f>IF(M126&lt;&gt;0,(M122-M129)*IFERROR(M127/L125,1)*($F$12="yes"),0)</f>
        <v>68.341603263284142</v>
      </c>
      <c r="N130" s="11">
        <f t="shared" si="59"/>
        <v>56.229767255138519</v>
      </c>
      <c r="O130" s="11">
        <f t="shared" si="59"/>
        <v>46.90456688772111</v>
      </c>
      <c r="P130" s="11">
        <f t="shared" si="59"/>
        <v>40.179414773782042</v>
      </c>
      <c r="Q130" s="11">
        <f t="shared" si="59"/>
        <v>37.019509499004656</v>
      </c>
      <c r="R130" s="11">
        <f t="shared" si="59"/>
        <v>0</v>
      </c>
      <c r="S130" s="11">
        <f t="shared" si="59"/>
        <v>0</v>
      </c>
      <c r="T130" s="27"/>
      <c r="U130" s="27"/>
      <c r="V130" s="27"/>
      <c r="W130" s="100"/>
      <c r="X130" s="100"/>
      <c r="Y130" s="27"/>
      <c r="Z130" s="88"/>
      <c r="AA130" s="89"/>
      <c r="AB130" s="90"/>
      <c r="AC130" s="90"/>
      <c r="AD130" s="90"/>
      <c r="AE130" s="89"/>
      <c r="AF130" s="90"/>
      <c r="AG130" s="90"/>
      <c r="AH130" s="90"/>
      <c r="AI130" s="90"/>
      <c r="AJ130" s="38"/>
    </row>
    <row r="131" spans="2:36" ht="15" customHeight="1">
      <c r="B131" s="14"/>
      <c r="C131" s="105">
        <f t="shared" si="55"/>
        <v>-248.6748616789304</v>
      </c>
      <c r="D131" s="91" t="s">
        <v>129</v>
      </c>
      <c r="E131" s="40" t="s">
        <v>112</v>
      </c>
      <c r="F131" s="27"/>
      <c r="G131" s="11">
        <f>MIN(G120,F133)*-1</f>
        <v>0</v>
      </c>
      <c r="H131" s="11">
        <f t="shared" ref="H131:S131" si="60">MIN(H120,G133)*-1</f>
        <v>0</v>
      </c>
      <c r="I131" s="11">
        <f t="shared" si="60"/>
        <v>0</v>
      </c>
      <c r="J131" s="11">
        <f t="shared" si="60"/>
        <v>0</v>
      </c>
      <c r="K131" s="11">
        <f t="shared" si="60"/>
        <v>0</v>
      </c>
      <c r="L131" s="11">
        <f t="shared" si="60"/>
        <v>0</v>
      </c>
      <c r="M131" s="11">
        <f t="shared" si="60"/>
        <v>0</v>
      </c>
      <c r="N131" s="11">
        <f t="shared" si="60"/>
        <v>0</v>
      </c>
      <c r="O131" s="11">
        <f t="shared" si="60"/>
        <v>0</v>
      </c>
      <c r="P131" s="11">
        <f t="shared" si="60"/>
        <v>0</v>
      </c>
      <c r="Q131" s="11">
        <f t="shared" si="60"/>
        <v>0</v>
      </c>
      <c r="R131" s="11">
        <f t="shared" si="60"/>
        <v>-248.6748616789304</v>
      </c>
      <c r="S131" s="11">
        <f t="shared" si="60"/>
        <v>0</v>
      </c>
      <c r="T131" s="27"/>
      <c r="U131" s="27"/>
      <c r="V131" s="27"/>
      <c r="W131" s="100"/>
      <c r="X131" s="100"/>
      <c r="Y131" s="27"/>
      <c r="Z131" s="88"/>
      <c r="AA131" s="89"/>
      <c r="AB131" s="90"/>
      <c r="AC131" s="90"/>
      <c r="AD131" s="90"/>
      <c r="AE131" s="89"/>
      <c r="AF131" s="90"/>
      <c r="AG131" s="90"/>
      <c r="AH131" s="90"/>
      <c r="AI131" s="90"/>
      <c r="AJ131" s="38"/>
    </row>
    <row r="132" spans="2:36" ht="15" customHeight="1">
      <c r="B132" s="14"/>
      <c r="C132" s="105">
        <f t="shared" si="55"/>
        <v>-8.5265128291212022E-14</v>
      </c>
      <c r="D132" s="91" t="s">
        <v>130</v>
      </c>
      <c r="E132" s="40" t="s">
        <v>112</v>
      </c>
      <c r="F132" s="27"/>
      <c r="G132" s="11">
        <f t="shared" ref="G132:S132" si="61">(G131&lt;&gt;0)*(G129+G131)*-1</f>
        <v>0</v>
      </c>
      <c r="H132" s="11">
        <f t="shared" si="61"/>
        <v>0</v>
      </c>
      <c r="I132" s="11">
        <f t="shared" si="61"/>
        <v>0</v>
      </c>
      <c r="J132" s="11">
        <f t="shared" si="61"/>
        <v>0</v>
      </c>
      <c r="K132" s="11">
        <f t="shared" si="61"/>
        <v>0</v>
      </c>
      <c r="L132" s="11">
        <f t="shared" si="61"/>
        <v>0</v>
      </c>
      <c r="M132" s="11">
        <f t="shared" si="61"/>
        <v>0</v>
      </c>
      <c r="N132" s="11">
        <f t="shared" si="61"/>
        <v>0</v>
      </c>
      <c r="O132" s="11">
        <f t="shared" si="61"/>
        <v>0</v>
      </c>
      <c r="P132" s="11">
        <f t="shared" si="61"/>
        <v>0</v>
      </c>
      <c r="Q132" s="11">
        <f t="shared" si="61"/>
        <v>0</v>
      </c>
      <c r="R132" s="11">
        <f t="shared" si="61"/>
        <v>-8.5265128291212022E-14</v>
      </c>
      <c r="S132" s="11">
        <f t="shared" si="61"/>
        <v>0</v>
      </c>
      <c r="T132" s="122"/>
      <c r="U132" s="122"/>
      <c r="V132" s="27"/>
      <c r="W132" s="100"/>
      <c r="X132" s="100"/>
      <c r="Y132" s="27"/>
      <c r="Z132" s="88"/>
      <c r="AA132" s="89"/>
      <c r="AB132" s="90"/>
      <c r="AC132" s="90"/>
      <c r="AD132" s="90"/>
      <c r="AE132" s="89"/>
      <c r="AF132" s="90"/>
      <c r="AG132" s="90"/>
      <c r="AH132" s="90"/>
      <c r="AI132" s="90"/>
      <c r="AJ132" s="38"/>
    </row>
    <row r="133" spans="2:36" ht="15" customHeight="1">
      <c r="B133" s="14"/>
      <c r="D133" s="91" t="s">
        <v>131</v>
      </c>
      <c r="E133" s="40" t="s">
        <v>112</v>
      </c>
      <c r="F133" s="27"/>
      <c r="G133" s="11">
        <f>SUM(G129:G132)</f>
        <v>0</v>
      </c>
      <c r="H133" s="11">
        <f>SUM(H129:H132)</f>
        <v>0</v>
      </c>
      <c r="I133" s="11">
        <f t="shared" ref="I133:S133" si="62">SUM(I129:I132)</f>
        <v>0</v>
      </c>
      <c r="J133" s="11">
        <f t="shared" si="62"/>
        <v>0</v>
      </c>
      <c r="K133" s="11">
        <f t="shared" si="62"/>
        <v>0</v>
      </c>
      <c r="L133" s="11">
        <f t="shared" si="62"/>
        <v>0</v>
      </c>
      <c r="M133" s="11">
        <f t="shared" si="62"/>
        <v>68.341603263284142</v>
      </c>
      <c r="N133" s="11">
        <f t="shared" si="62"/>
        <v>124.57137051842267</v>
      </c>
      <c r="O133" s="11">
        <f t="shared" si="62"/>
        <v>171.47593740614377</v>
      </c>
      <c r="P133" s="11">
        <f t="shared" si="62"/>
        <v>211.65535217992581</v>
      </c>
      <c r="Q133" s="11">
        <f t="shared" si="62"/>
        <v>248.67486167893048</v>
      </c>
      <c r="R133" s="11">
        <f t="shared" si="62"/>
        <v>0</v>
      </c>
      <c r="S133" s="11">
        <f t="shared" si="62"/>
        <v>0</v>
      </c>
      <c r="T133" s="27"/>
      <c r="U133" s="27"/>
      <c r="V133" s="27"/>
      <c r="W133" s="100"/>
      <c r="X133" s="100"/>
      <c r="Y133" s="27"/>
      <c r="Z133" s="88"/>
      <c r="AA133" s="89"/>
      <c r="AB133" s="90"/>
      <c r="AC133" s="90"/>
      <c r="AD133" s="90"/>
      <c r="AE133" s="89"/>
      <c r="AF133" s="90"/>
      <c r="AG133" s="90"/>
      <c r="AH133" s="90"/>
      <c r="AI133" s="90"/>
      <c r="AJ133" s="38"/>
    </row>
    <row r="134" spans="2:36" ht="15" customHeight="1">
      <c r="B134" s="14"/>
      <c r="D134" s="91"/>
      <c r="E134" s="40"/>
      <c r="F134" s="27"/>
      <c r="G134" s="11"/>
      <c r="H134" s="11"/>
      <c r="I134" s="11"/>
      <c r="J134" s="11"/>
      <c r="K134" s="11"/>
      <c r="L134" s="11"/>
      <c r="M134" s="11"/>
      <c r="N134" s="11"/>
      <c r="O134" s="11"/>
      <c r="P134" s="11"/>
      <c r="Q134" s="11"/>
      <c r="R134" s="11"/>
      <c r="S134" s="11"/>
      <c r="T134" s="27"/>
      <c r="U134" s="27"/>
      <c r="V134" s="27"/>
      <c r="W134" s="100"/>
      <c r="X134" s="100"/>
      <c r="Y134" s="27"/>
      <c r="Z134" s="88"/>
      <c r="AA134" s="89"/>
      <c r="AB134" s="90"/>
      <c r="AC134" s="90"/>
      <c r="AD134" s="90"/>
      <c r="AE134" s="89"/>
      <c r="AF134" s="90"/>
      <c r="AG134" s="90"/>
      <c r="AH134" s="90"/>
      <c r="AI134" s="90"/>
      <c r="AJ134" s="38"/>
    </row>
    <row r="135" spans="2:36" ht="15" customHeight="1">
      <c r="B135" s="14"/>
      <c r="C135" s="22"/>
      <c r="D135" s="123" t="s">
        <v>132</v>
      </c>
      <c r="E135" s="63"/>
      <c r="F135" s="22"/>
      <c r="G135" s="124"/>
      <c r="H135" s="124"/>
      <c r="I135" s="124"/>
      <c r="J135" s="124"/>
      <c r="K135" s="124"/>
      <c r="L135" s="124"/>
      <c r="M135" s="124"/>
      <c r="N135" s="124"/>
      <c r="O135" s="124"/>
      <c r="P135" s="124"/>
      <c r="Q135" s="124"/>
      <c r="R135" s="124"/>
      <c r="S135" s="124"/>
      <c r="T135" s="22"/>
      <c r="U135" s="22"/>
      <c r="V135" s="27"/>
      <c r="W135" s="100"/>
      <c r="X135" s="100"/>
      <c r="Y135" s="27"/>
      <c r="Z135" s="88"/>
      <c r="AA135" s="89"/>
      <c r="AB135" s="90"/>
      <c r="AC135" s="90"/>
      <c r="AD135" s="90"/>
      <c r="AE135" s="89"/>
      <c r="AF135" s="90"/>
      <c r="AG135" s="90"/>
      <c r="AH135" s="90"/>
      <c r="AI135" s="90"/>
      <c r="AJ135" s="38"/>
    </row>
    <row r="136" spans="2:36" ht="15" customHeight="1">
      <c r="B136" s="14"/>
      <c r="C136" s="105">
        <f t="shared" ref="C136:C139" si="63">SUM(G136:S136)</f>
        <v>8143.6718608937663</v>
      </c>
      <c r="D136" s="91" t="s">
        <v>96</v>
      </c>
      <c r="E136" s="40" t="s">
        <v>112</v>
      </c>
      <c r="F136" s="27"/>
      <c r="G136" s="11">
        <f>G102</f>
        <v>0</v>
      </c>
      <c r="H136" s="11">
        <f t="shared" ref="H136:S136" si="64">H102</f>
        <v>0</v>
      </c>
      <c r="I136" s="11">
        <f t="shared" si="64"/>
        <v>227.8476</v>
      </c>
      <c r="J136" s="11">
        <f t="shared" si="64"/>
        <v>581.01137999999992</v>
      </c>
      <c r="K136" s="11">
        <f t="shared" si="64"/>
        <v>1777.8948227999999</v>
      </c>
      <c r="L136" s="11">
        <f t="shared" si="64"/>
        <v>1450.7621754048</v>
      </c>
      <c r="M136" s="11">
        <f t="shared" si="64"/>
        <v>1183.8219351303169</v>
      </c>
      <c r="N136" s="11">
        <f t="shared" si="64"/>
        <v>965.99869906633853</v>
      </c>
      <c r="O136" s="11">
        <f t="shared" si="64"/>
        <v>788.25493843813229</v>
      </c>
      <c r="P136" s="11">
        <f t="shared" si="64"/>
        <v>643.21602976551617</v>
      </c>
      <c r="Q136" s="11">
        <f t="shared" si="64"/>
        <v>524.86428028866123</v>
      </c>
      <c r="R136" s="11">
        <f t="shared" si="64"/>
        <v>0</v>
      </c>
      <c r="S136" s="11">
        <f t="shared" si="64"/>
        <v>0</v>
      </c>
      <c r="T136" s="27"/>
      <c r="U136" s="27"/>
      <c r="V136" s="27"/>
      <c r="W136" s="100"/>
      <c r="X136" s="100"/>
      <c r="Y136" s="27"/>
      <c r="Z136" s="88"/>
      <c r="AA136" s="89"/>
      <c r="AB136" s="90"/>
      <c r="AC136" s="90"/>
      <c r="AD136" s="90"/>
      <c r="AE136" s="89"/>
      <c r="AF136" s="90"/>
      <c r="AG136" s="90"/>
      <c r="AH136" s="90"/>
      <c r="AI136" s="90"/>
      <c r="AJ136" s="38"/>
    </row>
    <row r="137" spans="2:36" ht="15" customHeight="1">
      <c r="B137" s="14"/>
      <c r="C137" s="105">
        <f t="shared" si="63"/>
        <v>7600.760403500848</v>
      </c>
      <c r="D137" s="91" t="s">
        <v>97</v>
      </c>
      <c r="E137" s="40" t="s">
        <v>112</v>
      </c>
      <c r="F137" s="27"/>
      <c r="G137" s="11">
        <f>G104</f>
        <v>0</v>
      </c>
      <c r="H137" s="11">
        <f t="shared" ref="H137:S137" si="65">H104</f>
        <v>0</v>
      </c>
      <c r="I137" s="11">
        <f t="shared" si="65"/>
        <v>212.65776</v>
      </c>
      <c r="J137" s="11">
        <f t="shared" si="65"/>
        <v>542.277288</v>
      </c>
      <c r="K137" s="11">
        <f t="shared" si="65"/>
        <v>1659.3685012799999</v>
      </c>
      <c r="L137" s="11">
        <f t="shared" si="65"/>
        <v>1354.04469704448</v>
      </c>
      <c r="M137" s="11">
        <f t="shared" si="65"/>
        <v>1104.9004727882957</v>
      </c>
      <c r="N137" s="11">
        <f t="shared" si="65"/>
        <v>901.59878579524934</v>
      </c>
      <c r="O137" s="11">
        <f t="shared" si="65"/>
        <v>735.70460920892344</v>
      </c>
      <c r="P137" s="11">
        <f t="shared" si="65"/>
        <v>600.33496111448176</v>
      </c>
      <c r="Q137" s="11">
        <f t="shared" si="65"/>
        <v>489.87332826941719</v>
      </c>
      <c r="R137" s="11">
        <f t="shared" si="65"/>
        <v>0</v>
      </c>
      <c r="S137" s="11">
        <f t="shared" si="65"/>
        <v>0</v>
      </c>
      <c r="T137" s="27"/>
      <c r="U137" s="27"/>
      <c r="V137" s="27"/>
      <c r="W137" s="100"/>
      <c r="X137" s="100"/>
      <c r="Y137" s="27"/>
      <c r="Z137" s="88"/>
      <c r="AA137" s="89"/>
      <c r="AB137" s="90"/>
      <c r="AC137" s="90"/>
      <c r="AD137" s="90"/>
      <c r="AE137" s="89"/>
      <c r="AF137" s="90"/>
      <c r="AG137" s="90"/>
      <c r="AH137" s="90"/>
      <c r="AI137" s="90"/>
      <c r="AJ137" s="38"/>
    </row>
    <row r="138" spans="2:36" ht="15" customHeight="1">
      <c r="B138" s="14"/>
      <c r="C138" s="105">
        <f t="shared" si="63"/>
        <v>7600.760403500848</v>
      </c>
      <c r="D138" s="91" t="str">
        <f>"Royalty base: "&amp;$F$11&amp;" revenue"</f>
        <v>Royalty base: net revenue</v>
      </c>
      <c r="E138" s="40" t="s">
        <v>112</v>
      </c>
      <c r="F138" s="27"/>
      <c r="G138" s="11">
        <f>IF(G89=0,0,IF($F$11="gross",G136,G137))</f>
        <v>0</v>
      </c>
      <c r="H138" s="11">
        <f t="shared" ref="H138:S138" si="66">IF(H89=0,0,IF($F$11="gross",H136,H137))</f>
        <v>0</v>
      </c>
      <c r="I138" s="11">
        <f t="shared" si="66"/>
        <v>212.65776</v>
      </c>
      <c r="J138" s="11">
        <f t="shared" si="66"/>
        <v>542.277288</v>
      </c>
      <c r="K138" s="11">
        <f t="shared" si="66"/>
        <v>1659.3685012799999</v>
      </c>
      <c r="L138" s="11">
        <f t="shared" si="66"/>
        <v>1354.04469704448</v>
      </c>
      <c r="M138" s="11">
        <f t="shared" si="66"/>
        <v>1104.9004727882957</v>
      </c>
      <c r="N138" s="11">
        <f t="shared" si="66"/>
        <v>901.59878579524934</v>
      </c>
      <c r="O138" s="11">
        <f t="shared" si="66"/>
        <v>735.70460920892344</v>
      </c>
      <c r="P138" s="11">
        <f t="shared" si="66"/>
        <v>600.33496111448176</v>
      </c>
      <c r="Q138" s="11">
        <f t="shared" si="66"/>
        <v>489.87332826941719</v>
      </c>
      <c r="R138" s="11">
        <f t="shared" si="66"/>
        <v>0</v>
      </c>
      <c r="S138" s="11">
        <f t="shared" si="66"/>
        <v>0</v>
      </c>
      <c r="T138" s="27"/>
      <c r="U138" s="27"/>
      <c r="V138" s="27"/>
      <c r="W138" s="100"/>
      <c r="X138" s="100"/>
      <c r="Y138" s="27"/>
      <c r="Z138" s="88"/>
      <c r="AA138" s="89"/>
      <c r="AB138" s="90"/>
      <c r="AC138" s="90"/>
      <c r="AD138" s="90"/>
      <c r="AE138" s="89"/>
      <c r="AF138" s="90"/>
      <c r="AG138" s="90"/>
      <c r="AH138" s="90"/>
      <c r="AI138" s="90"/>
      <c r="AJ138" s="38"/>
    </row>
    <row r="139" spans="2:36" ht="15" customHeight="1">
      <c r="B139" s="14"/>
      <c r="C139" s="105">
        <f t="shared" si="63"/>
        <v>0</v>
      </c>
      <c r="D139" s="91" t="s">
        <v>133</v>
      </c>
      <c r="E139" s="40" t="s">
        <v>112</v>
      </c>
      <c r="F139" s="27"/>
      <c r="G139" s="11">
        <f>G138*$F$10</f>
        <v>0</v>
      </c>
      <c r="H139" s="11">
        <f t="shared" ref="H139:S139" si="67">H138*$F$10</f>
        <v>0</v>
      </c>
      <c r="I139" s="11">
        <f t="shared" si="67"/>
        <v>0</v>
      </c>
      <c r="J139" s="11">
        <f t="shared" si="67"/>
        <v>0</v>
      </c>
      <c r="K139" s="11">
        <f t="shared" si="67"/>
        <v>0</v>
      </c>
      <c r="L139" s="11">
        <f t="shared" si="67"/>
        <v>0</v>
      </c>
      <c r="M139" s="11">
        <f t="shared" si="67"/>
        <v>0</v>
      </c>
      <c r="N139" s="11">
        <f t="shared" si="67"/>
        <v>0</v>
      </c>
      <c r="O139" s="11">
        <f t="shared" si="67"/>
        <v>0</v>
      </c>
      <c r="P139" s="11">
        <f t="shared" si="67"/>
        <v>0</v>
      </c>
      <c r="Q139" s="11">
        <f t="shared" si="67"/>
        <v>0</v>
      </c>
      <c r="R139" s="11">
        <f t="shared" si="67"/>
        <v>0</v>
      </c>
      <c r="S139" s="11">
        <f t="shared" si="67"/>
        <v>0</v>
      </c>
      <c r="T139" s="27"/>
      <c r="U139" s="27"/>
      <c r="V139" s="27"/>
      <c r="W139" s="100"/>
      <c r="X139" s="100"/>
      <c r="Y139" s="27"/>
      <c r="Z139" s="88"/>
      <c r="AA139" s="89"/>
      <c r="AB139" s="90"/>
      <c r="AC139" s="90"/>
      <c r="AD139" s="90"/>
      <c r="AE139" s="89"/>
      <c r="AF139" s="90"/>
      <c r="AG139" s="90"/>
      <c r="AH139" s="90"/>
      <c r="AI139" s="90"/>
      <c r="AJ139" s="38"/>
    </row>
    <row r="140" spans="2:36" ht="15" customHeight="1">
      <c r="B140" s="14"/>
      <c r="D140" s="91"/>
      <c r="E140" s="25"/>
      <c r="F140" s="27"/>
      <c r="G140" s="27"/>
      <c r="H140" s="27"/>
      <c r="I140" s="27"/>
      <c r="J140" s="27"/>
      <c r="K140" s="27"/>
      <c r="L140" s="27"/>
      <c r="M140" s="27"/>
      <c r="N140" s="27"/>
      <c r="O140" s="27"/>
      <c r="P140" s="27"/>
      <c r="Q140" s="27"/>
      <c r="R140" s="27"/>
      <c r="S140" s="27"/>
      <c r="T140" s="27"/>
      <c r="U140" s="27"/>
      <c r="V140" s="27"/>
      <c r="W140" s="100"/>
      <c r="X140" s="100"/>
      <c r="Y140" s="27"/>
      <c r="Z140" s="88"/>
      <c r="AA140" s="89"/>
      <c r="AB140" s="90"/>
      <c r="AC140" s="90"/>
      <c r="AD140" s="90"/>
      <c r="AE140" s="89"/>
      <c r="AF140" s="90"/>
      <c r="AG140" s="90"/>
      <c r="AH140" s="90"/>
      <c r="AI140" s="90"/>
      <c r="AJ140" s="38"/>
    </row>
    <row r="141" spans="2:36" ht="15" customHeight="1">
      <c r="B141" s="14"/>
      <c r="C141" s="22"/>
      <c r="D141" s="125" t="s">
        <v>10</v>
      </c>
      <c r="E141" s="22"/>
      <c r="F141" s="22"/>
      <c r="G141" s="22"/>
      <c r="H141" s="22"/>
      <c r="I141" s="22"/>
      <c r="J141" s="22"/>
      <c r="K141" s="22"/>
      <c r="L141" s="22"/>
      <c r="M141" s="22"/>
      <c r="N141" s="22"/>
      <c r="O141" s="22"/>
      <c r="P141" s="22"/>
      <c r="Q141" s="22"/>
      <c r="R141" s="22"/>
      <c r="S141" s="22"/>
      <c r="T141" s="22"/>
      <c r="U141" s="22"/>
      <c r="V141" s="27"/>
      <c r="W141" s="100"/>
      <c r="X141" s="100"/>
      <c r="Y141" s="27"/>
      <c r="Z141" s="88"/>
      <c r="AA141" s="89"/>
      <c r="AB141" s="90"/>
      <c r="AC141" s="90"/>
      <c r="AD141" s="90"/>
      <c r="AE141" s="89"/>
      <c r="AF141" s="90"/>
      <c r="AG141" s="90"/>
      <c r="AH141" s="90"/>
      <c r="AI141" s="90"/>
      <c r="AJ141" s="38"/>
    </row>
    <row r="142" spans="2:36" ht="15" customHeight="1">
      <c r="B142" s="14"/>
      <c r="D142" s="38" t="s">
        <v>85</v>
      </c>
      <c r="E142" s="27" t="str">
        <f>E59</f>
        <v>Mbpd</v>
      </c>
      <c r="F142" s="27"/>
      <c r="G142" s="11">
        <f t="shared" ref="G142:S142" si="68">G59</f>
        <v>0</v>
      </c>
      <c r="H142" s="11">
        <f t="shared" si="68"/>
        <v>0</v>
      </c>
      <c r="I142" s="11">
        <f t="shared" si="68"/>
        <v>10</v>
      </c>
      <c r="J142" s="11">
        <f t="shared" si="68"/>
        <v>25</v>
      </c>
      <c r="K142" s="11">
        <f t="shared" si="68"/>
        <v>75</v>
      </c>
      <c r="L142" s="11">
        <f t="shared" si="68"/>
        <v>60</v>
      </c>
      <c r="M142" s="11">
        <f t="shared" si="68"/>
        <v>48</v>
      </c>
      <c r="N142" s="11">
        <f t="shared" si="68"/>
        <v>38.400000000000006</v>
      </c>
      <c r="O142" s="11">
        <f t="shared" si="68"/>
        <v>30.720000000000006</v>
      </c>
      <c r="P142" s="11">
        <f t="shared" si="68"/>
        <v>24.576000000000008</v>
      </c>
      <c r="Q142" s="11">
        <f t="shared" si="68"/>
        <v>19.660800000000009</v>
      </c>
      <c r="R142" s="11">
        <f t="shared" si="68"/>
        <v>0</v>
      </c>
      <c r="S142" s="11">
        <f t="shared" si="68"/>
        <v>0</v>
      </c>
      <c r="T142" s="27"/>
      <c r="U142" s="27"/>
      <c r="V142" s="27"/>
      <c r="W142" s="100"/>
      <c r="X142" s="100"/>
      <c r="Y142" s="27"/>
      <c r="Z142" s="88"/>
      <c r="AA142" s="89"/>
      <c r="AB142" s="90"/>
      <c r="AC142" s="90"/>
      <c r="AD142" s="90"/>
      <c r="AE142" s="89"/>
      <c r="AF142" s="90"/>
      <c r="AG142" s="90"/>
      <c r="AH142" s="90"/>
      <c r="AI142" s="90"/>
      <c r="AJ142" s="38"/>
    </row>
    <row r="143" spans="2:36" ht="15" customHeight="1">
      <c r="B143" s="14"/>
      <c r="C143" s="105">
        <f>SUM(G143:S143)</f>
        <v>50</v>
      </c>
      <c r="D143" s="91" t="s">
        <v>134</v>
      </c>
      <c r="E143" s="40" t="s">
        <v>112</v>
      </c>
      <c r="F143" s="27"/>
      <c r="G143" s="11">
        <f>IF(AND(G142&gt;0,SUM($F$142:F142)&lt;=0),$F$9,0)</f>
        <v>0</v>
      </c>
      <c r="H143" s="11">
        <f>IF(AND(H142&gt;0,SUM($F$142:G142)&lt;=0),$F$9,0)</f>
        <v>0</v>
      </c>
      <c r="I143" s="11">
        <f>IF(AND(I142&gt;0,SUM($F$142:H142)&lt;=0),$F$9,0)</f>
        <v>50</v>
      </c>
      <c r="J143" s="11">
        <f>IF(AND(J142&gt;0,SUM($F$142:I142)&lt;=0),$F$9,0)</f>
        <v>0</v>
      </c>
      <c r="K143" s="11">
        <f>IF(AND(K142&gt;0,SUM($F$142:J142)&lt;=0),$F$9,0)</f>
        <v>0</v>
      </c>
      <c r="L143" s="11">
        <f>IF(AND(L142&gt;0,SUM($F$142:K142)&lt;=0),$F$9,0)</f>
        <v>0</v>
      </c>
      <c r="M143" s="11">
        <f>IF(AND(M142&gt;0,SUM($F$142:L142)&lt;=0),$F$9,0)</f>
        <v>0</v>
      </c>
      <c r="N143" s="11">
        <f>IF(AND(N142&gt;0,SUM($F$142:M142)&lt;=0),$F$9,0)</f>
        <v>0</v>
      </c>
      <c r="O143" s="11">
        <f>IF(AND(O142&gt;0,SUM($F$142:N142)&lt;=0),$F$9,0)</f>
        <v>0</v>
      </c>
      <c r="P143" s="11">
        <f>IF(AND(P142&gt;0,SUM($F$142:O142)&lt;=0),$F$9,0)</f>
        <v>0</v>
      </c>
      <c r="Q143" s="11">
        <f>IF(AND(Q142&gt;0,SUM($F$142:P142)&lt;=0),$F$9,0)</f>
        <v>0</v>
      </c>
      <c r="R143" s="11">
        <f>IF(AND(R142&gt;0,SUM($F$142:Q142)&lt;=0),$F$9,0)</f>
        <v>0</v>
      </c>
      <c r="S143" s="11">
        <f>IF(AND(S142&gt;0,SUM($F$142:R142)&lt;=0),$F$9,0)</f>
        <v>0</v>
      </c>
      <c r="T143" s="27"/>
      <c r="U143" s="27"/>
      <c r="V143" s="27"/>
      <c r="W143" s="100"/>
      <c r="X143" s="100"/>
      <c r="Y143" s="27"/>
      <c r="Z143" s="88"/>
      <c r="AA143" s="89"/>
      <c r="AB143" s="90"/>
      <c r="AC143" s="90"/>
      <c r="AD143" s="90"/>
      <c r="AE143" s="89"/>
      <c r="AF143" s="90"/>
      <c r="AG143" s="90"/>
      <c r="AH143" s="90"/>
      <c r="AI143" s="90"/>
      <c r="AJ143" s="38"/>
    </row>
    <row r="144" spans="2:36" ht="15" customHeight="1">
      <c r="B144" s="14"/>
      <c r="D144" s="91"/>
      <c r="E144" s="40"/>
      <c r="F144" s="27"/>
      <c r="G144" s="27"/>
      <c r="H144" s="27"/>
      <c r="I144" s="27"/>
      <c r="J144" s="27"/>
      <c r="K144" s="27"/>
      <c r="L144" s="27"/>
      <c r="M144" s="27"/>
      <c r="N144" s="27"/>
      <c r="O144" s="27"/>
      <c r="P144" s="27"/>
      <c r="Q144" s="27"/>
      <c r="R144" s="27"/>
      <c r="S144" s="27"/>
      <c r="T144" s="27"/>
      <c r="U144" s="27"/>
      <c r="V144" s="27"/>
      <c r="W144" s="100"/>
      <c r="X144" s="100"/>
      <c r="Y144" s="27"/>
      <c r="Z144" s="88"/>
      <c r="AA144" s="89"/>
      <c r="AB144" s="90"/>
      <c r="AC144" s="90"/>
      <c r="AD144" s="90"/>
      <c r="AE144" s="89"/>
      <c r="AF144" s="90"/>
      <c r="AG144" s="90"/>
      <c r="AH144" s="90"/>
      <c r="AI144" s="90"/>
      <c r="AJ144" s="38"/>
    </row>
    <row r="145" spans="2:36" ht="15" customHeight="1">
      <c r="B145" s="14"/>
      <c r="C145" s="22"/>
      <c r="D145" s="125" t="s">
        <v>135</v>
      </c>
      <c r="E145" s="22"/>
      <c r="F145" s="22"/>
      <c r="G145" s="22"/>
      <c r="H145" s="22"/>
      <c r="I145" s="22"/>
      <c r="J145" s="22"/>
      <c r="K145" s="22"/>
      <c r="L145" s="22"/>
      <c r="M145" s="22"/>
      <c r="N145" s="22"/>
      <c r="O145" s="22"/>
      <c r="P145" s="22"/>
      <c r="Q145" s="22"/>
      <c r="R145" s="22"/>
      <c r="S145" s="22"/>
      <c r="T145" s="22"/>
      <c r="U145" s="22"/>
      <c r="V145" s="27"/>
      <c r="W145" s="100"/>
      <c r="X145" s="100"/>
      <c r="Y145" s="27"/>
      <c r="Z145" s="88"/>
      <c r="AA145" s="89"/>
      <c r="AB145" s="90"/>
      <c r="AC145" s="90"/>
      <c r="AD145" s="90"/>
      <c r="AE145" s="89"/>
      <c r="AF145" s="90"/>
      <c r="AG145" s="90"/>
      <c r="AH145" s="90"/>
      <c r="AI145" s="90"/>
      <c r="AJ145" s="38"/>
    </row>
    <row r="146" spans="2:36" ht="15" customHeight="1">
      <c r="B146" s="14"/>
      <c r="C146" s="105">
        <f t="shared" ref="C146:C153" si="69">SUM(G146:S146)</f>
        <v>7600.760403500848</v>
      </c>
      <c r="D146" s="121" t="s">
        <v>136</v>
      </c>
      <c r="E146" s="25" t="s">
        <v>112</v>
      </c>
      <c r="F146" s="27"/>
      <c r="G146" s="11">
        <f>G104-G139</f>
        <v>0</v>
      </c>
      <c r="H146" s="11">
        <f t="shared" ref="H146:S146" si="70">H104-H139</f>
        <v>0</v>
      </c>
      <c r="I146" s="11">
        <f t="shared" si="70"/>
        <v>212.65776</v>
      </c>
      <c r="J146" s="11">
        <f t="shared" si="70"/>
        <v>542.277288</v>
      </c>
      <c r="K146" s="11">
        <f t="shared" si="70"/>
        <v>1659.3685012799999</v>
      </c>
      <c r="L146" s="11">
        <f t="shared" si="70"/>
        <v>1354.04469704448</v>
      </c>
      <c r="M146" s="11">
        <f t="shared" si="70"/>
        <v>1104.9004727882957</v>
      </c>
      <c r="N146" s="11">
        <f t="shared" si="70"/>
        <v>901.59878579524934</v>
      </c>
      <c r="O146" s="11">
        <f t="shared" si="70"/>
        <v>735.70460920892344</v>
      </c>
      <c r="P146" s="11">
        <f t="shared" si="70"/>
        <v>600.33496111448176</v>
      </c>
      <c r="Q146" s="11">
        <f t="shared" si="70"/>
        <v>489.87332826941719</v>
      </c>
      <c r="R146" s="11">
        <f t="shared" si="70"/>
        <v>0</v>
      </c>
      <c r="S146" s="11">
        <f t="shared" si="70"/>
        <v>0</v>
      </c>
      <c r="T146" s="27"/>
      <c r="U146" s="27"/>
      <c r="V146" s="27"/>
      <c r="W146" s="100"/>
      <c r="X146" s="100"/>
      <c r="Y146" s="27"/>
      <c r="Z146" s="88"/>
      <c r="AA146" s="89"/>
      <c r="AB146" s="90"/>
      <c r="AC146" s="90"/>
      <c r="AD146" s="90"/>
      <c r="AE146" s="89"/>
      <c r="AF146" s="90"/>
      <c r="AG146" s="90"/>
      <c r="AH146" s="90"/>
      <c r="AI146" s="90"/>
      <c r="AJ146" s="38"/>
    </row>
    <row r="147" spans="2:36" ht="15" customHeight="1">
      <c r="B147" s="14"/>
      <c r="C147" s="105">
        <f t="shared" si="69"/>
        <v>250</v>
      </c>
      <c r="D147" s="91" t="s">
        <v>88</v>
      </c>
      <c r="E147" s="40" t="s">
        <v>112</v>
      </c>
      <c r="F147" s="27"/>
      <c r="G147" s="11">
        <f t="shared" ref="G147:S147" si="71">G105</f>
        <v>250</v>
      </c>
      <c r="H147" s="11">
        <f t="shared" si="71"/>
        <v>0</v>
      </c>
      <c r="I147" s="11">
        <f t="shared" si="71"/>
        <v>0</v>
      </c>
      <c r="J147" s="11">
        <f t="shared" si="71"/>
        <v>0</v>
      </c>
      <c r="K147" s="11">
        <f t="shared" si="71"/>
        <v>0</v>
      </c>
      <c r="L147" s="11">
        <f t="shared" si="71"/>
        <v>0</v>
      </c>
      <c r="M147" s="11">
        <f t="shared" si="71"/>
        <v>0</v>
      </c>
      <c r="N147" s="11">
        <f t="shared" si="71"/>
        <v>0</v>
      </c>
      <c r="O147" s="11">
        <f t="shared" si="71"/>
        <v>0</v>
      </c>
      <c r="P147" s="11">
        <f t="shared" si="71"/>
        <v>0</v>
      </c>
      <c r="Q147" s="11">
        <f t="shared" si="71"/>
        <v>0</v>
      </c>
      <c r="R147" s="11">
        <f t="shared" si="71"/>
        <v>0</v>
      </c>
      <c r="S147" s="11">
        <f t="shared" si="71"/>
        <v>0</v>
      </c>
      <c r="T147" s="27"/>
      <c r="U147" s="27"/>
      <c r="V147" s="27"/>
      <c r="W147" s="100"/>
      <c r="X147" s="100"/>
      <c r="Y147" s="27"/>
      <c r="Z147" s="88"/>
      <c r="AA147" s="89"/>
      <c r="AB147" s="90"/>
      <c r="AC147" s="90"/>
      <c r="AD147" s="90"/>
      <c r="AE147" s="89"/>
      <c r="AF147" s="90"/>
      <c r="AG147" s="90"/>
      <c r="AH147" s="90"/>
      <c r="AI147" s="90"/>
      <c r="AJ147" s="38"/>
    </row>
    <row r="148" spans="2:36" ht="15" customHeight="1">
      <c r="B148" s="14"/>
      <c r="C148" s="105">
        <f t="shared" si="69"/>
        <v>510</v>
      </c>
      <c r="D148" s="91" t="s">
        <v>89</v>
      </c>
      <c r="E148" s="40" t="s">
        <v>112</v>
      </c>
      <c r="F148" s="27"/>
      <c r="G148" s="11">
        <f t="shared" ref="G148:S148" si="72">G106</f>
        <v>0</v>
      </c>
      <c r="H148" s="11">
        <f t="shared" si="72"/>
        <v>510</v>
      </c>
      <c r="I148" s="11">
        <f t="shared" si="72"/>
        <v>0</v>
      </c>
      <c r="J148" s="11">
        <f t="shared" si="72"/>
        <v>0</v>
      </c>
      <c r="K148" s="11">
        <f t="shared" si="72"/>
        <v>0</v>
      </c>
      <c r="L148" s="11">
        <f t="shared" si="72"/>
        <v>0</v>
      </c>
      <c r="M148" s="11">
        <f t="shared" si="72"/>
        <v>0</v>
      </c>
      <c r="N148" s="11">
        <f t="shared" si="72"/>
        <v>0</v>
      </c>
      <c r="O148" s="11">
        <f t="shared" si="72"/>
        <v>0</v>
      </c>
      <c r="P148" s="11">
        <f t="shared" si="72"/>
        <v>0</v>
      </c>
      <c r="Q148" s="11">
        <f t="shared" si="72"/>
        <v>0</v>
      </c>
      <c r="R148" s="11">
        <f t="shared" si="72"/>
        <v>0</v>
      </c>
      <c r="S148" s="11">
        <f t="shared" si="72"/>
        <v>0</v>
      </c>
      <c r="T148" s="27"/>
      <c r="U148" s="27"/>
      <c r="V148" s="27"/>
      <c r="W148" s="100"/>
      <c r="X148" s="100"/>
      <c r="Y148" s="27"/>
      <c r="Z148" s="88"/>
      <c r="AA148" s="89"/>
      <c r="AB148" s="90"/>
      <c r="AC148" s="90"/>
      <c r="AD148" s="90"/>
      <c r="AE148" s="89"/>
      <c r="AF148" s="90"/>
      <c r="AG148" s="90"/>
      <c r="AH148" s="90"/>
      <c r="AI148" s="90"/>
      <c r="AJ148" s="38"/>
    </row>
    <row r="149" spans="2:36" ht="15" customHeight="1">
      <c r="B149" s="14"/>
      <c r="C149" s="105">
        <f t="shared" ref="C149" si="73">SUM(G149:S149)</f>
        <v>81.214250736959997</v>
      </c>
      <c r="D149" s="91" t="s">
        <v>336</v>
      </c>
      <c r="E149" s="40" t="s">
        <v>112</v>
      </c>
      <c r="F149" s="27"/>
      <c r="G149" s="11">
        <f t="shared" ref="G149:S149" si="74">G107</f>
        <v>0</v>
      </c>
      <c r="H149" s="11">
        <f t="shared" si="74"/>
        <v>0</v>
      </c>
      <c r="I149" s="11">
        <f t="shared" si="74"/>
        <v>15.606</v>
      </c>
      <c r="J149" s="11">
        <f t="shared" si="74"/>
        <v>15.918119999999998</v>
      </c>
      <c r="K149" s="11">
        <f t="shared" si="74"/>
        <v>16.2364824</v>
      </c>
      <c r="L149" s="11">
        <f t="shared" si="74"/>
        <v>16.561212048000002</v>
      </c>
      <c r="M149" s="11">
        <f t="shared" si="74"/>
        <v>16.892436288960003</v>
      </c>
      <c r="N149" s="11">
        <f t="shared" si="74"/>
        <v>0</v>
      </c>
      <c r="O149" s="11">
        <f t="shared" si="74"/>
        <v>0</v>
      </c>
      <c r="P149" s="11">
        <f t="shared" si="74"/>
        <v>0</v>
      </c>
      <c r="Q149" s="11">
        <f t="shared" si="74"/>
        <v>0</v>
      </c>
      <c r="R149" s="11">
        <f t="shared" si="74"/>
        <v>0</v>
      </c>
      <c r="S149" s="11">
        <f t="shared" si="74"/>
        <v>0</v>
      </c>
      <c r="T149" s="27"/>
      <c r="U149" s="27"/>
      <c r="V149" s="27"/>
      <c r="W149" s="100"/>
      <c r="X149" s="100"/>
      <c r="Y149" s="27"/>
      <c r="Z149" s="88"/>
      <c r="AA149" s="89"/>
      <c r="AB149" s="90"/>
      <c r="AC149" s="90"/>
      <c r="AD149" s="90"/>
      <c r="AE149" s="89"/>
      <c r="AF149" s="90"/>
      <c r="AG149" s="90"/>
      <c r="AH149" s="90"/>
      <c r="AI149" s="90"/>
      <c r="AJ149" s="38"/>
    </row>
    <row r="150" spans="2:36" ht="15" customHeight="1">
      <c r="B150" s="14"/>
      <c r="C150" s="105">
        <f t="shared" si="69"/>
        <v>4071.8359304468818</v>
      </c>
      <c r="D150" s="82" t="s">
        <v>90</v>
      </c>
      <c r="E150" s="40" t="s">
        <v>112</v>
      </c>
      <c r="F150" s="27"/>
      <c r="G150" s="11">
        <f t="shared" ref="G150:S150" si="75">G108</f>
        <v>0</v>
      </c>
      <c r="H150" s="11">
        <f t="shared" si="75"/>
        <v>0</v>
      </c>
      <c r="I150" s="11">
        <f t="shared" si="75"/>
        <v>113.9238</v>
      </c>
      <c r="J150" s="11">
        <f t="shared" si="75"/>
        <v>290.50568999999996</v>
      </c>
      <c r="K150" s="11">
        <f t="shared" si="75"/>
        <v>888.94741139999996</v>
      </c>
      <c r="L150" s="11">
        <f t="shared" si="75"/>
        <v>725.38108770240001</v>
      </c>
      <c r="M150" s="11">
        <f t="shared" si="75"/>
        <v>591.91096756515844</v>
      </c>
      <c r="N150" s="11">
        <f t="shared" si="75"/>
        <v>482.99934953316921</v>
      </c>
      <c r="O150" s="11">
        <f t="shared" si="75"/>
        <v>394.12746921906609</v>
      </c>
      <c r="P150" s="11">
        <f t="shared" si="75"/>
        <v>321.60801488275791</v>
      </c>
      <c r="Q150" s="11">
        <f t="shared" si="75"/>
        <v>262.4321401443305</v>
      </c>
      <c r="R150" s="11">
        <f t="shared" si="75"/>
        <v>0</v>
      </c>
      <c r="S150" s="11">
        <f t="shared" si="75"/>
        <v>0</v>
      </c>
      <c r="T150" s="27"/>
      <c r="U150" s="27"/>
      <c r="V150" s="27"/>
      <c r="W150" s="100"/>
      <c r="X150" s="100"/>
      <c r="Y150" s="27"/>
      <c r="Z150" s="88"/>
      <c r="AA150" s="89"/>
      <c r="AB150" s="90"/>
      <c r="AC150" s="90"/>
      <c r="AD150" s="90"/>
      <c r="AE150" s="89"/>
      <c r="AF150" s="90"/>
      <c r="AG150" s="90"/>
      <c r="AH150" s="90"/>
      <c r="AI150" s="90"/>
      <c r="AJ150" s="38"/>
    </row>
    <row r="151" spans="2:36" ht="15" customHeight="1">
      <c r="B151" s="14"/>
      <c r="C151" s="105">
        <f t="shared" si="69"/>
        <v>248.6748616789304</v>
      </c>
      <c r="D151" s="82" t="s">
        <v>137</v>
      </c>
      <c r="E151" s="40" t="s">
        <v>112</v>
      </c>
      <c r="F151" s="27"/>
      <c r="G151" s="11">
        <f>G120+G130+G131+G132</f>
        <v>0</v>
      </c>
      <c r="H151" s="11">
        <f t="shared" ref="H151:S151" si="76">H120+H130+H131+H132</f>
        <v>0</v>
      </c>
      <c r="I151" s="11">
        <f t="shared" si="76"/>
        <v>0</v>
      </c>
      <c r="J151" s="11">
        <f t="shared" si="76"/>
        <v>0</v>
      </c>
      <c r="K151" s="11">
        <f t="shared" si="76"/>
        <v>0</v>
      </c>
      <c r="L151" s="11">
        <f t="shared" si="76"/>
        <v>0</v>
      </c>
      <c r="M151" s="11">
        <f t="shared" si="76"/>
        <v>68.341603263284142</v>
      </c>
      <c r="N151" s="11">
        <f t="shared" si="76"/>
        <v>56.229767255138519</v>
      </c>
      <c r="O151" s="11">
        <f t="shared" si="76"/>
        <v>46.90456688772111</v>
      </c>
      <c r="P151" s="11">
        <f t="shared" si="76"/>
        <v>40.179414773782042</v>
      </c>
      <c r="Q151" s="11">
        <f t="shared" si="76"/>
        <v>37.019509499004656</v>
      </c>
      <c r="R151" s="11">
        <f t="shared" si="76"/>
        <v>-8.5265128291212022E-14</v>
      </c>
      <c r="S151" s="11">
        <f t="shared" si="76"/>
        <v>0</v>
      </c>
      <c r="T151" s="27"/>
      <c r="U151" s="27"/>
      <c r="V151" s="27"/>
      <c r="W151" s="100"/>
      <c r="X151" s="100"/>
      <c r="Y151" s="27"/>
      <c r="Z151" s="88"/>
      <c r="AA151" s="89"/>
      <c r="AB151" s="90"/>
      <c r="AC151" s="90"/>
      <c r="AD151" s="90"/>
      <c r="AE151" s="89"/>
      <c r="AF151" s="90"/>
      <c r="AG151" s="90"/>
      <c r="AH151" s="90"/>
      <c r="AI151" s="90"/>
      <c r="AJ151" s="38"/>
    </row>
    <row r="152" spans="2:36" ht="15" customHeight="1">
      <c r="B152" s="14"/>
      <c r="C152" s="105">
        <f t="shared" si="69"/>
        <v>50</v>
      </c>
      <c r="D152" s="82" t="s">
        <v>134</v>
      </c>
      <c r="E152" s="40" t="s">
        <v>112</v>
      </c>
      <c r="F152" s="27"/>
      <c r="G152" s="11">
        <f>G143</f>
        <v>0</v>
      </c>
      <c r="H152" s="11">
        <f t="shared" ref="H152:S152" si="77">H143</f>
        <v>0</v>
      </c>
      <c r="I152" s="11">
        <f t="shared" si="77"/>
        <v>50</v>
      </c>
      <c r="J152" s="11">
        <f t="shared" si="77"/>
        <v>0</v>
      </c>
      <c r="K152" s="11">
        <f t="shared" si="77"/>
        <v>0</v>
      </c>
      <c r="L152" s="11">
        <f t="shared" si="77"/>
        <v>0</v>
      </c>
      <c r="M152" s="11">
        <f t="shared" si="77"/>
        <v>0</v>
      </c>
      <c r="N152" s="11">
        <f t="shared" si="77"/>
        <v>0</v>
      </c>
      <c r="O152" s="11">
        <f t="shared" si="77"/>
        <v>0</v>
      </c>
      <c r="P152" s="11">
        <f t="shared" si="77"/>
        <v>0</v>
      </c>
      <c r="Q152" s="11">
        <f t="shared" si="77"/>
        <v>0</v>
      </c>
      <c r="R152" s="11">
        <f t="shared" si="77"/>
        <v>0</v>
      </c>
      <c r="S152" s="11">
        <f t="shared" si="77"/>
        <v>0</v>
      </c>
      <c r="T152" s="27"/>
      <c r="U152" s="27"/>
      <c r="V152" s="27"/>
      <c r="W152" s="100"/>
      <c r="X152" s="100"/>
      <c r="Y152" s="27"/>
      <c r="Z152" s="88"/>
      <c r="AA152" s="89"/>
      <c r="AB152" s="90"/>
      <c r="AC152" s="90"/>
      <c r="AD152" s="90"/>
      <c r="AE152" s="89"/>
      <c r="AF152" s="90"/>
      <c r="AG152" s="90"/>
      <c r="AH152" s="90"/>
      <c r="AI152" s="90"/>
      <c r="AJ152" s="38"/>
    </row>
    <row r="153" spans="2:36" ht="15" customHeight="1">
      <c r="B153" s="14"/>
      <c r="C153" s="105">
        <f t="shared" si="69"/>
        <v>2389.035360638075</v>
      </c>
      <c r="D153" s="38" t="s">
        <v>138</v>
      </c>
      <c r="E153" s="40" t="s">
        <v>112</v>
      </c>
      <c r="F153" s="27"/>
      <c r="G153" s="11">
        <f t="shared" ref="G153:S153" si="78">G146-SUM(G147:G152)</f>
        <v>-250</v>
      </c>
      <c r="H153" s="11">
        <f t="shared" si="78"/>
        <v>-510</v>
      </c>
      <c r="I153" s="11">
        <f t="shared" si="78"/>
        <v>33.127960000000002</v>
      </c>
      <c r="J153" s="11">
        <f t="shared" si="78"/>
        <v>235.85347800000005</v>
      </c>
      <c r="K153" s="11">
        <f t="shared" si="78"/>
        <v>754.18460747999995</v>
      </c>
      <c r="L153" s="11">
        <f t="shared" si="78"/>
        <v>612.10239729407999</v>
      </c>
      <c r="M153" s="11">
        <f t="shared" si="78"/>
        <v>427.75546567089316</v>
      </c>
      <c r="N153" s="11">
        <f t="shared" si="78"/>
        <v>362.36966900694165</v>
      </c>
      <c r="O153" s="11">
        <f t="shared" si="78"/>
        <v>294.67257310213625</v>
      </c>
      <c r="P153" s="11">
        <f t="shared" si="78"/>
        <v>238.54753145794177</v>
      </c>
      <c r="Q153" s="11">
        <f t="shared" si="78"/>
        <v>190.42167862608204</v>
      </c>
      <c r="R153" s="11">
        <f t="shared" si="78"/>
        <v>8.5265128291212022E-14</v>
      </c>
      <c r="S153" s="11">
        <f t="shared" si="78"/>
        <v>0</v>
      </c>
      <c r="T153" s="27"/>
      <c r="U153" s="27"/>
      <c r="V153" s="27"/>
      <c r="W153" s="100"/>
      <c r="X153" s="100"/>
      <c r="Y153" s="27"/>
      <c r="Z153" s="88"/>
      <c r="AA153" s="89"/>
      <c r="AB153" s="90"/>
      <c r="AC153" s="90"/>
      <c r="AD153" s="90"/>
      <c r="AE153" s="89"/>
      <c r="AF153" s="90"/>
      <c r="AG153" s="90"/>
      <c r="AH153" s="90"/>
      <c r="AI153" s="90"/>
      <c r="AJ153" s="38"/>
    </row>
    <row r="154" spans="2:36" ht="15" customHeight="1">
      <c r="B154" s="14"/>
      <c r="D154" s="91"/>
      <c r="E154" s="91"/>
      <c r="F154" s="91"/>
      <c r="G154" s="91"/>
      <c r="H154" s="91"/>
      <c r="I154" s="91"/>
      <c r="J154" s="91"/>
      <c r="K154" s="91"/>
      <c r="L154" s="91"/>
      <c r="M154" s="91"/>
      <c r="N154" s="91"/>
      <c r="O154" s="91"/>
      <c r="P154" s="91"/>
      <c r="Q154" s="91"/>
      <c r="R154" s="91"/>
      <c r="S154" s="91"/>
      <c r="T154" s="91"/>
      <c r="U154" s="91"/>
      <c r="V154" s="27"/>
      <c r="W154" s="100"/>
      <c r="X154" s="100"/>
      <c r="Y154" s="27"/>
      <c r="Z154" s="88"/>
      <c r="AA154" s="89"/>
      <c r="AB154" s="90"/>
      <c r="AC154" s="90"/>
      <c r="AD154" s="90"/>
      <c r="AE154" s="89"/>
      <c r="AF154" s="90"/>
      <c r="AG154" s="90"/>
      <c r="AH154" s="90"/>
      <c r="AI154" s="90"/>
      <c r="AJ154" s="38"/>
    </row>
    <row r="155" spans="2:36" ht="15" customHeight="1">
      <c r="B155" s="14"/>
      <c r="C155" s="22"/>
      <c r="D155" s="125" t="s">
        <v>139</v>
      </c>
      <c r="E155" s="22"/>
      <c r="F155" s="22"/>
      <c r="G155" s="22"/>
      <c r="H155" s="22"/>
      <c r="I155" s="22"/>
      <c r="J155" s="22"/>
      <c r="K155" s="22"/>
      <c r="L155" s="22"/>
      <c r="M155" s="22"/>
      <c r="N155" s="22"/>
      <c r="O155" s="22"/>
      <c r="P155" s="22"/>
      <c r="Q155" s="22"/>
      <c r="R155" s="22"/>
      <c r="S155" s="22"/>
      <c r="T155" s="22"/>
      <c r="U155" s="22"/>
      <c r="V155" s="27"/>
      <c r="W155" s="100"/>
      <c r="X155" s="100"/>
      <c r="Y155" s="27"/>
      <c r="Z155" s="88"/>
      <c r="AA155" s="89"/>
      <c r="AB155" s="90"/>
      <c r="AC155" s="90"/>
      <c r="AD155" s="90"/>
      <c r="AE155" s="89"/>
      <c r="AF155" s="90"/>
      <c r="AG155" s="90"/>
      <c r="AH155" s="90"/>
      <c r="AI155" s="90"/>
      <c r="AJ155" s="38"/>
    </row>
    <row r="156" spans="2:36" ht="15" customHeight="1">
      <c r="B156" s="14"/>
      <c r="D156" s="121" t="s">
        <v>140</v>
      </c>
      <c r="E156" s="25" t="s">
        <v>124</v>
      </c>
      <c r="F156" s="27"/>
      <c r="G156" s="11">
        <f>1*(SUM(G$77:$G77)&gt;0)</f>
        <v>0</v>
      </c>
      <c r="H156" s="11">
        <f>1*(SUM($G$77:H77)&gt;0)</f>
        <v>1</v>
      </c>
      <c r="I156" s="11">
        <f>1*(SUM($G$77:I77)&gt;0)</f>
        <v>1</v>
      </c>
      <c r="J156" s="11">
        <f>1*(SUM($G$77:J77)&gt;0)</f>
        <v>1</v>
      </c>
      <c r="K156" s="11">
        <f>1*(SUM($G$77:K77)&gt;0)</f>
        <v>1</v>
      </c>
      <c r="L156" s="11">
        <f>1*(SUM($G$77:L77)&gt;0)</f>
        <v>1</v>
      </c>
      <c r="M156" s="11">
        <f>1*(SUM($G$77:M77)&gt;0)</f>
        <v>1</v>
      </c>
      <c r="N156" s="11">
        <f>1*(SUM($G$77:N77)&gt;0)</f>
        <v>1</v>
      </c>
      <c r="O156" s="11">
        <f>1*(SUM($G$77:O77)&gt;0)</f>
        <v>1</v>
      </c>
      <c r="P156" s="11">
        <f>1*(SUM($G$77:P77)&gt;0)</f>
        <v>1</v>
      </c>
      <c r="Q156" s="11">
        <f>1*(SUM($G$77:Q77)&gt;0)</f>
        <v>1</v>
      </c>
      <c r="R156" s="11">
        <f>1*(SUM($G$77:R77)&gt;0)</f>
        <v>1</v>
      </c>
      <c r="S156" s="11">
        <f>1*(SUM($G$77:S77)&gt;0)</f>
        <v>1</v>
      </c>
      <c r="T156" s="69"/>
      <c r="U156" s="69"/>
      <c r="V156" s="27"/>
      <c r="W156" s="100"/>
      <c r="X156" s="100"/>
      <c r="Y156" s="27"/>
      <c r="Z156" s="88"/>
      <c r="AA156" s="89"/>
      <c r="AB156" s="90"/>
      <c r="AC156" s="90"/>
      <c r="AD156" s="90"/>
      <c r="AE156" s="89"/>
      <c r="AF156" s="90"/>
      <c r="AG156" s="90"/>
      <c r="AH156" s="90"/>
      <c r="AI156" s="90"/>
      <c r="AJ156" s="38"/>
    </row>
    <row r="157" spans="2:36" ht="15" customHeight="1">
      <c r="B157" s="14"/>
      <c r="D157" s="121" t="s">
        <v>141</v>
      </c>
      <c r="E157" s="25" t="s">
        <v>124</v>
      </c>
      <c r="F157" s="27"/>
      <c r="G157" s="11">
        <f t="shared" ref="G157:S157" si="79">1*(G60&gt;0)</f>
        <v>0</v>
      </c>
      <c r="H157" s="11">
        <f t="shared" si="79"/>
        <v>0</v>
      </c>
      <c r="I157" s="11">
        <f t="shared" si="79"/>
        <v>1</v>
      </c>
      <c r="J157" s="11">
        <f t="shared" si="79"/>
        <v>1</v>
      </c>
      <c r="K157" s="11">
        <f t="shared" si="79"/>
        <v>1</v>
      </c>
      <c r="L157" s="11">
        <f t="shared" si="79"/>
        <v>1</v>
      </c>
      <c r="M157" s="11">
        <f t="shared" si="79"/>
        <v>1</v>
      </c>
      <c r="N157" s="11">
        <f t="shared" si="79"/>
        <v>1</v>
      </c>
      <c r="O157" s="11">
        <f t="shared" si="79"/>
        <v>1</v>
      </c>
      <c r="P157" s="11">
        <f t="shared" si="79"/>
        <v>1</v>
      </c>
      <c r="Q157" s="11">
        <f t="shared" si="79"/>
        <v>1</v>
      </c>
      <c r="R157" s="11">
        <f t="shared" si="79"/>
        <v>0</v>
      </c>
      <c r="S157" s="11">
        <f t="shared" si="79"/>
        <v>0</v>
      </c>
      <c r="T157" s="69"/>
      <c r="U157" s="69"/>
      <c r="V157" s="27"/>
      <c r="W157" s="100"/>
      <c r="X157" s="100"/>
      <c r="Y157" s="27"/>
      <c r="Z157" s="88"/>
      <c r="AA157" s="89"/>
      <c r="AB157" s="90"/>
      <c r="AC157" s="90"/>
      <c r="AD157" s="90"/>
      <c r="AE157" s="89"/>
      <c r="AF157" s="90"/>
      <c r="AG157" s="90"/>
      <c r="AH157" s="90"/>
      <c r="AI157" s="90"/>
      <c r="AJ157" s="38"/>
    </row>
    <row r="158" spans="2:36" ht="15" customHeight="1">
      <c r="B158" s="14"/>
      <c r="D158" s="126" t="str">
        <f>"Selected: "&amp;F43</f>
        <v>Selected: development</v>
      </c>
      <c r="E158" s="25" t="s">
        <v>124</v>
      </c>
      <c r="F158" s="27"/>
      <c r="G158" s="11">
        <f t="shared" ref="G158:S158" si="80">IF($F$43="development",G156,G157)</f>
        <v>0</v>
      </c>
      <c r="H158" s="11">
        <f t="shared" si="80"/>
        <v>1</v>
      </c>
      <c r="I158" s="11">
        <f t="shared" si="80"/>
        <v>1</v>
      </c>
      <c r="J158" s="11">
        <f t="shared" si="80"/>
        <v>1</v>
      </c>
      <c r="K158" s="11">
        <f t="shared" si="80"/>
        <v>1</v>
      </c>
      <c r="L158" s="11">
        <f t="shared" si="80"/>
        <v>1</v>
      </c>
      <c r="M158" s="11">
        <f t="shared" si="80"/>
        <v>1</v>
      </c>
      <c r="N158" s="11">
        <f t="shared" si="80"/>
        <v>1</v>
      </c>
      <c r="O158" s="11">
        <f t="shared" si="80"/>
        <v>1</v>
      </c>
      <c r="P158" s="11">
        <f t="shared" si="80"/>
        <v>1</v>
      </c>
      <c r="Q158" s="11">
        <f t="shared" si="80"/>
        <v>1</v>
      </c>
      <c r="R158" s="11">
        <f t="shared" si="80"/>
        <v>1</v>
      </c>
      <c r="S158" s="11">
        <f t="shared" si="80"/>
        <v>1</v>
      </c>
      <c r="T158" s="127"/>
      <c r="U158" s="127"/>
      <c r="V158" s="27"/>
      <c r="W158" s="100"/>
      <c r="X158" s="100"/>
      <c r="Y158" s="27"/>
      <c r="Z158" s="88"/>
      <c r="AA158" s="89"/>
      <c r="AB158" s="90"/>
      <c r="AC158" s="90"/>
      <c r="AD158" s="90"/>
      <c r="AE158" s="89"/>
      <c r="AF158" s="90"/>
      <c r="AG158" s="90"/>
      <c r="AH158" s="90"/>
      <c r="AI158" s="90"/>
      <c r="AJ158" s="38"/>
    </row>
    <row r="159" spans="2:36" ht="15" customHeight="1">
      <c r="B159" s="14"/>
      <c r="D159" s="91"/>
      <c r="E159" s="25"/>
      <c r="F159" s="27"/>
      <c r="G159" s="27"/>
      <c r="H159" s="27"/>
      <c r="I159" s="27"/>
      <c r="J159" s="27"/>
      <c r="K159" s="27"/>
      <c r="L159" s="27"/>
      <c r="M159" s="27"/>
      <c r="N159" s="27"/>
      <c r="O159" s="27"/>
      <c r="P159" s="27"/>
      <c r="Q159" s="27"/>
      <c r="R159" s="27"/>
      <c r="S159" s="27"/>
      <c r="T159" s="27"/>
      <c r="U159" s="27"/>
      <c r="V159" s="27"/>
      <c r="W159" s="100"/>
      <c r="X159" s="100"/>
      <c r="Y159" s="27"/>
      <c r="Z159" s="88"/>
      <c r="AA159" s="89"/>
      <c r="AB159" s="90"/>
      <c r="AC159" s="90"/>
      <c r="AD159" s="90"/>
      <c r="AE159" s="89"/>
      <c r="AF159" s="90"/>
      <c r="AG159" s="90"/>
      <c r="AH159" s="90"/>
      <c r="AI159" s="90"/>
      <c r="AJ159" s="38"/>
    </row>
    <row r="160" spans="2:36" ht="15" customHeight="1">
      <c r="B160" s="14"/>
      <c r="D160" s="121" t="s">
        <v>142</v>
      </c>
      <c r="E160" s="25" t="s">
        <v>17</v>
      </c>
      <c r="F160" s="27"/>
      <c r="G160" s="57">
        <f>G158*$F$42</f>
        <v>0</v>
      </c>
      <c r="H160" s="57">
        <f t="shared" ref="H160:S160" si="81">H158*$F$42</f>
        <v>0.1</v>
      </c>
      <c r="I160" s="57">
        <f t="shared" si="81"/>
        <v>0.1</v>
      </c>
      <c r="J160" s="57">
        <f t="shared" si="81"/>
        <v>0.1</v>
      </c>
      <c r="K160" s="57">
        <f t="shared" si="81"/>
        <v>0.1</v>
      </c>
      <c r="L160" s="57">
        <f t="shared" si="81"/>
        <v>0.1</v>
      </c>
      <c r="M160" s="57">
        <f t="shared" si="81"/>
        <v>0.1</v>
      </c>
      <c r="N160" s="57">
        <f t="shared" si="81"/>
        <v>0.1</v>
      </c>
      <c r="O160" s="57">
        <f t="shared" si="81"/>
        <v>0.1</v>
      </c>
      <c r="P160" s="57">
        <f t="shared" si="81"/>
        <v>0.1</v>
      </c>
      <c r="Q160" s="57">
        <f t="shared" si="81"/>
        <v>0.1</v>
      </c>
      <c r="R160" s="57">
        <f t="shared" si="81"/>
        <v>0.1</v>
      </c>
      <c r="S160" s="57">
        <f t="shared" si="81"/>
        <v>0.1</v>
      </c>
      <c r="T160" s="57"/>
      <c r="U160" s="57"/>
      <c r="V160" s="27"/>
      <c r="W160" s="100"/>
      <c r="X160" s="100"/>
      <c r="Y160" s="27"/>
      <c r="Z160" s="88"/>
      <c r="AA160" s="89"/>
      <c r="AB160" s="90"/>
      <c r="AC160" s="90"/>
      <c r="AD160" s="90"/>
      <c r="AE160" s="89"/>
      <c r="AF160" s="90"/>
      <c r="AG160" s="90"/>
      <c r="AH160" s="90"/>
      <c r="AI160" s="90"/>
      <c r="AJ160" s="38"/>
    </row>
    <row r="161" spans="2:36" ht="15" customHeight="1">
      <c r="B161" s="14"/>
      <c r="D161" s="121" t="s">
        <v>143</v>
      </c>
      <c r="E161" s="25" t="s">
        <v>17</v>
      </c>
      <c r="F161" s="27"/>
      <c r="G161" s="57">
        <f>1-G160</f>
        <v>1</v>
      </c>
      <c r="H161" s="57">
        <f t="shared" ref="H161:S161" si="82">1-H160</f>
        <v>0.9</v>
      </c>
      <c r="I161" s="57">
        <f t="shared" si="82"/>
        <v>0.9</v>
      </c>
      <c r="J161" s="57">
        <f t="shared" si="82"/>
        <v>0.9</v>
      </c>
      <c r="K161" s="57">
        <f t="shared" si="82"/>
        <v>0.9</v>
      </c>
      <c r="L161" s="57">
        <f t="shared" si="82"/>
        <v>0.9</v>
      </c>
      <c r="M161" s="57">
        <f t="shared" si="82"/>
        <v>0.9</v>
      </c>
      <c r="N161" s="57">
        <f t="shared" si="82"/>
        <v>0.9</v>
      </c>
      <c r="O161" s="57">
        <f t="shared" si="82"/>
        <v>0.9</v>
      </c>
      <c r="P161" s="57">
        <f t="shared" si="82"/>
        <v>0.9</v>
      </c>
      <c r="Q161" s="57">
        <f t="shared" si="82"/>
        <v>0.9</v>
      </c>
      <c r="R161" s="57">
        <f t="shared" si="82"/>
        <v>0.9</v>
      </c>
      <c r="S161" s="57">
        <f t="shared" si="82"/>
        <v>0.9</v>
      </c>
      <c r="T161" s="57"/>
      <c r="U161" s="57"/>
      <c r="V161" s="27"/>
      <c r="W161" s="100"/>
      <c r="X161" s="100"/>
      <c r="Y161" s="27"/>
      <c r="Z161" s="88"/>
      <c r="AA161" s="89"/>
      <c r="AB161" s="90"/>
      <c r="AC161" s="90"/>
      <c r="AD161" s="90"/>
      <c r="AE161" s="89"/>
      <c r="AF161" s="90"/>
      <c r="AG161" s="90"/>
      <c r="AH161" s="90"/>
      <c r="AI161" s="90"/>
      <c r="AJ161" s="38"/>
    </row>
    <row r="162" spans="2:36" ht="15" customHeight="1">
      <c r="B162" s="14"/>
      <c r="D162" s="91"/>
      <c r="E162" s="25"/>
      <c r="F162" s="27"/>
      <c r="G162" s="27"/>
      <c r="H162" s="27"/>
      <c r="I162" s="27"/>
      <c r="J162" s="27"/>
      <c r="K162" s="27"/>
      <c r="L162" s="27"/>
      <c r="M162" s="27"/>
      <c r="N162" s="27"/>
      <c r="O162" s="27"/>
      <c r="P162" s="27"/>
      <c r="Q162" s="27"/>
      <c r="R162" s="27"/>
      <c r="S162" s="27"/>
      <c r="T162" s="27"/>
      <c r="U162" s="27"/>
      <c r="V162" s="27"/>
      <c r="W162" s="100"/>
      <c r="X162" s="100"/>
      <c r="Y162" s="27"/>
      <c r="Z162" s="88"/>
      <c r="AA162" s="89"/>
      <c r="AB162" s="90"/>
      <c r="AC162" s="90"/>
      <c r="AD162" s="90"/>
      <c r="AE162" s="89"/>
      <c r="AF162" s="90"/>
      <c r="AG162" s="90"/>
      <c r="AH162" s="90"/>
      <c r="AI162" s="90"/>
      <c r="AJ162" s="38"/>
    </row>
    <row r="163" spans="2:36" ht="15" customHeight="1">
      <c r="B163" s="14"/>
      <c r="D163" s="128" t="s">
        <v>144</v>
      </c>
      <c r="E163" s="25"/>
      <c r="F163" s="27"/>
      <c r="G163" s="27"/>
      <c r="H163" s="27"/>
      <c r="I163" s="27"/>
      <c r="J163" s="27"/>
      <c r="K163" s="27"/>
      <c r="L163" s="27"/>
      <c r="M163" s="27"/>
      <c r="N163" s="27"/>
      <c r="O163" s="27"/>
      <c r="P163" s="27"/>
      <c r="Q163" s="27"/>
      <c r="R163" s="27"/>
      <c r="S163" s="27"/>
      <c r="T163" s="27"/>
      <c r="U163" s="27"/>
      <c r="V163" s="27"/>
      <c r="W163" s="100"/>
      <c r="X163" s="100"/>
      <c r="Y163" s="27"/>
      <c r="Z163" s="88"/>
      <c r="AA163" s="89"/>
      <c r="AB163" s="90"/>
      <c r="AC163" s="90"/>
      <c r="AD163" s="90"/>
      <c r="AE163" s="89"/>
      <c r="AF163" s="90"/>
      <c r="AG163" s="90"/>
      <c r="AH163" s="90"/>
      <c r="AI163" s="90"/>
      <c r="AJ163" s="38"/>
    </row>
    <row r="164" spans="2:36" ht="15" customHeight="1">
      <c r="B164" s="14"/>
      <c r="C164" s="105">
        <f t="shared" ref="C164:C171" si="83">SUM(G164:S164)</f>
        <v>6840.6843631507627</v>
      </c>
      <c r="D164" s="121" t="s">
        <v>136</v>
      </c>
      <c r="E164" s="40" t="s">
        <v>112</v>
      </c>
      <c r="F164" s="27"/>
      <c r="G164" s="11">
        <f t="shared" ref="G164:S164" si="84">G$161*G146</f>
        <v>0</v>
      </c>
      <c r="H164" s="11">
        <f t="shared" si="84"/>
        <v>0</v>
      </c>
      <c r="I164" s="11">
        <f t="shared" si="84"/>
        <v>191.39198400000001</v>
      </c>
      <c r="J164" s="11">
        <f t="shared" si="84"/>
        <v>488.04955920000003</v>
      </c>
      <c r="K164" s="11">
        <f t="shared" si="84"/>
        <v>1493.4316511519999</v>
      </c>
      <c r="L164" s="11">
        <f t="shared" si="84"/>
        <v>1218.640227340032</v>
      </c>
      <c r="M164" s="11">
        <f t="shared" si="84"/>
        <v>994.41042550946611</v>
      </c>
      <c r="N164" s="11">
        <f t="shared" si="84"/>
        <v>811.43890721572438</v>
      </c>
      <c r="O164" s="11">
        <f t="shared" si="84"/>
        <v>662.13414828803116</v>
      </c>
      <c r="P164" s="11">
        <f t="shared" si="84"/>
        <v>540.30146500303363</v>
      </c>
      <c r="Q164" s="11">
        <f t="shared" si="84"/>
        <v>440.88599544247546</v>
      </c>
      <c r="R164" s="11">
        <f t="shared" si="84"/>
        <v>0</v>
      </c>
      <c r="S164" s="11">
        <f t="shared" si="84"/>
        <v>0</v>
      </c>
      <c r="T164" s="27"/>
      <c r="U164" s="27"/>
      <c r="V164" s="27"/>
      <c r="W164" s="100"/>
      <c r="X164" s="100"/>
      <c r="Y164" s="27"/>
      <c r="Z164" s="88"/>
      <c r="AA164" s="89"/>
      <c r="AB164" s="90"/>
      <c r="AC164" s="90"/>
      <c r="AD164" s="90"/>
      <c r="AE164" s="89"/>
      <c r="AF164" s="90"/>
      <c r="AG164" s="90"/>
      <c r="AH164" s="90"/>
      <c r="AI164" s="90"/>
      <c r="AJ164" s="38"/>
    </row>
    <row r="165" spans="2:36" ht="15" customHeight="1">
      <c r="B165" s="14"/>
      <c r="C165" s="105">
        <f t="shared" si="83"/>
        <v>250</v>
      </c>
      <c r="D165" s="91" t="s">
        <v>88</v>
      </c>
      <c r="E165" s="40" t="s">
        <v>112</v>
      </c>
      <c r="F165" s="27"/>
      <c r="G165" s="11">
        <f t="shared" ref="G165:S165" si="85">G$161*G147</f>
        <v>250</v>
      </c>
      <c r="H165" s="11">
        <f t="shared" si="85"/>
        <v>0</v>
      </c>
      <c r="I165" s="11">
        <f t="shared" si="85"/>
        <v>0</v>
      </c>
      <c r="J165" s="11">
        <f t="shared" si="85"/>
        <v>0</v>
      </c>
      <c r="K165" s="11">
        <f t="shared" si="85"/>
        <v>0</v>
      </c>
      <c r="L165" s="11">
        <f t="shared" si="85"/>
        <v>0</v>
      </c>
      <c r="M165" s="11">
        <f t="shared" si="85"/>
        <v>0</v>
      </c>
      <c r="N165" s="11">
        <f t="shared" si="85"/>
        <v>0</v>
      </c>
      <c r="O165" s="11">
        <f t="shared" si="85"/>
        <v>0</v>
      </c>
      <c r="P165" s="11">
        <f t="shared" si="85"/>
        <v>0</v>
      </c>
      <c r="Q165" s="11">
        <f t="shared" si="85"/>
        <v>0</v>
      </c>
      <c r="R165" s="11">
        <f t="shared" si="85"/>
        <v>0</v>
      </c>
      <c r="S165" s="11">
        <f t="shared" si="85"/>
        <v>0</v>
      </c>
      <c r="T165" s="27"/>
      <c r="U165" s="27"/>
      <c r="V165" s="27"/>
      <c r="W165" s="100"/>
      <c r="X165" s="100"/>
      <c r="Y165" s="27"/>
      <c r="Z165" s="88"/>
      <c r="AA165" s="89"/>
      <c r="AB165" s="90"/>
      <c r="AC165" s="90"/>
      <c r="AD165" s="90"/>
      <c r="AE165" s="89"/>
      <c r="AF165" s="90"/>
      <c r="AG165" s="90"/>
      <c r="AH165" s="90"/>
      <c r="AI165" s="90"/>
      <c r="AJ165" s="38"/>
    </row>
    <row r="166" spans="2:36" ht="15" customHeight="1">
      <c r="B166" s="14"/>
      <c r="C166" s="105">
        <f t="shared" si="83"/>
        <v>459</v>
      </c>
      <c r="D166" s="91" t="s">
        <v>89</v>
      </c>
      <c r="E166" s="40" t="s">
        <v>112</v>
      </c>
      <c r="F166" s="27"/>
      <c r="G166" s="11">
        <f t="shared" ref="G166:S166" si="86">G$161*G148</f>
        <v>0</v>
      </c>
      <c r="H166" s="11">
        <f t="shared" si="86"/>
        <v>459</v>
      </c>
      <c r="I166" s="11">
        <f t="shared" si="86"/>
        <v>0</v>
      </c>
      <c r="J166" s="11">
        <f t="shared" si="86"/>
        <v>0</v>
      </c>
      <c r="K166" s="11">
        <f t="shared" si="86"/>
        <v>0</v>
      </c>
      <c r="L166" s="11">
        <f t="shared" si="86"/>
        <v>0</v>
      </c>
      <c r="M166" s="11">
        <f t="shared" si="86"/>
        <v>0</v>
      </c>
      <c r="N166" s="11">
        <f t="shared" si="86"/>
        <v>0</v>
      </c>
      <c r="O166" s="11">
        <f t="shared" si="86"/>
        <v>0</v>
      </c>
      <c r="P166" s="11">
        <f t="shared" si="86"/>
        <v>0</v>
      </c>
      <c r="Q166" s="11">
        <f t="shared" si="86"/>
        <v>0</v>
      </c>
      <c r="R166" s="11">
        <f t="shared" si="86"/>
        <v>0</v>
      </c>
      <c r="S166" s="11">
        <f t="shared" si="86"/>
        <v>0</v>
      </c>
      <c r="T166" s="27"/>
      <c r="U166" s="27"/>
      <c r="V166" s="27"/>
      <c r="W166" s="100"/>
      <c r="X166" s="100"/>
      <c r="Y166" s="27"/>
      <c r="Z166" s="88"/>
      <c r="AA166" s="89"/>
      <c r="AB166" s="90"/>
      <c r="AC166" s="90"/>
      <c r="AD166" s="90"/>
      <c r="AE166" s="89"/>
      <c r="AF166" s="90"/>
      <c r="AG166" s="90"/>
      <c r="AH166" s="90"/>
      <c r="AI166" s="90"/>
      <c r="AJ166" s="38"/>
    </row>
    <row r="167" spans="2:36" ht="15" customHeight="1">
      <c r="B167" s="14"/>
      <c r="C167" s="105">
        <f t="shared" ref="C167" si="87">SUM(G167:S167)</f>
        <v>73.092825663263994</v>
      </c>
      <c r="D167" s="91" t="s">
        <v>336</v>
      </c>
      <c r="E167" s="40" t="s">
        <v>112</v>
      </c>
      <c r="F167" s="27"/>
      <c r="G167" s="11">
        <f t="shared" ref="G167:S167" si="88">G$161*G149</f>
        <v>0</v>
      </c>
      <c r="H167" s="11">
        <f t="shared" si="88"/>
        <v>0</v>
      </c>
      <c r="I167" s="11">
        <f t="shared" si="88"/>
        <v>14.045400000000001</v>
      </c>
      <c r="J167" s="11">
        <f t="shared" si="88"/>
        <v>14.326307999999999</v>
      </c>
      <c r="K167" s="11">
        <f t="shared" si="88"/>
        <v>14.61283416</v>
      </c>
      <c r="L167" s="11">
        <f t="shared" si="88"/>
        <v>14.905090843200002</v>
      </c>
      <c r="M167" s="11">
        <f t="shared" si="88"/>
        <v>15.203192660064003</v>
      </c>
      <c r="N167" s="11">
        <f t="shared" si="88"/>
        <v>0</v>
      </c>
      <c r="O167" s="11">
        <f t="shared" si="88"/>
        <v>0</v>
      </c>
      <c r="P167" s="11">
        <f t="shared" si="88"/>
        <v>0</v>
      </c>
      <c r="Q167" s="11">
        <f t="shared" si="88"/>
        <v>0</v>
      </c>
      <c r="R167" s="11">
        <f t="shared" si="88"/>
        <v>0</v>
      </c>
      <c r="S167" s="11">
        <f t="shared" si="88"/>
        <v>0</v>
      </c>
      <c r="T167" s="27"/>
      <c r="U167" s="27"/>
      <c r="V167" s="27"/>
      <c r="W167" s="100"/>
      <c r="X167" s="100"/>
      <c r="Y167" s="27"/>
      <c r="Z167" s="88"/>
      <c r="AA167" s="89"/>
      <c r="AB167" s="90"/>
      <c r="AC167" s="90"/>
      <c r="AD167" s="90"/>
      <c r="AE167" s="89"/>
      <c r="AF167" s="90"/>
      <c r="AG167" s="90"/>
      <c r="AH167" s="90"/>
      <c r="AI167" s="90"/>
      <c r="AJ167" s="38"/>
    </row>
    <row r="168" spans="2:36" ht="15" customHeight="1">
      <c r="B168" s="14"/>
      <c r="C168" s="105">
        <f t="shared" si="83"/>
        <v>3664.6523374021936</v>
      </c>
      <c r="D168" s="82" t="s">
        <v>90</v>
      </c>
      <c r="E168" s="40" t="s">
        <v>112</v>
      </c>
      <c r="F168" s="27"/>
      <c r="G168" s="11">
        <f t="shared" ref="G168:S168" si="89">G$161*G150</f>
        <v>0</v>
      </c>
      <c r="H168" s="11">
        <f t="shared" si="89"/>
        <v>0</v>
      </c>
      <c r="I168" s="11">
        <f t="shared" si="89"/>
        <v>102.53142</v>
      </c>
      <c r="J168" s="11">
        <f t="shared" si="89"/>
        <v>261.45512099999996</v>
      </c>
      <c r="K168" s="11">
        <f t="shared" si="89"/>
        <v>800.05267026000001</v>
      </c>
      <c r="L168" s="11">
        <f t="shared" si="89"/>
        <v>652.84297893216001</v>
      </c>
      <c r="M168" s="11">
        <f t="shared" si="89"/>
        <v>532.71987080864267</v>
      </c>
      <c r="N168" s="11">
        <f t="shared" si="89"/>
        <v>434.69941457985232</v>
      </c>
      <c r="O168" s="11">
        <f t="shared" si="89"/>
        <v>354.71472229715948</v>
      </c>
      <c r="P168" s="11">
        <f t="shared" si="89"/>
        <v>289.44721339448211</v>
      </c>
      <c r="Q168" s="11">
        <f t="shared" si="89"/>
        <v>236.18892612989745</v>
      </c>
      <c r="R168" s="11">
        <f t="shared" si="89"/>
        <v>0</v>
      </c>
      <c r="S168" s="11">
        <f t="shared" si="89"/>
        <v>0</v>
      </c>
      <c r="T168" s="27"/>
      <c r="U168" s="27"/>
      <c r="V168" s="27"/>
      <c r="W168" s="100"/>
      <c r="X168" s="100"/>
      <c r="Y168" s="27"/>
      <c r="Z168" s="88"/>
      <c r="AA168" s="89"/>
      <c r="AB168" s="90"/>
      <c r="AC168" s="90"/>
      <c r="AD168" s="90"/>
      <c r="AE168" s="89"/>
      <c r="AF168" s="90"/>
      <c r="AG168" s="90"/>
      <c r="AH168" s="90"/>
      <c r="AI168" s="90"/>
      <c r="AJ168" s="38"/>
    </row>
    <row r="169" spans="2:36" ht="15" customHeight="1">
      <c r="B169" s="14"/>
      <c r="C169" s="105">
        <f t="shared" si="83"/>
        <v>223.80737551103735</v>
      </c>
      <c r="D169" s="82" t="s">
        <v>137</v>
      </c>
      <c r="E169" s="40" t="s">
        <v>112</v>
      </c>
      <c r="F169" s="27"/>
      <c r="G169" s="11">
        <f t="shared" ref="G169:S169" si="90">G$161*G151</f>
        <v>0</v>
      </c>
      <c r="H169" s="11">
        <f t="shared" si="90"/>
        <v>0</v>
      </c>
      <c r="I169" s="11">
        <f t="shared" si="90"/>
        <v>0</v>
      </c>
      <c r="J169" s="11">
        <f t="shared" si="90"/>
        <v>0</v>
      </c>
      <c r="K169" s="11">
        <f t="shared" si="90"/>
        <v>0</v>
      </c>
      <c r="L169" s="11">
        <f t="shared" si="90"/>
        <v>0</v>
      </c>
      <c r="M169" s="11">
        <f t="shared" si="90"/>
        <v>61.507442936955727</v>
      </c>
      <c r="N169" s="11">
        <f t="shared" si="90"/>
        <v>50.606790529624668</v>
      </c>
      <c r="O169" s="11">
        <f t="shared" si="90"/>
        <v>42.214110198949001</v>
      </c>
      <c r="P169" s="11">
        <f t="shared" si="90"/>
        <v>36.161473296403841</v>
      </c>
      <c r="Q169" s="11">
        <f t="shared" si="90"/>
        <v>33.317558549104191</v>
      </c>
      <c r="R169" s="11">
        <f t="shared" si="90"/>
        <v>-7.6738615462090825E-14</v>
      </c>
      <c r="S169" s="11">
        <f t="shared" si="90"/>
        <v>0</v>
      </c>
      <c r="T169" s="27"/>
      <c r="U169" s="27"/>
      <c r="V169" s="27"/>
      <c r="W169" s="100"/>
      <c r="X169" s="100"/>
      <c r="Y169" s="27"/>
      <c r="Z169" s="88"/>
      <c r="AA169" s="89"/>
      <c r="AB169" s="90"/>
      <c r="AC169" s="90"/>
      <c r="AD169" s="90"/>
      <c r="AE169" s="89"/>
      <c r="AF169" s="90"/>
      <c r="AG169" s="90"/>
      <c r="AH169" s="90"/>
      <c r="AI169" s="90"/>
      <c r="AJ169" s="38"/>
    </row>
    <row r="170" spans="2:36" ht="15" customHeight="1">
      <c r="B170" s="14"/>
      <c r="C170" s="105">
        <f t="shared" si="83"/>
        <v>45</v>
      </c>
      <c r="D170" s="82" t="s">
        <v>134</v>
      </c>
      <c r="E170" s="40" t="s">
        <v>112</v>
      </c>
      <c r="F170" s="27"/>
      <c r="G170" s="11">
        <f t="shared" ref="G170:S170" si="91">G$161*G152</f>
        <v>0</v>
      </c>
      <c r="H170" s="11">
        <f t="shared" si="91"/>
        <v>0</v>
      </c>
      <c r="I170" s="11">
        <f t="shared" si="91"/>
        <v>45</v>
      </c>
      <c r="J170" s="11">
        <f t="shared" si="91"/>
        <v>0</v>
      </c>
      <c r="K170" s="11">
        <f t="shared" si="91"/>
        <v>0</v>
      </c>
      <c r="L170" s="11">
        <f t="shared" si="91"/>
        <v>0</v>
      </c>
      <c r="M170" s="11">
        <f t="shared" si="91"/>
        <v>0</v>
      </c>
      <c r="N170" s="11">
        <f t="shared" si="91"/>
        <v>0</v>
      </c>
      <c r="O170" s="11">
        <f t="shared" si="91"/>
        <v>0</v>
      </c>
      <c r="P170" s="11">
        <f t="shared" si="91"/>
        <v>0</v>
      </c>
      <c r="Q170" s="11">
        <f t="shared" si="91"/>
        <v>0</v>
      </c>
      <c r="R170" s="11">
        <f t="shared" si="91"/>
        <v>0</v>
      </c>
      <c r="S170" s="11">
        <f t="shared" si="91"/>
        <v>0</v>
      </c>
      <c r="T170" s="27"/>
      <c r="U170" s="27"/>
      <c r="V170" s="27"/>
      <c r="W170" s="100"/>
      <c r="X170" s="100"/>
      <c r="Y170" s="27"/>
      <c r="Z170" s="88"/>
      <c r="AA170" s="89"/>
      <c r="AB170" s="90"/>
      <c r="AC170" s="90"/>
      <c r="AD170" s="90"/>
      <c r="AE170" s="89"/>
      <c r="AF170" s="90"/>
      <c r="AG170" s="90"/>
      <c r="AH170" s="90"/>
      <c r="AI170" s="90"/>
      <c r="AJ170" s="38"/>
    </row>
    <row r="171" spans="2:36" ht="15" customHeight="1">
      <c r="B171" s="14"/>
      <c r="C171" s="105">
        <f t="shared" si="83"/>
        <v>2125.1318245742673</v>
      </c>
      <c r="D171" s="38" t="s">
        <v>138</v>
      </c>
      <c r="E171" s="40" t="s">
        <v>112</v>
      </c>
      <c r="F171" s="27"/>
      <c r="G171" s="11">
        <f>G164-SUM(G165:G170)</f>
        <v>-250</v>
      </c>
      <c r="H171" s="11">
        <f t="shared" ref="H171:S171" si="92">H164-SUM(H165:H170)</f>
        <v>-459</v>
      </c>
      <c r="I171" s="11">
        <f t="shared" si="92"/>
        <v>29.81516400000001</v>
      </c>
      <c r="J171" s="11">
        <f t="shared" si="92"/>
        <v>212.26813020000009</v>
      </c>
      <c r="K171" s="11">
        <f t="shared" si="92"/>
        <v>678.76614673199981</v>
      </c>
      <c r="L171" s="11">
        <f t="shared" si="92"/>
        <v>550.89215756467195</v>
      </c>
      <c r="M171" s="11">
        <f t="shared" si="92"/>
        <v>384.9799191038037</v>
      </c>
      <c r="N171" s="11">
        <f t="shared" si="92"/>
        <v>326.13270210624739</v>
      </c>
      <c r="O171" s="11">
        <f t="shared" si="92"/>
        <v>265.20531579192266</v>
      </c>
      <c r="P171" s="11">
        <f t="shared" si="92"/>
        <v>214.69277831214765</v>
      </c>
      <c r="Q171" s="11">
        <f t="shared" si="92"/>
        <v>171.37951076347383</v>
      </c>
      <c r="R171" s="11">
        <f t="shared" si="92"/>
        <v>7.6738615462090825E-14</v>
      </c>
      <c r="S171" s="11">
        <f t="shared" si="92"/>
        <v>0</v>
      </c>
      <c r="T171" s="27"/>
      <c r="U171" s="27"/>
      <c r="V171" s="27"/>
      <c r="W171" s="100"/>
      <c r="X171" s="100"/>
      <c r="Y171" s="27"/>
      <c r="Z171" s="88"/>
      <c r="AA171" s="89"/>
      <c r="AB171" s="90"/>
      <c r="AC171" s="90"/>
      <c r="AD171" s="90"/>
      <c r="AE171" s="89"/>
      <c r="AF171" s="90"/>
      <c r="AG171" s="90"/>
      <c r="AH171" s="90"/>
      <c r="AI171" s="90"/>
      <c r="AJ171" s="38"/>
    </row>
    <row r="172" spans="2:36" ht="15" customHeight="1">
      <c r="B172" s="14"/>
      <c r="D172" s="38"/>
      <c r="E172" s="25"/>
      <c r="F172" s="27"/>
      <c r="G172" s="27"/>
      <c r="H172" s="27"/>
      <c r="I172" s="27"/>
      <c r="J172" s="27"/>
      <c r="K172" s="27"/>
      <c r="L172" s="27"/>
      <c r="M172" s="27"/>
      <c r="N172" s="27"/>
      <c r="O172" s="27"/>
      <c r="P172" s="27"/>
      <c r="Q172" s="27"/>
      <c r="R172" s="27"/>
      <c r="S172" s="27"/>
      <c r="T172" s="27"/>
      <c r="U172" s="27"/>
      <c r="V172" s="27"/>
      <c r="W172" s="100"/>
      <c r="X172" s="100"/>
      <c r="Y172" s="27"/>
      <c r="Z172" s="88"/>
      <c r="AA172" s="89"/>
      <c r="AB172" s="90"/>
      <c r="AC172" s="90"/>
      <c r="AD172" s="90"/>
      <c r="AE172" s="89"/>
      <c r="AF172" s="90"/>
      <c r="AG172" s="90"/>
      <c r="AH172" s="90"/>
      <c r="AI172" s="90"/>
      <c r="AJ172" s="38"/>
    </row>
    <row r="173" spans="2:36" ht="15" customHeight="1">
      <c r="B173" s="14"/>
      <c r="D173" s="128" t="s">
        <v>145</v>
      </c>
      <c r="E173" s="25"/>
      <c r="F173" s="27"/>
      <c r="G173" s="27"/>
      <c r="H173" s="27"/>
      <c r="I173" s="27"/>
      <c r="J173" s="27"/>
      <c r="K173" s="27"/>
      <c r="L173" s="27"/>
      <c r="M173" s="27"/>
      <c r="N173" s="27"/>
      <c r="O173" s="27"/>
      <c r="P173" s="27"/>
      <c r="Q173" s="27"/>
      <c r="R173" s="27"/>
      <c r="S173" s="27"/>
      <c r="T173" s="27"/>
      <c r="U173" s="27"/>
      <c r="V173" s="27"/>
      <c r="W173" s="100"/>
      <c r="X173" s="100"/>
      <c r="Y173" s="27"/>
      <c r="Z173" s="88"/>
      <c r="AA173" s="89"/>
      <c r="AB173" s="90"/>
      <c r="AC173" s="90"/>
      <c r="AD173" s="90"/>
      <c r="AE173" s="89"/>
      <c r="AF173" s="90"/>
      <c r="AG173" s="90"/>
      <c r="AH173" s="90"/>
      <c r="AI173" s="90"/>
      <c r="AJ173" s="38"/>
    </row>
    <row r="174" spans="2:36" ht="15" customHeight="1">
      <c r="B174" s="14"/>
      <c r="C174" s="105">
        <f t="shared" ref="C174:C181" si="93">SUM(G174:S174)</f>
        <v>760.07604035008478</v>
      </c>
      <c r="D174" s="121" t="s">
        <v>136</v>
      </c>
      <c r="E174" s="40" t="s">
        <v>112</v>
      </c>
      <c r="F174" s="27"/>
      <c r="G174" s="11">
        <f t="shared" ref="G174:S174" si="94">G$160*G146</f>
        <v>0</v>
      </c>
      <c r="H174" s="11">
        <f t="shared" si="94"/>
        <v>0</v>
      </c>
      <c r="I174" s="11">
        <f t="shared" si="94"/>
        <v>21.265776000000002</v>
      </c>
      <c r="J174" s="11">
        <f t="shared" si="94"/>
        <v>54.227728800000001</v>
      </c>
      <c r="K174" s="11">
        <f t="shared" si="94"/>
        <v>165.936850128</v>
      </c>
      <c r="L174" s="11">
        <f t="shared" si="94"/>
        <v>135.40446970444802</v>
      </c>
      <c r="M174" s="11">
        <f t="shared" si="94"/>
        <v>110.49004727882958</v>
      </c>
      <c r="N174" s="11">
        <f t="shared" si="94"/>
        <v>90.159878579524943</v>
      </c>
      <c r="O174" s="11">
        <f t="shared" si="94"/>
        <v>73.570460920892344</v>
      </c>
      <c r="P174" s="11">
        <f t="shared" si="94"/>
        <v>60.03349611144818</v>
      </c>
      <c r="Q174" s="11">
        <f t="shared" si="94"/>
        <v>48.987332826941724</v>
      </c>
      <c r="R174" s="11">
        <f t="shared" si="94"/>
        <v>0</v>
      </c>
      <c r="S174" s="11">
        <f t="shared" si="94"/>
        <v>0</v>
      </c>
      <c r="T174" s="27"/>
      <c r="U174" s="27"/>
      <c r="V174" s="27"/>
      <c r="W174" s="100"/>
      <c r="X174" s="100"/>
      <c r="Y174" s="27"/>
      <c r="Z174" s="88"/>
      <c r="AA174" s="89"/>
      <c r="AB174" s="90"/>
      <c r="AC174" s="90"/>
      <c r="AD174" s="90"/>
      <c r="AE174" s="89"/>
      <c r="AF174" s="90"/>
      <c r="AG174" s="90"/>
      <c r="AH174" s="90"/>
      <c r="AI174" s="90"/>
      <c r="AJ174" s="38"/>
    </row>
    <row r="175" spans="2:36" ht="15" customHeight="1">
      <c r="B175" s="14"/>
      <c r="C175" s="105">
        <f t="shared" si="93"/>
        <v>0</v>
      </c>
      <c r="D175" s="91" t="s">
        <v>88</v>
      </c>
      <c r="E175" s="40" t="s">
        <v>112</v>
      </c>
      <c r="F175" s="27"/>
      <c r="G175" s="11">
        <f t="shared" ref="G175:S175" si="95">G$160*G147</f>
        <v>0</v>
      </c>
      <c r="H175" s="11">
        <f t="shared" si="95"/>
        <v>0</v>
      </c>
      <c r="I175" s="11">
        <f t="shared" si="95"/>
        <v>0</v>
      </c>
      <c r="J175" s="11">
        <f t="shared" si="95"/>
        <v>0</v>
      </c>
      <c r="K175" s="11">
        <f t="shared" si="95"/>
        <v>0</v>
      </c>
      <c r="L175" s="11">
        <f t="shared" si="95"/>
        <v>0</v>
      </c>
      <c r="M175" s="11">
        <f t="shared" si="95"/>
        <v>0</v>
      </c>
      <c r="N175" s="11">
        <f t="shared" si="95"/>
        <v>0</v>
      </c>
      <c r="O175" s="11">
        <f t="shared" si="95"/>
        <v>0</v>
      </c>
      <c r="P175" s="11">
        <f t="shared" si="95"/>
        <v>0</v>
      </c>
      <c r="Q175" s="11">
        <f t="shared" si="95"/>
        <v>0</v>
      </c>
      <c r="R175" s="11">
        <f t="shared" si="95"/>
        <v>0</v>
      </c>
      <c r="S175" s="11">
        <f t="shared" si="95"/>
        <v>0</v>
      </c>
      <c r="T175" s="27"/>
      <c r="U175" s="27"/>
      <c r="V175" s="27"/>
      <c r="W175" s="100"/>
      <c r="X175" s="100"/>
      <c r="Y175" s="27"/>
      <c r="Z175" s="88"/>
      <c r="AA175" s="89"/>
      <c r="AB175" s="90"/>
      <c r="AC175" s="90"/>
      <c r="AD175" s="90"/>
      <c r="AE175" s="89"/>
      <c r="AF175" s="90"/>
      <c r="AG175" s="90"/>
      <c r="AH175" s="90"/>
      <c r="AI175" s="90"/>
      <c r="AJ175" s="38"/>
    </row>
    <row r="176" spans="2:36" ht="15" customHeight="1">
      <c r="B176" s="14"/>
      <c r="C176" s="105">
        <f t="shared" si="93"/>
        <v>51</v>
      </c>
      <c r="D176" s="91" t="s">
        <v>89</v>
      </c>
      <c r="E176" s="40" t="s">
        <v>112</v>
      </c>
      <c r="F176" s="27"/>
      <c r="G176" s="11">
        <f t="shared" ref="G176:S176" si="96">G$160*G148</f>
        <v>0</v>
      </c>
      <c r="H176" s="11">
        <f t="shared" si="96"/>
        <v>51</v>
      </c>
      <c r="I176" s="11">
        <f t="shared" si="96"/>
        <v>0</v>
      </c>
      <c r="J176" s="11">
        <f t="shared" si="96"/>
        <v>0</v>
      </c>
      <c r="K176" s="11">
        <f t="shared" si="96"/>
        <v>0</v>
      </c>
      <c r="L176" s="11">
        <f t="shared" si="96"/>
        <v>0</v>
      </c>
      <c r="M176" s="11">
        <f t="shared" si="96"/>
        <v>0</v>
      </c>
      <c r="N176" s="11">
        <f t="shared" si="96"/>
        <v>0</v>
      </c>
      <c r="O176" s="11">
        <f t="shared" si="96"/>
        <v>0</v>
      </c>
      <c r="P176" s="11">
        <f t="shared" si="96"/>
        <v>0</v>
      </c>
      <c r="Q176" s="11">
        <f t="shared" si="96"/>
        <v>0</v>
      </c>
      <c r="R176" s="11">
        <f t="shared" si="96"/>
        <v>0</v>
      </c>
      <c r="S176" s="11">
        <f t="shared" si="96"/>
        <v>0</v>
      </c>
      <c r="T176" s="27"/>
      <c r="U176" s="27"/>
      <c r="V176" s="27"/>
      <c r="W176" s="100"/>
      <c r="X176" s="100"/>
      <c r="Y176" s="27"/>
      <c r="Z176" s="88"/>
      <c r="AA176" s="89"/>
      <c r="AB176" s="90"/>
      <c r="AC176" s="90"/>
      <c r="AD176" s="90"/>
      <c r="AE176" s="89"/>
      <c r="AF176" s="90"/>
      <c r="AG176" s="90"/>
      <c r="AH176" s="90"/>
      <c r="AI176" s="90"/>
      <c r="AJ176" s="38"/>
    </row>
    <row r="177" spans="1:36" ht="15" customHeight="1">
      <c r="B177" s="14"/>
      <c r="C177" s="105">
        <f t="shared" ref="C177" si="97">SUM(G177:S177)</f>
        <v>8.121425073695999</v>
      </c>
      <c r="D177" s="91" t="s">
        <v>336</v>
      </c>
      <c r="E177" s="40" t="s">
        <v>112</v>
      </c>
      <c r="F177" s="27"/>
      <c r="G177" s="11">
        <f t="shared" ref="G177:S177" si="98">G$160*G149</f>
        <v>0</v>
      </c>
      <c r="H177" s="11">
        <f t="shared" si="98"/>
        <v>0</v>
      </c>
      <c r="I177" s="11">
        <f t="shared" si="98"/>
        <v>1.5606</v>
      </c>
      <c r="J177" s="11">
        <f t="shared" si="98"/>
        <v>1.591812</v>
      </c>
      <c r="K177" s="11">
        <f t="shared" si="98"/>
        <v>1.6236482400000001</v>
      </c>
      <c r="L177" s="11">
        <f t="shared" si="98"/>
        <v>1.6561212048000002</v>
      </c>
      <c r="M177" s="11">
        <f t="shared" si="98"/>
        <v>1.6892436288960004</v>
      </c>
      <c r="N177" s="11">
        <f t="shared" si="98"/>
        <v>0</v>
      </c>
      <c r="O177" s="11">
        <f t="shared" si="98"/>
        <v>0</v>
      </c>
      <c r="P177" s="11">
        <f t="shared" si="98"/>
        <v>0</v>
      </c>
      <c r="Q177" s="11">
        <f t="shared" si="98"/>
        <v>0</v>
      </c>
      <c r="R177" s="11">
        <f t="shared" si="98"/>
        <v>0</v>
      </c>
      <c r="S177" s="11">
        <f t="shared" si="98"/>
        <v>0</v>
      </c>
      <c r="T177" s="27"/>
      <c r="U177" s="27"/>
      <c r="V177" s="27"/>
      <c r="W177" s="100"/>
      <c r="X177" s="100"/>
      <c r="Y177" s="27"/>
      <c r="Z177" s="88"/>
      <c r="AA177" s="89"/>
      <c r="AB177" s="90"/>
      <c r="AC177" s="90"/>
      <c r="AD177" s="90"/>
      <c r="AE177" s="89"/>
      <c r="AF177" s="90"/>
      <c r="AG177" s="90"/>
      <c r="AH177" s="90"/>
      <c r="AI177" s="90"/>
      <c r="AJ177" s="38"/>
    </row>
    <row r="178" spans="1:36" ht="15" customHeight="1">
      <c r="B178" s="14"/>
      <c r="C178" s="105">
        <f t="shared" si="93"/>
        <v>407.18359304468822</v>
      </c>
      <c r="D178" s="82" t="s">
        <v>90</v>
      </c>
      <c r="E178" s="40" t="s">
        <v>112</v>
      </c>
      <c r="F178" s="27"/>
      <c r="G178" s="11">
        <f t="shared" ref="G178:S178" si="99">G$160*G150</f>
        <v>0</v>
      </c>
      <c r="H178" s="11">
        <f t="shared" si="99"/>
        <v>0</v>
      </c>
      <c r="I178" s="11">
        <f t="shared" si="99"/>
        <v>11.392380000000001</v>
      </c>
      <c r="J178" s="11">
        <f t="shared" si="99"/>
        <v>29.050568999999996</v>
      </c>
      <c r="K178" s="11">
        <f t="shared" si="99"/>
        <v>88.894741140000008</v>
      </c>
      <c r="L178" s="11">
        <f t="shared" si="99"/>
        <v>72.538108770240001</v>
      </c>
      <c r="M178" s="11">
        <f t="shared" si="99"/>
        <v>59.191096756515847</v>
      </c>
      <c r="N178" s="11">
        <f t="shared" si="99"/>
        <v>48.299934953316921</v>
      </c>
      <c r="O178" s="11">
        <f t="shared" si="99"/>
        <v>39.41274692190661</v>
      </c>
      <c r="P178" s="11">
        <f t="shared" si="99"/>
        <v>32.160801488275794</v>
      </c>
      <c r="Q178" s="11">
        <f t="shared" si="99"/>
        <v>26.24321401443305</v>
      </c>
      <c r="R178" s="11">
        <f t="shared" si="99"/>
        <v>0</v>
      </c>
      <c r="S178" s="11">
        <f t="shared" si="99"/>
        <v>0</v>
      </c>
      <c r="T178" s="27"/>
      <c r="U178" s="27"/>
      <c r="V178" s="27"/>
      <c r="W178" s="100"/>
      <c r="X178" s="100"/>
      <c r="Y178" s="27"/>
      <c r="Z178" s="88"/>
      <c r="AA178" s="89"/>
      <c r="AB178" s="90"/>
      <c r="AC178" s="90"/>
      <c r="AD178" s="90"/>
      <c r="AE178" s="89"/>
      <c r="AF178" s="90"/>
      <c r="AG178" s="90"/>
      <c r="AH178" s="90"/>
      <c r="AI178" s="90"/>
      <c r="AJ178" s="38"/>
    </row>
    <row r="179" spans="1:36" ht="15" customHeight="1">
      <c r="B179" s="14"/>
      <c r="C179" s="105">
        <f t="shared" si="93"/>
        <v>24.867486167893041</v>
      </c>
      <c r="D179" s="82" t="s">
        <v>137</v>
      </c>
      <c r="E179" s="40" t="s">
        <v>112</v>
      </c>
      <c r="F179" s="27"/>
      <c r="G179" s="11">
        <f t="shared" ref="G179:S179" si="100">G$160*G151</f>
        <v>0</v>
      </c>
      <c r="H179" s="11">
        <f t="shared" si="100"/>
        <v>0</v>
      </c>
      <c r="I179" s="11">
        <f t="shared" si="100"/>
        <v>0</v>
      </c>
      <c r="J179" s="11">
        <f t="shared" si="100"/>
        <v>0</v>
      </c>
      <c r="K179" s="11">
        <f t="shared" si="100"/>
        <v>0</v>
      </c>
      <c r="L179" s="11">
        <f t="shared" si="100"/>
        <v>0</v>
      </c>
      <c r="M179" s="11">
        <f t="shared" si="100"/>
        <v>6.8341603263284147</v>
      </c>
      <c r="N179" s="11">
        <f t="shared" si="100"/>
        <v>5.6229767255138521</v>
      </c>
      <c r="O179" s="11">
        <f t="shared" si="100"/>
        <v>4.6904566887721115</v>
      </c>
      <c r="P179" s="11">
        <f t="shared" si="100"/>
        <v>4.0179414773782041</v>
      </c>
      <c r="Q179" s="11">
        <f t="shared" si="100"/>
        <v>3.7019509499004659</v>
      </c>
      <c r="R179" s="11">
        <f t="shared" si="100"/>
        <v>-8.5265128291212035E-15</v>
      </c>
      <c r="S179" s="11">
        <f t="shared" si="100"/>
        <v>0</v>
      </c>
      <c r="T179" s="27"/>
      <c r="U179" s="27"/>
      <c r="V179" s="27"/>
      <c r="W179" s="100"/>
      <c r="X179" s="100"/>
      <c r="Y179" s="27"/>
      <c r="Z179" s="88"/>
      <c r="AA179" s="89"/>
      <c r="AB179" s="90"/>
      <c r="AC179" s="90"/>
      <c r="AD179" s="90"/>
      <c r="AE179" s="89"/>
      <c r="AF179" s="90"/>
      <c r="AG179" s="90"/>
      <c r="AH179" s="90"/>
      <c r="AI179" s="90"/>
      <c r="AJ179" s="38"/>
    </row>
    <row r="180" spans="1:36" ht="15" customHeight="1">
      <c r="B180" s="14"/>
      <c r="C180" s="105">
        <f t="shared" si="93"/>
        <v>5</v>
      </c>
      <c r="D180" s="82" t="s">
        <v>134</v>
      </c>
      <c r="E180" s="40" t="s">
        <v>112</v>
      </c>
      <c r="F180" s="27"/>
      <c r="G180" s="11">
        <f t="shared" ref="G180:S180" si="101">G$160*G152</f>
        <v>0</v>
      </c>
      <c r="H180" s="11">
        <f t="shared" si="101"/>
        <v>0</v>
      </c>
      <c r="I180" s="11">
        <f t="shared" si="101"/>
        <v>5</v>
      </c>
      <c r="J180" s="11">
        <f t="shared" si="101"/>
        <v>0</v>
      </c>
      <c r="K180" s="11">
        <f t="shared" si="101"/>
        <v>0</v>
      </c>
      <c r="L180" s="11">
        <f t="shared" si="101"/>
        <v>0</v>
      </c>
      <c r="M180" s="11">
        <f t="shared" si="101"/>
        <v>0</v>
      </c>
      <c r="N180" s="11">
        <f t="shared" si="101"/>
        <v>0</v>
      </c>
      <c r="O180" s="11">
        <f t="shared" si="101"/>
        <v>0</v>
      </c>
      <c r="P180" s="11">
        <f t="shared" si="101"/>
        <v>0</v>
      </c>
      <c r="Q180" s="11">
        <f t="shared" si="101"/>
        <v>0</v>
      </c>
      <c r="R180" s="11">
        <f t="shared" si="101"/>
        <v>0</v>
      </c>
      <c r="S180" s="11">
        <f t="shared" si="101"/>
        <v>0</v>
      </c>
      <c r="T180" s="27"/>
      <c r="U180" s="27"/>
      <c r="V180" s="27"/>
      <c r="W180" s="100"/>
      <c r="X180" s="100"/>
      <c r="Y180" s="27"/>
      <c r="Z180" s="88"/>
      <c r="AA180" s="89"/>
      <c r="AB180" s="90"/>
      <c r="AC180" s="90"/>
      <c r="AD180" s="90"/>
      <c r="AE180" s="89"/>
      <c r="AF180" s="90"/>
      <c r="AG180" s="90"/>
      <c r="AH180" s="90"/>
      <c r="AI180" s="90"/>
      <c r="AJ180" s="38"/>
    </row>
    <row r="181" spans="1:36" ht="15" customHeight="1">
      <c r="A181" s="107" t="b">
        <f>ROUND(C153-C171-C181,5)=0</f>
        <v>1</v>
      </c>
      <c r="B181" s="14"/>
      <c r="C181" s="105">
        <f t="shared" si="93"/>
        <v>263.90353606380756</v>
      </c>
      <c r="D181" s="38" t="s">
        <v>138</v>
      </c>
      <c r="E181" s="40" t="s">
        <v>112</v>
      </c>
      <c r="F181" s="27"/>
      <c r="G181" s="11">
        <f>G174-SUM(G175:G180)</f>
        <v>0</v>
      </c>
      <c r="H181" s="11">
        <f t="shared" ref="H181:S181" si="102">H174-SUM(H175:H180)</f>
        <v>-51</v>
      </c>
      <c r="I181" s="11">
        <f t="shared" si="102"/>
        <v>3.3127960000000023</v>
      </c>
      <c r="J181" s="11">
        <f t="shared" si="102"/>
        <v>23.585347800000005</v>
      </c>
      <c r="K181" s="11">
        <f t="shared" si="102"/>
        <v>75.418460748000001</v>
      </c>
      <c r="L181" s="11">
        <f t="shared" si="102"/>
        <v>61.210239729408016</v>
      </c>
      <c r="M181" s="11">
        <f t="shared" si="102"/>
        <v>42.775546567089322</v>
      </c>
      <c r="N181" s="11">
        <f t="shared" si="102"/>
        <v>36.236966900694171</v>
      </c>
      <c r="O181" s="11">
        <f t="shared" si="102"/>
        <v>29.467257310213625</v>
      </c>
      <c r="P181" s="11">
        <f t="shared" si="102"/>
        <v>23.854753145794184</v>
      </c>
      <c r="Q181" s="11">
        <f t="shared" si="102"/>
        <v>19.04216786260821</v>
      </c>
      <c r="R181" s="11">
        <f t="shared" si="102"/>
        <v>8.5265128291212035E-15</v>
      </c>
      <c r="S181" s="11">
        <f t="shared" si="102"/>
        <v>0</v>
      </c>
      <c r="T181" s="27"/>
      <c r="U181" s="27"/>
      <c r="V181" s="27"/>
      <c r="W181" s="100"/>
      <c r="X181" s="100"/>
      <c r="Y181" s="27"/>
      <c r="Z181" s="88"/>
      <c r="AA181" s="89"/>
      <c r="AB181" s="90"/>
      <c r="AC181" s="90"/>
      <c r="AD181" s="90"/>
      <c r="AE181" s="89"/>
      <c r="AF181" s="90"/>
      <c r="AG181" s="90"/>
      <c r="AH181" s="90"/>
      <c r="AI181" s="90"/>
      <c r="AJ181" s="38"/>
    </row>
    <row r="182" spans="1:36" ht="15" customHeight="1">
      <c r="B182" s="14"/>
      <c r="D182" s="38"/>
      <c r="E182" s="25"/>
      <c r="F182" s="27"/>
      <c r="G182" s="27"/>
      <c r="H182" s="27"/>
      <c r="I182" s="27"/>
      <c r="J182" s="27"/>
      <c r="K182" s="27"/>
      <c r="L182" s="27"/>
      <c r="M182" s="27"/>
      <c r="N182" s="27"/>
      <c r="O182" s="27"/>
      <c r="P182" s="27"/>
      <c r="Q182" s="27"/>
      <c r="R182" s="27"/>
      <c r="S182" s="27"/>
      <c r="T182" s="27"/>
      <c r="U182" s="27"/>
      <c r="V182" s="27"/>
      <c r="W182" s="100"/>
      <c r="X182" s="100"/>
      <c r="Y182" s="27"/>
      <c r="Z182" s="88"/>
      <c r="AA182" s="89"/>
      <c r="AB182" s="90"/>
      <c r="AC182" s="90"/>
      <c r="AD182" s="90"/>
      <c r="AE182" s="89"/>
      <c r="AF182" s="90"/>
      <c r="AG182" s="90"/>
      <c r="AH182" s="90"/>
      <c r="AI182" s="90"/>
      <c r="AJ182" s="38"/>
    </row>
    <row r="183" spans="1:36" ht="15" customHeight="1">
      <c r="B183" s="14"/>
      <c r="C183" s="22"/>
      <c r="D183" s="125" t="s">
        <v>146</v>
      </c>
      <c r="E183" s="22" t="s">
        <v>0</v>
      </c>
      <c r="F183" s="22"/>
      <c r="G183" s="124">
        <v>1</v>
      </c>
      <c r="H183" s="124">
        <f>G183+1</f>
        <v>2</v>
      </c>
      <c r="I183" s="124">
        <f t="shared" ref="I183:S183" si="103">H183+1</f>
        <v>3</v>
      </c>
      <c r="J183" s="124">
        <f t="shared" si="103"/>
        <v>4</v>
      </c>
      <c r="K183" s="124">
        <f t="shared" si="103"/>
        <v>5</v>
      </c>
      <c r="L183" s="124">
        <f t="shared" si="103"/>
        <v>6</v>
      </c>
      <c r="M183" s="124">
        <f t="shared" si="103"/>
        <v>7</v>
      </c>
      <c r="N183" s="124">
        <f t="shared" si="103"/>
        <v>8</v>
      </c>
      <c r="O183" s="124">
        <f t="shared" si="103"/>
        <v>9</v>
      </c>
      <c r="P183" s="124">
        <f t="shared" si="103"/>
        <v>10</v>
      </c>
      <c r="Q183" s="124">
        <f t="shared" si="103"/>
        <v>11</v>
      </c>
      <c r="R183" s="124">
        <f t="shared" si="103"/>
        <v>12</v>
      </c>
      <c r="S183" s="124">
        <f t="shared" si="103"/>
        <v>13</v>
      </c>
      <c r="T183" s="22"/>
      <c r="U183" s="22"/>
      <c r="V183" s="27"/>
      <c r="W183" s="100"/>
      <c r="X183" s="100"/>
      <c r="Y183" s="27"/>
      <c r="Z183" s="88"/>
      <c r="AA183" s="89"/>
      <c r="AB183" s="90"/>
      <c r="AC183" s="90"/>
      <c r="AD183" s="90"/>
      <c r="AE183" s="89"/>
      <c r="AF183" s="90"/>
      <c r="AG183" s="90"/>
      <c r="AH183" s="90"/>
      <c r="AI183" s="90"/>
      <c r="AJ183" s="38"/>
    </row>
    <row r="184" spans="1:36" ht="15" customHeight="1">
      <c r="B184" s="92"/>
      <c r="C184" s="105">
        <f t="shared" ref="C184:C202" si="104">SUM(G184:S184)</f>
        <v>7600.760403500848</v>
      </c>
      <c r="D184" s="121" t="s">
        <v>136</v>
      </c>
      <c r="E184" s="25" t="s">
        <v>112</v>
      </c>
      <c r="F184" s="27"/>
      <c r="G184" s="11">
        <f>G146</f>
        <v>0</v>
      </c>
      <c r="H184" s="11">
        <f t="shared" ref="H184:S184" si="105">H146</f>
        <v>0</v>
      </c>
      <c r="I184" s="11">
        <f t="shared" si="105"/>
        <v>212.65776</v>
      </c>
      <c r="J184" s="11">
        <f t="shared" si="105"/>
        <v>542.277288</v>
      </c>
      <c r="K184" s="11">
        <f t="shared" si="105"/>
        <v>1659.3685012799999</v>
      </c>
      <c r="L184" s="11">
        <f t="shared" si="105"/>
        <v>1354.04469704448</v>
      </c>
      <c r="M184" s="11">
        <f t="shared" si="105"/>
        <v>1104.9004727882957</v>
      </c>
      <c r="N184" s="11">
        <f t="shared" si="105"/>
        <v>901.59878579524934</v>
      </c>
      <c r="O184" s="11">
        <f t="shared" si="105"/>
        <v>735.70460920892344</v>
      </c>
      <c r="P184" s="11">
        <f t="shared" si="105"/>
        <v>600.33496111448176</v>
      </c>
      <c r="Q184" s="11">
        <f t="shared" si="105"/>
        <v>489.87332826941719</v>
      </c>
      <c r="R184" s="11">
        <f t="shared" si="105"/>
        <v>0</v>
      </c>
      <c r="S184" s="11">
        <f t="shared" si="105"/>
        <v>0</v>
      </c>
      <c r="T184" s="27"/>
      <c r="U184" s="27"/>
      <c r="V184" s="27"/>
      <c r="W184" s="129"/>
      <c r="X184" s="27"/>
      <c r="Y184" s="27"/>
      <c r="Z184" s="88"/>
      <c r="AA184" s="89"/>
      <c r="AB184" s="90"/>
      <c r="AC184" s="90"/>
      <c r="AD184" s="90"/>
      <c r="AE184" s="89"/>
      <c r="AF184" s="90"/>
      <c r="AG184" s="90"/>
      <c r="AH184" s="90"/>
      <c r="AI184" s="90"/>
      <c r="AJ184" s="38"/>
    </row>
    <row r="185" spans="1:36" ht="15" customHeight="1">
      <c r="B185" s="92"/>
      <c r="C185" s="105">
        <f t="shared" si="104"/>
        <v>6080.6083228006783</v>
      </c>
      <c r="D185" s="15" t="s">
        <v>30</v>
      </c>
      <c r="E185" s="40" t="s">
        <v>112</v>
      </c>
      <c r="F185" s="130"/>
      <c r="G185" s="11">
        <f>$F$15*G184</f>
        <v>0</v>
      </c>
      <c r="H185" s="11">
        <f t="shared" ref="H185:S185" si="106">$F$15*H184</f>
        <v>0</v>
      </c>
      <c r="I185" s="11">
        <f t="shared" si="106"/>
        <v>170.12620800000002</v>
      </c>
      <c r="J185" s="11">
        <f t="shared" si="106"/>
        <v>433.82183040000001</v>
      </c>
      <c r="K185" s="11">
        <f t="shared" si="106"/>
        <v>1327.494801024</v>
      </c>
      <c r="L185" s="11">
        <f t="shared" si="106"/>
        <v>1083.2357576355842</v>
      </c>
      <c r="M185" s="11">
        <f t="shared" si="106"/>
        <v>883.92037823063663</v>
      </c>
      <c r="N185" s="11">
        <f t="shared" si="106"/>
        <v>721.27902863619954</v>
      </c>
      <c r="O185" s="11">
        <f t="shared" si="106"/>
        <v>588.56368736713875</v>
      </c>
      <c r="P185" s="11">
        <f t="shared" si="106"/>
        <v>480.26796889158544</v>
      </c>
      <c r="Q185" s="11">
        <f t="shared" si="106"/>
        <v>391.89866261553379</v>
      </c>
      <c r="R185" s="11">
        <f t="shared" si="106"/>
        <v>0</v>
      </c>
      <c r="S185" s="11">
        <f t="shared" si="106"/>
        <v>0</v>
      </c>
      <c r="T185" s="27"/>
      <c r="U185" s="27"/>
      <c r="V185" s="27"/>
      <c r="W185" s="129"/>
      <c r="X185" s="27"/>
      <c r="Y185" s="27"/>
      <c r="Z185" s="88"/>
      <c r="AA185" s="89"/>
      <c r="AB185" s="90"/>
      <c r="AC185" s="90"/>
      <c r="AD185" s="90"/>
      <c r="AE185" s="89"/>
      <c r="AF185" s="90"/>
      <c r="AG185" s="90"/>
      <c r="AH185" s="90"/>
      <c r="AI185" s="90"/>
      <c r="AJ185" s="38"/>
    </row>
    <row r="186" spans="1:36" ht="15" customHeight="1">
      <c r="B186" s="92"/>
      <c r="C186" s="105">
        <f t="shared" si="104"/>
        <v>250</v>
      </c>
      <c r="D186" s="15" t="s">
        <v>88</v>
      </c>
      <c r="E186" s="40" t="s">
        <v>112</v>
      </c>
      <c r="F186" s="130"/>
      <c r="G186" s="11">
        <f>G147</f>
        <v>250</v>
      </c>
      <c r="H186" s="11">
        <f t="shared" ref="H186:S186" si="107">H147</f>
        <v>0</v>
      </c>
      <c r="I186" s="11">
        <f t="shared" si="107"/>
        <v>0</v>
      </c>
      <c r="J186" s="11">
        <f t="shared" si="107"/>
        <v>0</v>
      </c>
      <c r="K186" s="11">
        <f t="shared" si="107"/>
        <v>0</v>
      </c>
      <c r="L186" s="11">
        <f t="shared" si="107"/>
        <v>0</v>
      </c>
      <c r="M186" s="11">
        <f t="shared" si="107"/>
        <v>0</v>
      </c>
      <c r="N186" s="11">
        <f t="shared" si="107"/>
        <v>0</v>
      </c>
      <c r="O186" s="11">
        <f t="shared" si="107"/>
        <v>0</v>
      </c>
      <c r="P186" s="11">
        <f t="shared" si="107"/>
        <v>0</v>
      </c>
      <c r="Q186" s="11">
        <f t="shared" si="107"/>
        <v>0</v>
      </c>
      <c r="R186" s="11">
        <f t="shared" si="107"/>
        <v>0</v>
      </c>
      <c r="S186" s="11">
        <f t="shared" si="107"/>
        <v>0</v>
      </c>
      <c r="T186" s="27"/>
      <c r="U186" s="27"/>
      <c r="V186" s="27"/>
      <c r="W186" s="129"/>
      <c r="X186" s="27"/>
      <c r="Y186" s="27"/>
      <c r="Z186" s="88"/>
      <c r="AA186" s="89"/>
      <c r="AB186" s="90"/>
      <c r="AC186" s="90"/>
      <c r="AD186" s="90"/>
      <c r="AE186" s="89"/>
      <c r="AF186" s="90"/>
      <c r="AG186" s="90"/>
      <c r="AH186" s="90"/>
      <c r="AI186" s="90"/>
      <c r="AJ186" s="38"/>
    </row>
    <row r="187" spans="1:36" ht="15" customHeight="1">
      <c r="B187" s="92"/>
      <c r="C187" s="105"/>
      <c r="E187" s="40"/>
      <c r="F187" s="130"/>
      <c r="G187" s="11"/>
      <c r="H187" s="11"/>
      <c r="I187" s="11"/>
      <c r="J187" s="11"/>
      <c r="K187" s="11"/>
      <c r="L187" s="11"/>
      <c r="M187" s="11"/>
      <c r="N187" s="11"/>
      <c r="O187" s="11"/>
      <c r="P187" s="11"/>
      <c r="Q187" s="11"/>
      <c r="R187" s="11"/>
      <c r="S187" s="11"/>
      <c r="T187" s="27"/>
      <c r="U187" s="27"/>
      <c r="V187" s="27"/>
      <c r="W187" s="129"/>
      <c r="X187" s="27"/>
      <c r="Y187" s="27"/>
      <c r="Z187" s="88"/>
      <c r="AA187" s="89"/>
      <c r="AB187" s="90"/>
      <c r="AC187" s="90"/>
      <c r="AD187" s="90"/>
      <c r="AE187" s="89"/>
      <c r="AF187" s="90"/>
      <c r="AG187" s="90"/>
      <c r="AH187" s="90"/>
      <c r="AI187" s="90"/>
      <c r="AJ187" s="38"/>
    </row>
    <row r="188" spans="1:36" s="202" customFormat="1" ht="15" customHeight="1">
      <c r="A188" s="201"/>
      <c r="C188" s="213"/>
      <c r="D188" s="213" t="s">
        <v>387</v>
      </c>
      <c r="E188" s="213" t="s">
        <v>124</v>
      </c>
      <c r="F188" s="213"/>
      <c r="G188" s="246">
        <f>(MAX(G$89:$S89)&gt;1)*1</f>
        <v>1</v>
      </c>
      <c r="H188" s="246">
        <f>(MAX(H$89:$S89)&gt;1)*1</f>
        <v>1</v>
      </c>
      <c r="I188" s="246">
        <f>(MAX(I$89:$S89)&gt;1)*1</f>
        <v>1</v>
      </c>
      <c r="J188" s="246">
        <f>(MAX(J$89:$S89)&gt;1)*1</f>
        <v>1</v>
      </c>
      <c r="K188" s="246">
        <f>(MAX(K$89:$S89)&gt;1)*1</f>
        <v>1</v>
      </c>
      <c r="L188" s="246">
        <f>(MAX(L$89:$S89)&gt;1)*1</f>
        <v>1</v>
      </c>
      <c r="M188" s="246">
        <f>(MAX(M$89:$S89)&gt;1)*1</f>
        <v>1</v>
      </c>
      <c r="N188" s="246">
        <f>(MAX(N$89:$S89)&gt;1)*1</f>
        <v>1</v>
      </c>
      <c r="O188" s="246">
        <f>(MAX(O$89:$S89)&gt;1)*1</f>
        <v>1</v>
      </c>
      <c r="P188" s="246">
        <f>(MAX(P$89:$S89)&gt;1)*1</f>
        <v>1</v>
      </c>
      <c r="Q188" s="246">
        <f>(MAX(Q$89:$S89)&gt;1)*1</f>
        <v>1</v>
      </c>
      <c r="R188" s="246">
        <f>(MAX(R$89:$S89)&gt;1)*1</f>
        <v>0</v>
      </c>
      <c r="S188" s="246">
        <f>(MAX(S$89:$S89)&gt;1)*1</f>
        <v>0</v>
      </c>
      <c r="T188" s="213"/>
      <c r="U188" s="213"/>
    </row>
    <row r="189" spans="1:36" s="202" customFormat="1" ht="15" customHeight="1">
      <c r="A189" s="201"/>
      <c r="C189" s="213"/>
      <c r="D189" s="213"/>
      <c r="E189" s="213"/>
      <c r="F189" s="213"/>
      <c r="G189" s="246"/>
      <c r="H189" s="246"/>
      <c r="I189" s="246"/>
      <c r="J189" s="246"/>
      <c r="K189" s="246"/>
      <c r="L189" s="246"/>
      <c r="M189" s="246"/>
      <c r="N189" s="246"/>
      <c r="O189" s="246"/>
      <c r="P189" s="246"/>
      <c r="Q189" s="246"/>
      <c r="R189" s="246"/>
      <c r="S189" s="246"/>
      <c r="T189" s="213"/>
      <c r="U189" s="213"/>
    </row>
    <row r="190" spans="1:36" ht="15" customHeight="1">
      <c r="B190" s="92"/>
      <c r="C190" s="105">
        <f t="shared" si="104"/>
        <v>591.21425073696003</v>
      </c>
      <c r="D190" s="15" t="s">
        <v>344</v>
      </c>
      <c r="E190" s="40" t="s">
        <v>112</v>
      </c>
      <c r="F190" s="130"/>
      <c r="G190" s="11">
        <f>G148+G149</f>
        <v>0</v>
      </c>
      <c r="H190" s="11">
        <f t="shared" ref="H190:S190" si="108">H148+H149</f>
        <v>510</v>
      </c>
      <c r="I190" s="11">
        <f t="shared" si="108"/>
        <v>15.606</v>
      </c>
      <c r="J190" s="11">
        <f t="shared" si="108"/>
        <v>15.918119999999998</v>
      </c>
      <c r="K190" s="11">
        <f t="shared" si="108"/>
        <v>16.2364824</v>
      </c>
      <c r="L190" s="11">
        <f t="shared" si="108"/>
        <v>16.561212048000002</v>
      </c>
      <c r="M190" s="11">
        <f t="shared" si="108"/>
        <v>16.892436288960003</v>
      </c>
      <c r="N190" s="11">
        <f t="shared" si="108"/>
        <v>0</v>
      </c>
      <c r="O190" s="11">
        <f t="shared" si="108"/>
        <v>0</v>
      </c>
      <c r="P190" s="11">
        <f t="shared" si="108"/>
        <v>0</v>
      </c>
      <c r="Q190" s="11">
        <f t="shared" si="108"/>
        <v>0</v>
      </c>
      <c r="R190" s="11">
        <f t="shared" si="108"/>
        <v>0</v>
      </c>
      <c r="S190" s="11">
        <f t="shared" si="108"/>
        <v>0</v>
      </c>
      <c r="T190" s="27"/>
      <c r="U190" s="27"/>
      <c r="V190" s="27"/>
      <c r="W190" s="129"/>
      <c r="X190" s="27"/>
      <c r="Y190" s="27"/>
      <c r="Z190" s="88"/>
      <c r="AA190" s="89"/>
      <c r="AB190" s="90"/>
      <c r="AC190" s="90"/>
      <c r="AD190" s="90"/>
      <c r="AE190" s="89"/>
      <c r="AF190" s="90"/>
      <c r="AG190" s="90"/>
      <c r="AH190" s="90"/>
      <c r="AI190" s="90"/>
      <c r="AJ190" s="38"/>
    </row>
    <row r="191" spans="1:36" ht="15" customHeight="1">
      <c r="B191" s="92"/>
      <c r="C191" s="105">
        <f t="shared" si="104"/>
        <v>591.21425073696003</v>
      </c>
      <c r="D191" s="15" t="s">
        <v>340</v>
      </c>
      <c r="E191" s="40" t="s">
        <v>112</v>
      </c>
      <c r="F191" s="130"/>
      <c r="G191" s="11">
        <f>IF(G89=0,0,IF(G89=1,SUM($G190:G190),G190))*($F$16&gt;0)</f>
        <v>0</v>
      </c>
      <c r="H191" s="11">
        <f>IF(H89=0,0,IF(H89=1,SUM($G190:H190),H190))*($F$16&gt;0)</f>
        <v>0</v>
      </c>
      <c r="I191" s="11">
        <f>IF(I89=0,0,IF(I89=1,SUM($G190:I190),I190))*($F$16&gt;0)</f>
        <v>525.60599999999999</v>
      </c>
      <c r="J191" s="11">
        <f>IF(J89=0,0,IF(J89=1,SUM($G190:J190),J190))*($F$16&gt;0)</f>
        <v>15.918119999999998</v>
      </c>
      <c r="K191" s="11">
        <f>IF(K89=0,0,IF(K89=1,SUM($G190:K190),K190))*($F$16&gt;0)</f>
        <v>16.2364824</v>
      </c>
      <c r="L191" s="11">
        <f>IF(L89=0,0,IF(L89=1,SUM($G190:L190),L190))*($F$16&gt;0)</f>
        <v>16.561212048000002</v>
      </c>
      <c r="M191" s="11">
        <f>IF(M89=0,0,IF(M89=1,SUM($G190:M190),M190))*($F$16&gt;0)</f>
        <v>16.892436288960003</v>
      </c>
      <c r="N191" s="11">
        <f>IF(N89=0,0,IF(N89=1,SUM($G190:N190),N190))*($F$16&gt;0)</f>
        <v>0</v>
      </c>
      <c r="O191" s="11">
        <f>IF(O89=0,0,IF(O89=1,SUM($G190:O190),O190))*($F$16&gt;0)</f>
        <v>0</v>
      </c>
      <c r="P191" s="11">
        <f>IF(P89=0,0,IF(P89=1,SUM($G190:P190),P190))*($F$16&gt;0)</f>
        <v>0</v>
      </c>
      <c r="Q191" s="11">
        <f>IF(Q89=0,0,IF(Q89=1,SUM($G190:Q190),Q190))*($F$16&gt;0)</f>
        <v>0</v>
      </c>
      <c r="R191" s="11">
        <f>IF(R89=0,0,IF(R89=1,SUM($G190:R190),R190))*($F$16&gt;0)</f>
        <v>0</v>
      </c>
      <c r="S191" s="11">
        <f>IF(S89=0,0,IF(S89=1,SUM($G190:S190),S190))*($F$16&gt;0)</f>
        <v>0</v>
      </c>
      <c r="T191" s="27"/>
      <c r="U191" s="27"/>
      <c r="V191" s="27"/>
      <c r="W191" s="129"/>
      <c r="X191" s="27"/>
      <c r="Y191" s="27"/>
      <c r="Z191" s="88"/>
      <c r="AA191" s="89"/>
      <c r="AB191" s="90"/>
      <c r="AC191" s="90"/>
      <c r="AD191" s="90"/>
      <c r="AE191" s="89"/>
      <c r="AF191" s="90"/>
      <c r="AG191" s="90"/>
      <c r="AH191" s="90"/>
      <c r="AI191" s="90"/>
      <c r="AJ191" s="38"/>
    </row>
    <row r="192" spans="1:36" ht="15" customHeight="1">
      <c r="B192" s="131">
        <f>IF($F$16=0,0,1/$F$16)</f>
        <v>0.2</v>
      </c>
      <c r="C192" s="105">
        <f t="shared" si="104"/>
        <v>118.24285014739201</v>
      </c>
      <c r="D192" s="132" t="s">
        <v>147</v>
      </c>
      <c r="E192" s="40" t="s">
        <v>112</v>
      </c>
      <c r="F192" s="130"/>
      <c r="G192" s="355">
        <f>G$191*$B192*G$188</f>
        <v>0</v>
      </c>
      <c r="H192" s="355">
        <f t="shared" ref="H192:S192" si="109">H$191*$B192*H$188</f>
        <v>0</v>
      </c>
      <c r="I192" s="355">
        <f t="shared" si="109"/>
        <v>105.1212</v>
      </c>
      <c r="J192" s="355">
        <f t="shared" si="109"/>
        <v>3.183624</v>
      </c>
      <c r="K192" s="355">
        <f t="shared" si="109"/>
        <v>3.2472964800000002</v>
      </c>
      <c r="L192" s="355">
        <f t="shared" si="109"/>
        <v>3.3122424096000005</v>
      </c>
      <c r="M192" s="355">
        <f t="shared" si="109"/>
        <v>3.3784872577920009</v>
      </c>
      <c r="N192" s="355">
        <f t="shared" si="109"/>
        <v>0</v>
      </c>
      <c r="O192" s="355">
        <f t="shared" si="109"/>
        <v>0</v>
      </c>
      <c r="P192" s="355">
        <f t="shared" si="109"/>
        <v>0</v>
      </c>
      <c r="Q192" s="355">
        <f t="shared" si="109"/>
        <v>0</v>
      </c>
      <c r="R192" s="355">
        <f t="shared" si="109"/>
        <v>0</v>
      </c>
      <c r="S192" s="355">
        <f t="shared" si="109"/>
        <v>0</v>
      </c>
      <c r="T192" s="27"/>
      <c r="U192" s="27"/>
      <c r="V192" s="27"/>
      <c r="W192" s="129"/>
      <c r="X192" s="27"/>
      <c r="Y192" s="27"/>
      <c r="Z192" s="88"/>
      <c r="AA192" s="89"/>
      <c r="AB192" s="90"/>
      <c r="AC192" s="90"/>
      <c r="AD192" s="90"/>
      <c r="AE192" s="89"/>
      <c r="AF192" s="90"/>
      <c r="AG192" s="90"/>
      <c r="AH192" s="90"/>
      <c r="AI192" s="90"/>
      <c r="AJ192" s="38"/>
    </row>
    <row r="193" spans="1:36" ht="15" customHeight="1">
      <c r="B193" s="131">
        <f>IF($F$16=0,0,MIN(1/$F$16,1-SUM($B$192:B192)))</f>
        <v>0.2</v>
      </c>
      <c r="C193" s="105">
        <f t="shared" si="104"/>
        <v>118.24285014739201</v>
      </c>
      <c r="D193" s="132" t="s">
        <v>148</v>
      </c>
      <c r="E193" s="40" t="s">
        <v>112</v>
      </c>
      <c r="F193" s="130"/>
      <c r="G193" s="11"/>
      <c r="H193" s="355">
        <f>G$191*$B193*H$188</f>
        <v>0</v>
      </c>
      <c r="I193" s="355">
        <f t="shared" ref="I193:S193" si="110">H$191*$B193*I$188</f>
        <v>0</v>
      </c>
      <c r="J193" s="355">
        <f t="shared" si="110"/>
        <v>105.1212</v>
      </c>
      <c r="K193" s="355">
        <f t="shared" si="110"/>
        <v>3.183624</v>
      </c>
      <c r="L193" s="355">
        <f t="shared" si="110"/>
        <v>3.2472964800000002</v>
      </c>
      <c r="M193" s="355">
        <f t="shared" si="110"/>
        <v>3.3122424096000005</v>
      </c>
      <c r="N193" s="355">
        <f t="shared" si="110"/>
        <v>3.3784872577920009</v>
      </c>
      <c r="O193" s="355">
        <f t="shared" si="110"/>
        <v>0</v>
      </c>
      <c r="P193" s="355">
        <f t="shared" si="110"/>
        <v>0</v>
      </c>
      <c r="Q193" s="355">
        <f t="shared" si="110"/>
        <v>0</v>
      </c>
      <c r="R193" s="355">
        <f t="shared" si="110"/>
        <v>0</v>
      </c>
      <c r="S193" s="355">
        <f t="shared" si="110"/>
        <v>0</v>
      </c>
      <c r="T193" s="27"/>
      <c r="U193" s="27"/>
      <c r="V193" s="27"/>
      <c r="W193" s="129"/>
      <c r="X193" s="27"/>
      <c r="Y193" s="27"/>
      <c r="Z193" s="88"/>
      <c r="AA193" s="89"/>
      <c r="AB193" s="90"/>
      <c r="AC193" s="90"/>
      <c r="AD193" s="90"/>
      <c r="AE193" s="89"/>
      <c r="AF193" s="90"/>
      <c r="AG193" s="90"/>
      <c r="AH193" s="90"/>
      <c r="AI193" s="90"/>
      <c r="AJ193" s="38"/>
    </row>
    <row r="194" spans="1:36" ht="15" customHeight="1">
      <c r="B194" s="131">
        <f>IF($F$16=0,0,MIN(1/$F$16,1-SUM($B$192:B193)))</f>
        <v>0.2</v>
      </c>
      <c r="C194" s="105">
        <f t="shared" si="104"/>
        <v>118.24285014739201</v>
      </c>
      <c r="D194" s="132" t="s">
        <v>149</v>
      </c>
      <c r="E194" s="40" t="s">
        <v>112</v>
      </c>
      <c r="F194" s="130"/>
      <c r="G194" s="11"/>
      <c r="H194" s="11"/>
      <c r="I194" s="355">
        <f>G$191*$B194*I$188</f>
        <v>0</v>
      </c>
      <c r="J194" s="355">
        <f t="shared" ref="J194:S194" si="111">H$191*$B194*J$188</f>
        <v>0</v>
      </c>
      <c r="K194" s="355">
        <f t="shared" si="111"/>
        <v>105.1212</v>
      </c>
      <c r="L194" s="355">
        <f t="shared" si="111"/>
        <v>3.183624</v>
      </c>
      <c r="M194" s="355">
        <f t="shared" si="111"/>
        <v>3.2472964800000002</v>
      </c>
      <c r="N194" s="355">
        <f t="shared" si="111"/>
        <v>3.3122424096000005</v>
      </c>
      <c r="O194" s="355">
        <f t="shared" si="111"/>
        <v>3.3784872577920009</v>
      </c>
      <c r="P194" s="355">
        <f t="shared" si="111"/>
        <v>0</v>
      </c>
      <c r="Q194" s="355">
        <f t="shared" si="111"/>
        <v>0</v>
      </c>
      <c r="R194" s="355">
        <f t="shared" si="111"/>
        <v>0</v>
      </c>
      <c r="S194" s="355">
        <f t="shared" si="111"/>
        <v>0</v>
      </c>
      <c r="T194" s="27"/>
      <c r="U194" s="27"/>
      <c r="V194" s="27"/>
      <c r="W194" s="129"/>
      <c r="X194" s="27"/>
      <c r="Y194" s="27"/>
      <c r="Z194" s="88"/>
      <c r="AA194" s="89"/>
      <c r="AB194" s="90"/>
      <c r="AC194" s="90"/>
      <c r="AD194" s="90"/>
      <c r="AE194" s="89"/>
      <c r="AF194" s="90"/>
      <c r="AG194" s="90"/>
      <c r="AH194" s="90"/>
      <c r="AI194" s="90"/>
      <c r="AJ194" s="38"/>
    </row>
    <row r="195" spans="1:36" ht="15" customHeight="1">
      <c r="B195" s="131">
        <f>IF($F$16=0,0,MIN(1/$F$16,1-SUM($B$192:B194)))</f>
        <v>0.2</v>
      </c>
      <c r="C195" s="105">
        <f t="shared" si="104"/>
        <v>118.24285014739201</v>
      </c>
      <c r="D195" s="132" t="s">
        <v>150</v>
      </c>
      <c r="E195" s="40" t="s">
        <v>112</v>
      </c>
      <c r="F195" s="130"/>
      <c r="G195" s="11"/>
      <c r="H195" s="11"/>
      <c r="I195" s="11"/>
      <c r="J195" s="355">
        <f>G$191*$B195*J$188</f>
        <v>0</v>
      </c>
      <c r="K195" s="355">
        <f t="shared" ref="K195:S195" si="112">H$191*$B195*K$188</f>
        <v>0</v>
      </c>
      <c r="L195" s="355">
        <f t="shared" si="112"/>
        <v>105.1212</v>
      </c>
      <c r="M195" s="355">
        <f t="shared" si="112"/>
        <v>3.183624</v>
      </c>
      <c r="N195" s="355">
        <f t="shared" si="112"/>
        <v>3.2472964800000002</v>
      </c>
      <c r="O195" s="355">
        <f t="shared" si="112"/>
        <v>3.3122424096000005</v>
      </c>
      <c r="P195" s="355">
        <f t="shared" si="112"/>
        <v>3.3784872577920009</v>
      </c>
      <c r="Q195" s="355">
        <f t="shared" si="112"/>
        <v>0</v>
      </c>
      <c r="R195" s="355">
        <f t="shared" si="112"/>
        <v>0</v>
      </c>
      <c r="S195" s="355">
        <f t="shared" si="112"/>
        <v>0</v>
      </c>
      <c r="T195" s="27"/>
      <c r="U195" s="27"/>
      <c r="V195" s="27"/>
      <c r="W195" s="129"/>
      <c r="X195" s="27"/>
      <c r="Y195" s="27"/>
      <c r="Z195" s="88"/>
      <c r="AA195" s="89"/>
      <c r="AB195" s="90"/>
      <c r="AC195" s="90"/>
      <c r="AD195" s="90"/>
      <c r="AE195" s="89"/>
      <c r="AF195" s="90"/>
      <c r="AG195" s="90"/>
      <c r="AH195" s="90"/>
      <c r="AI195" s="90"/>
      <c r="AJ195" s="38"/>
    </row>
    <row r="196" spans="1:36" ht="15" customHeight="1">
      <c r="B196" s="131">
        <f>IF($F$16=0,0,MIN(1/$F$16,1-SUM($B$192:B195)))</f>
        <v>0.19999999999999996</v>
      </c>
      <c r="C196" s="105">
        <f t="shared" si="104"/>
        <v>118.24285014739198</v>
      </c>
      <c r="D196" s="132" t="s">
        <v>151</v>
      </c>
      <c r="E196" s="40" t="s">
        <v>112</v>
      </c>
      <c r="F196" s="130"/>
      <c r="G196" s="11"/>
      <c r="H196" s="11"/>
      <c r="I196" s="11"/>
      <c r="J196" s="11"/>
      <c r="K196" s="355">
        <f>G$191*$B196*K$188</f>
        <v>0</v>
      </c>
      <c r="L196" s="355">
        <f t="shared" ref="L196:S196" si="113">H$191*$B196*L$188</f>
        <v>0</v>
      </c>
      <c r="M196" s="355">
        <f t="shared" si="113"/>
        <v>105.12119999999997</v>
      </c>
      <c r="N196" s="355">
        <f t="shared" si="113"/>
        <v>3.1836239999999991</v>
      </c>
      <c r="O196" s="355">
        <f t="shared" si="113"/>
        <v>3.2472964799999993</v>
      </c>
      <c r="P196" s="355">
        <f t="shared" si="113"/>
        <v>3.3122424095999996</v>
      </c>
      <c r="Q196" s="355">
        <f t="shared" si="113"/>
        <v>3.378487257792</v>
      </c>
      <c r="R196" s="355">
        <f t="shared" si="113"/>
        <v>0</v>
      </c>
      <c r="S196" s="355">
        <f t="shared" si="113"/>
        <v>0</v>
      </c>
      <c r="T196" s="27"/>
      <c r="U196" s="27"/>
      <c r="V196" s="27"/>
      <c r="W196" s="129"/>
      <c r="X196" s="27"/>
      <c r="Y196" s="27"/>
      <c r="Z196" s="88"/>
      <c r="AA196" s="89"/>
      <c r="AB196" s="90"/>
      <c r="AC196" s="90"/>
      <c r="AD196" s="90"/>
      <c r="AE196" s="89"/>
      <c r="AF196" s="90"/>
      <c r="AG196" s="90"/>
      <c r="AH196" s="90"/>
      <c r="AI196" s="90"/>
      <c r="AJ196" s="38"/>
    </row>
    <row r="197" spans="1:36" ht="15" customHeight="1">
      <c r="B197" s="131">
        <f>IF($F$16=0,0,MIN(1/$F$16,1-SUM($B$192:B196)))</f>
        <v>0</v>
      </c>
      <c r="C197" s="105">
        <f t="shared" si="104"/>
        <v>0</v>
      </c>
      <c r="D197" s="132" t="s">
        <v>152</v>
      </c>
      <c r="E197" s="40" t="s">
        <v>112</v>
      </c>
      <c r="F197" s="130"/>
      <c r="G197" s="11"/>
      <c r="H197" s="11"/>
      <c r="I197" s="11"/>
      <c r="J197" s="11"/>
      <c r="K197" s="11"/>
      <c r="L197" s="355">
        <f>G$191*$B197*L$188</f>
        <v>0</v>
      </c>
      <c r="M197" s="355">
        <f t="shared" ref="M197:S197" si="114">H$191*$B197*M$188</f>
        <v>0</v>
      </c>
      <c r="N197" s="355">
        <f t="shared" si="114"/>
        <v>0</v>
      </c>
      <c r="O197" s="355">
        <f t="shared" si="114"/>
        <v>0</v>
      </c>
      <c r="P197" s="355">
        <f t="shared" si="114"/>
        <v>0</v>
      </c>
      <c r="Q197" s="355">
        <f t="shared" si="114"/>
        <v>0</v>
      </c>
      <c r="R197" s="355">
        <f t="shared" si="114"/>
        <v>0</v>
      </c>
      <c r="S197" s="355">
        <f t="shared" si="114"/>
        <v>0</v>
      </c>
      <c r="T197" s="27"/>
      <c r="U197" s="27"/>
      <c r="V197" s="27"/>
      <c r="W197" s="129"/>
      <c r="X197" s="27"/>
      <c r="Y197" s="27"/>
      <c r="Z197" s="88"/>
      <c r="AA197" s="89"/>
      <c r="AB197" s="90"/>
      <c r="AC197" s="90"/>
      <c r="AD197" s="90"/>
      <c r="AE197" s="89"/>
      <c r="AF197" s="90"/>
      <c r="AG197" s="90"/>
      <c r="AH197" s="90"/>
      <c r="AI197" s="90"/>
      <c r="AJ197" s="38"/>
    </row>
    <row r="198" spans="1:36" ht="15" customHeight="1">
      <c r="B198" s="131">
        <f>IF($F$16=0,0,MIN(1/$F$16,1-SUM($B$192:B197)))</f>
        <v>0</v>
      </c>
      <c r="C198" s="105">
        <f t="shared" si="104"/>
        <v>0</v>
      </c>
      <c r="D198" s="132" t="s">
        <v>153</v>
      </c>
      <c r="E198" s="40" t="s">
        <v>112</v>
      </c>
      <c r="F198" s="130"/>
      <c r="G198" s="11"/>
      <c r="H198" s="11"/>
      <c r="I198" s="11"/>
      <c r="J198" s="11"/>
      <c r="K198" s="11"/>
      <c r="L198" s="11"/>
      <c r="M198" s="355">
        <f>G$191*$B198*M$188</f>
        <v>0</v>
      </c>
      <c r="N198" s="355">
        <f t="shared" ref="N198:S198" si="115">H$191*$B198*N$188</f>
        <v>0</v>
      </c>
      <c r="O198" s="355">
        <f t="shared" si="115"/>
        <v>0</v>
      </c>
      <c r="P198" s="355">
        <f t="shared" si="115"/>
        <v>0</v>
      </c>
      <c r="Q198" s="355">
        <f t="shared" si="115"/>
        <v>0</v>
      </c>
      <c r="R198" s="355">
        <f t="shared" si="115"/>
        <v>0</v>
      </c>
      <c r="S198" s="355">
        <f t="shared" si="115"/>
        <v>0</v>
      </c>
      <c r="T198" s="27"/>
      <c r="U198" s="27"/>
      <c r="V198" s="27"/>
      <c r="W198" s="129"/>
      <c r="X198" s="27"/>
      <c r="Y198" s="27"/>
      <c r="Z198" s="88"/>
      <c r="AA198" s="89"/>
      <c r="AB198" s="90"/>
      <c r="AC198" s="90"/>
      <c r="AD198" s="90"/>
      <c r="AE198" s="89"/>
      <c r="AF198" s="90"/>
      <c r="AG198" s="90"/>
      <c r="AH198" s="90"/>
      <c r="AI198" s="90"/>
      <c r="AJ198" s="38"/>
    </row>
    <row r="199" spans="1:36" ht="15" customHeight="1">
      <c r="B199" s="131">
        <f>IF($F$16=0,0,MIN(1/$F$16,1-SUM($B$192:B198)))</f>
        <v>0</v>
      </c>
      <c r="C199" s="105">
        <f t="shared" si="104"/>
        <v>0</v>
      </c>
      <c r="D199" s="132" t="s">
        <v>154</v>
      </c>
      <c r="E199" s="40" t="s">
        <v>112</v>
      </c>
      <c r="F199" s="130"/>
      <c r="G199" s="11"/>
      <c r="H199" s="11"/>
      <c r="I199" s="11"/>
      <c r="J199" s="11"/>
      <c r="K199" s="11"/>
      <c r="L199" s="11"/>
      <c r="M199" s="11"/>
      <c r="N199" s="355">
        <f>G$191*$B199*N$188</f>
        <v>0</v>
      </c>
      <c r="O199" s="355">
        <f t="shared" ref="O199:S199" si="116">H$191*$B199*O$188</f>
        <v>0</v>
      </c>
      <c r="P199" s="355">
        <f t="shared" si="116"/>
        <v>0</v>
      </c>
      <c r="Q199" s="355">
        <f t="shared" si="116"/>
        <v>0</v>
      </c>
      <c r="R199" s="355">
        <f t="shared" si="116"/>
        <v>0</v>
      </c>
      <c r="S199" s="355">
        <f t="shared" si="116"/>
        <v>0</v>
      </c>
      <c r="T199" s="27"/>
      <c r="U199" s="27"/>
      <c r="V199" s="27"/>
      <c r="W199" s="129"/>
      <c r="X199" s="27"/>
      <c r="Y199" s="27"/>
      <c r="Z199" s="88"/>
      <c r="AA199" s="89"/>
      <c r="AB199" s="90"/>
      <c r="AC199" s="90"/>
      <c r="AD199" s="90"/>
      <c r="AE199" s="89"/>
      <c r="AF199" s="90"/>
      <c r="AG199" s="90"/>
      <c r="AH199" s="90"/>
      <c r="AI199" s="90"/>
      <c r="AJ199" s="38"/>
    </row>
    <row r="200" spans="1:36" ht="15" customHeight="1">
      <c r="B200" s="131">
        <f>IF($F$16=0,0,MIN(1/$F$16,1-SUM($B$192:B199)))</f>
        <v>0</v>
      </c>
      <c r="C200" s="105">
        <f t="shared" si="104"/>
        <v>0</v>
      </c>
      <c r="D200" s="132" t="s">
        <v>155</v>
      </c>
      <c r="E200" s="40" t="s">
        <v>112</v>
      </c>
      <c r="F200" s="130"/>
      <c r="G200" s="11"/>
      <c r="H200" s="11"/>
      <c r="I200" s="11"/>
      <c r="J200" s="11"/>
      <c r="K200" s="11"/>
      <c r="L200" s="11"/>
      <c r="M200" s="11"/>
      <c r="N200" s="11"/>
      <c r="O200" s="355">
        <f>G$191*$B200*O$188</f>
        <v>0</v>
      </c>
      <c r="P200" s="355">
        <f t="shared" ref="P200:S200" si="117">H$191*$B200*P$188</f>
        <v>0</v>
      </c>
      <c r="Q200" s="355">
        <f t="shared" si="117"/>
        <v>0</v>
      </c>
      <c r="R200" s="355">
        <f t="shared" si="117"/>
        <v>0</v>
      </c>
      <c r="S200" s="355">
        <f t="shared" si="117"/>
        <v>0</v>
      </c>
      <c r="T200" s="27"/>
      <c r="U200" s="27"/>
      <c r="V200" s="27"/>
      <c r="W200" s="129"/>
      <c r="X200" s="27"/>
      <c r="Y200" s="27"/>
      <c r="Z200" s="88"/>
      <c r="AA200" s="89"/>
      <c r="AB200" s="90"/>
      <c r="AC200" s="90"/>
      <c r="AD200" s="90"/>
      <c r="AE200" s="89"/>
      <c r="AF200" s="90"/>
      <c r="AG200" s="90"/>
      <c r="AH200" s="90"/>
      <c r="AI200" s="90"/>
      <c r="AJ200" s="38"/>
    </row>
    <row r="201" spans="1:36" ht="15" customHeight="1">
      <c r="B201" s="131">
        <f>IF($F$16=0,0,MIN(1/$F$16,1-SUM($B$192:B200)))</f>
        <v>0</v>
      </c>
      <c r="C201" s="105">
        <f t="shared" si="104"/>
        <v>0</v>
      </c>
      <c r="D201" s="132" t="s">
        <v>156</v>
      </c>
      <c r="E201" s="40" t="s">
        <v>112</v>
      </c>
      <c r="F201" s="130"/>
      <c r="G201" s="11"/>
      <c r="H201" s="11"/>
      <c r="I201" s="11"/>
      <c r="J201" s="11"/>
      <c r="K201" s="11"/>
      <c r="L201" s="11"/>
      <c r="M201" s="11"/>
      <c r="N201" s="11"/>
      <c r="O201" s="11"/>
      <c r="P201" s="355">
        <f>G$191*$B201*P$188</f>
        <v>0</v>
      </c>
      <c r="Q201" s="355">
        <f t="shared" ref="Q201:S201" si="118">H$191*$B201*Q$188</f>
        <v>0</v>
      </c>
      <c r="R201" s="355">
        <f t="shared" si="118"/>
        <v>0</v>
      </c>
      <c r="S201" s="355">
        <f t="shared" si="118"/>
        <v>0</v>
      </c>
      <c r="T201" s="27"/>
      <c r="U201" s="27"/>
      <c r="V201" s="27"/>
      <c r="W201" s="129"/>
      <c r="X201" s="27"/>
      <c r="Y201" s="27"/>
      <c r="Z201" s="88"/>
      <c r="AA201" s="89"/>
      <c r="AB201" s="90"/>
      <c r="AC201" s="90"/>
      <c r="AD201" s="90"/>
      <c r="AE201" s="89"/>
      <c r="AF201" s="90"/>
      <c r="AG201" s="90"/>
      <c r="AH201" s="90"/>
      <c r="AI201" s="90"/>
      <c r="AJ201" s="38"/>
    </row>
    <row r="202" spans="1:36" ht="15" customHeight="1">
      <c r="A202" s="107" t="b">
        <f>ROUND(C190-C202-C206,5)=0</f>
        <v>1</v>
      </c>
      <c r="B202" s="92"/>
      <c r="C202" s="105">
        <f t="shared" si="104"/>
        <v>591.21425073695991</v>
      </c>
      <c r="D202" s="73" t="s">
        <v>157</v>
      </c>
      <c r="E202" s="40" t="s">
        <v>112</v>
      </c>
      <c r="F202" s="130"/>
      <c r="G202" s="11">
        <f>SUM(G192:G201)</f>
        <v>0</v>
      </c>
      <c r="H202" s="11">
        <f t="shared" ref="H202:S202" si="119">SUM(H192:H201)</f>
        <v>0</v>
      </c>
      <c r="I202" s="11">
        <f t="shared" si="119"/>
        <v>105.1212</v>
      </c>
      <c r="J202" s="11">
        <f t="shared" si="119"/>
        <v>108.304824</v>
      </c>
      <c r="K202" s="11">
        <f t="shared" si="119"/>
        <v>111.55212048</v>
      </c>
      <c r="L202" s="11">
        <f t="shared" si="119"/>
        <v>114.8643628896</v>
      </c>
      <c r="M202" s="11">
        <f t="shared" si="119"/>
        <v>118.24285014739198</v>
      </c>
      <c r="N202" s="11">
        <f t="shared" si="119"/>
        <v>13.121650147392</v>
      </c>
      <c r="O202" s="11">
        <f t="shared" si="119"/>
        <v>9.9380261473920015</v>
      </c>
      <c r="P202" s="11">
        <f t="shared" si="119"/>
        <v>6.6907296673920005</v>
      </c>
      <c r="Q202" s="11">
        <f t="shared" si="119"/>
        <v>3.378487257792</v>
      </c>
      <c r="R202" s="11">
        <f t="shared" si="119"/>
        <v>0</v>
      </c>
      <c r="S202" s="11">
        <f t="shared" si="119"/>
        <v>0</v>
      </c>
      <c r="T202" s="27"/>
      <c r="U202" s="27"/>
      <c r="V202" s="27"/>
      <c r="W202" s="129"/>
      <c r="X202" s="27"/>
      <c r="Y202" s="27"/>
      <c r="Z202" s="88"/>
      <c r="AA202" s="89"/>
      <c r="AB202" s="90"/>
      <c r="AC202" s="90"/>
      <c r="AD202" s="90"/>
      <c r="AE202" s="89"/>
      <c r="AF202" s="90"/>
      <c r="AG202" s="90"/>
      <c r="AH202" s="90"/>
      <c r="AI202" s="90"/>
      <c r="AJ202" s="38"/>
    </row>
    <row r="203" spans="1:36" ht="15" customHeight="1">
      <c r="A203" s="92"/>
      <c r="B203" s="92"/>
      <c r="C203" s="105"/>
      <c r="D203" s="73"/>
      <c r="E203" s="40"/>
      <c r="F203" s="130"/>
      <c r="G203" s="11"/>
      <c r="H203" s="11"/>
      <c r="I203" s="11"/>
      <c r="J203" s="11"/>
      <c r="K203" s="11"/>
      <c r="L203" s="11"/>
      <c r="M203" s="11"/>
      <c r="N203" s="11"/>
      <c r="O203" s="11"/>
      <c r="P203" s="11"/>
      <c r="Q203" s="11"/>
      <c r="R203" s="11"/>
      <c r="S203" s="11"/>
      <c r="T203" s="27"/>
      <c r="U203" s="27"/>
      <c r="V203" s="27"/>
      <c r="W203" s="129"/>
      <c r="X203" s="27"/>
      <c r="Y203" s="27"/>
      <c r="Z203" s="88"/>
      <c r="AA203" s="89"/>
      <c r="AB203" s="90"/>
      <c r="AC203" s="90"/>
      <c r="AD203" s="90"/>
      <c r="AE203" s="89"/>
      <c r="AF203" s="90"/>
      <c r="AG203" s="90"/>
      <c r="AH203" s="90"/>
      <c r="AI203" s="90"/>
      <c r="AJ203" s="38"/>
    </row>
    <row r="204" spans="1:36" ht="15" customHeight="1">
      <c r="A204" s="92"/>
      <c r="B204" s="92"/>
      <c r="C204" s="105">
        <f>INDEX(G204:S204,,MATCH($C$89,$G$89:$S$89,0))</f>
        <v>591.21425073696003</v>
      </c>
      <c r="D204" s="15" t="s">
        <v>381</v>
      </c>
      <c r="E204" s="40" t="s">
        <v>112</v>
      </c>
      <c r="F204" s="130"/>
      <c r="G204" s="11">
        <f t="shared" ref="G204:O204" si="120">(F204+G190+F206)*G188</f>
        <v>0</v>
      </c>
      <c r="H204" s="11">
        <f t="shared" si="120"/>
        <v>510</v>
      </c>
      <c r="I204" s="11">
        <f t="shared" si="120"/>
        <v>525.60599999999999</v>
      </c>
      <c r="J204" s="11">
        <f t="shared" si="120"/>
        <v>541.52412000000004</v>
      </c>
      <c r="K204" s="11">
        <f t="shared" si="120"/>
        <v>557.76060240000004</v>
      </c>
      <c r="L204" s="11">
        <f t="shared" si="120"/>
        <v>574.32181444800005</v>
      </c>
      <c r="M204" s="11">
        <f t="shared" si="120"/>
        <v>591.21425073696003</v>
      </c>
      <c r="N204" s="11">
        <f t="shared" si="120"/>
        <v>591.21425073696003</v>
      </c>
      <c r="O204" s="11">
        <f t="shared" si="120"/>
        <v>591.21425073696003</v>
      </c>
      <c r="P204" s="11">
        <f>(O204+P190+O206)*P188</f>
        <v>591.21425073696003</v>
      </c>
      <c r="Q204" s="11">
        <f t="shared" ref="Q204:S204" si="121">(P204+Q190+P206)*Q188</f>
        <v>591.21425073696003</v>
      </c>
      <c r="R204" s="11">
        <f t="shared" si="121"/>
        <v>0</v>
      </c>
      <c r="S204" s="11">
        <f t="shared" si="121"/>
        <v>0</v>
      </c>
      <c r="T204" s="27"/>
      <c r="U204" s="27"/>
      <c r="V204" s="27"/>
      <c r="W204" s="129"/>
      <c r="X204" s="27"/>
      <c r="Y204" s="27"/>
      <c r="Z204" s="88"/>
      <c r="AA204" s="89"/>
      <c r="AB204" s="90"/>
      <c r="AC204" s="90"/>
      <c r="AD204" s="90"/>
      <c r="AE204" s="89"/>
      <c r="AF204" s="90"/>
      <c r="AG204" s="90"/>
      <c r="AH204" s="90"/>
      <c r="AI204" s="90"/>
      <c r="AJ204" s="38"/>
    </row>
    <row r="205" spans="1:36" ht="15" customHeight="1">
      <c r="A205" s="92"/>
      <c r="B205" s="92"/>
      <c r="C205" s="105">
        <f>INDEX(G205:S205,,MATCH($C$89,$G$89:$S$89,0))</f>
        <v>591.21425073695991</v>
      </c>
      <c r="D205" s="73" t="s">
        <v>382</v>
      </c>
      <c r="E205" s="40" t="s">
        <v>112</v>
      </c>
      <c r="F205" s="130"/>
      <c r="G205" s="11">
        <f>(F205+G202)*G188</f>
        <v>0</v>
      </c>
      <c r="H205" s="11">
        <f t="shared" ref="H205:S205" si="122">(G205+H202)*H188</f>
        <v>0</v>
      </c>
      <c r="I205" s="11">
        <f t="shared" si="122"/>
        <v>105.1212</v>
      </c>
      <c r="J205" s="11">
        <f t="shared" si="122"/>
        <v>213.42602399999998</v>
      </c>
      <c r="K205" s="11">
        <f t="shared" si="122"/>
        <v>324.97814447999997</v>
      </c>
      <c r="L205" s="11">
        <f t="shared" si="122"/>
        <v>439.84250736959996</v>
      </c>
      <c r="M205" s="11">
        <f t="shared" si="122"/>
        <v>558.08535751699196</v>
      </c>
      <c r="N205" s="11">
        <f t="shared" si="122"/>
        <v>571.20700766438392</v>
      </c>
      <c r="O205" s="11">
        <f t="shared" si="122"/>
        <v>581.14503381177587</v>
      </c>
      <c r="P205" s="11">
        <f t="shared" si="122"/>
        <v>587.83576347916789</v>
      </c>
      <c r="Q205" s="11">
        <f t="shared" si="122"/>
        <v>591.21425073695991</v>
      </c>
      <c r="R205" s="11">
        <f t="shared" si="122"/>
        <v>0</v>
      </c>
      <c r="S205" s="11">
        <f t="shared" si="122"/>
        <v>0</v>
      </c>
      <c r="T205" s="27"/>
      <c r="U205" s="27"/>
      <c r="V205" s="27"/>
      <c r="W205" s="129"/>
      <c r="X205" s="27"/>
      <c r="Y205" s="27"/>
      <c r="Z205" s="88"/>
      <c r="AA205" s="89"/>
      <c r="AB205" s="90"/>
      <c r="AC205" s="90"/>
      <c r="AD205" s="90"/>
      <c r="AE205" s="89"/>
      <c r="AF205" s="90"/>
      <c r="AG205" s="90"/>
      <c r="AH205" s="90"/>
      <c r="AI205" s="90"/>
      <c r="AJ205" s="38"/>
    </row>
    <row r="206" spans="1:36" ht="15" customHeight="1">
      <c r="A206" s="107" t="b">
        <f>ROUND(C204-C205-C206,5)=0</f>
        <v>1</v>
      </c>
      <c r="B206" s="92"/>
      <c r="C206" s="11">
        <f>SUM(G206:S206)</f>
        <v>1.1368683772161603E-13</v>
      </c>
      <c r="D206" s="73" t="s">
        <v>380</v>
      </c>
      <c r="E206" s="40" t="s">
        <v>112</v>
      </c>
      <c r="F206" s="130"/>
      <c r="G206" s="11">
        <f>(G204-G205)*(G90=1)</f>
        <v>0</v>
      </c>
      <c r="H206" s="11">
        <f t="shared" ref="H206:S206" si="123">(H204-H205)*(H90=1)</f>
        <v>0</v>
      </c>
      <c r="I206" s="11">
        <f t="shared" si="123"/>
        <v>0</v>
      </c>
      <c r="J206" s="11">
        <f t="shared" si="123"/>
        <v>0</v>
      </c>
      <c r="K206" s="11">
        <f t="shared" si="123"/>
        <v>0</v>
      </c>
      <c r="L206" s="11">
        <f t="shared" si="123"/>
        <v>0</v>
      </c>
      <c r="M206" s="11">
        <f t="shared" si="123"/>
        <v>0</v>
      </c>
      <c r="N206" s="11">
        <f t="shared" si="123"/>
        <v>0</v>
      </c>
      <c r="O206" s="11">
        <f t="shared" si="123"/>
        <v>0</v>
      </c>
      <c r="P206" s="11">
        <f t="shared" si="123"/>
        <v>0</v>
      </c>
      <c r="Q206" s="11">
        <f t="shared" si="123"/>
        <v>1.1368683772161603E-13</v>
      </c>
      <c r="R206" s="11">
        <f t="shared" si="123"/>
        <v>0</v>
      </c>
      <c r="S206" s="11">
        <f t="shared" si="123"/>
        <v>0</v>
      </c>
      <c r="T206" s="27"/>
      <c r="U206" s="27"/>
      <c r="V206" s="27"/>
      <c r="W206" s="129"/>
      <c r="X206" s="27"/>
      <c r="Y206" s="27"/>
      <c r="Z206" s="88"/>
      <c r="AA206" s="89"/>
      <c r="AB206" s="90"/>
      <c r="AC206" s="90"/>
      <c r="AD206" s="90"/>
      <c r="AE206" s="89"/>
      <c r="AF206" s="90"/>
      <c r="AG206" s="90"/>
      <c r="AH206" s="90"/>
      <c r="AI206" s="90"/>
      <c r="AJ206" s="38"/>
    </row>
    <row r="207" spans="1:36">
      <c r="B207" s="92"/>
      <c r="E207" s="133"/>
      <c r="F207" s="130"/>
      <c r="G207" s="27"/>
      <c r="H207" s="27"/>
      <c r="I207" s="27"/>
      <c r="J207" s="27"/>
      <c r="K207" s="27"/>
      <c r="L207" s="27"/>
      <c r="M207" s="27"/>
      <c r="N207" s="27"/>
      <c r="O207" s="27"/>
      <c r="P207" s="27"/>
      <c r="Q207" s="27"/>
      <c r="R207" s="27"/>
      <c r="S207" s="27"/>
      <c r="T207" s="27"/>
      <c r="U207" s="27"/>
      <c r="V207" s="27"/>
      <c r="W207" s="129"/>
      <c r="X207" s="27"/>
      <c r="Y207" s="27"/>
      <c r="Z207" s="88"/>
      <c r="AA207" s="89"/>
      <c r="AB207" s="90"/>
      <c r="AC207" s="90"/>
      <c r="AD207" s="90"/>
      <c r="AE207" s="89"/>
      <c r="AF207" s="90"/>
      <c r="AG207" s="90"/>
      <c r="AH207" s="90"/>
      <c r="AI207" s="90"/>
      <c r="AJ207" s="38"/>
    </row>
    <row r="208" spans="1:36" ht="15" customHeight="1">
      <c r="B208" s="92"/>
      <c r="D208" s="15" t="s">
        <v>158</v>
      </c>
      <c r="E208" s="40" t="s">
        <v>112</v>
      </c>
      <c r="F208" s="130"/>
      <c r="G208" s="11">
        <f>F216</f>
        <v>0</v>
      </c>
      <c r="H208" s="11">
        <f t="shared" ref="H208:S208" si="124">G216</f>
        <v>250</v>
      </c>
      <c r="I208" s="11">
        <f t="shared" si="124"/>
        <v>250</v>
      </c>
      <c r="J208" s="11">
        <f t="shared" si="124"/>
        <v>298.91879199999994</v>
      </c>
      <c r="K208" s="11">
        <f t="shared" si="124"/>
        <v>263.90747559999994</v>
      </c>
      <c r="L208" s="11">
        <f t="shared" si="124"/>
        <v>0</v>
      </c>
      <c r="M208" s="11">
        <f t="shared" si="124"/>
        <v>0</v>
      </c>
      <c r="N208" s="11">
        <f t="shared" si="124"/>
        <v>0</v>
      </c>
      <c r="O208" s="11">
        <f t="shared" si="124"/>
        <v>0</v>
      </c>
      <c r="P208" s="11">
        <f t="shared" si="124"/>
        <v>0</v>
      </c>
      <c r="Q208" s="11">
        <f t="shared" si="124"/>
        <v>0</v>
      </c>
      <c r="R208" s="11">
        <f t="shared" si="124"/>
        <v>0</v>
      </c>
      <c r="S208" s="11">
        <f t="shared" si="124"/>
        <v>0</v>
      </c>
      <c r="T208" s="27"/>
      <c r="U208" s="27"/>
      <c r="V208" s="27"/>
      <c r="W208" s="129"/>
      <c r="X208" s="27"/>
      <c r="Y208" s="27"/>
      <c r="Z208" s="88"/>
      <c r="AA208" s="89"/>
      <c r="AB208" s="90"/>
      <c r="AC208" s="90"/>
      <c r="AD208" s="90"/>
      <c r="AE208" s="89"/>
      <c r="AF208" s="90"/>
      <c r="AG208" s="90"/>
      <c r="AH208" s="90"/>
      <c r="AI208" s="90"/>
      <c r="AJ208" s="38"/>
    </row>
    <row r="209" spans="2:80" ht="15" customHeight="1">
      <c r="B209" s="92"/>
      <c r="C209" s="105">
        <f t="shared" ref="C209:C215" si="125">SUM(G209:S209)</f>
        <v>250</v>
      </c>
      <c r="D209" s="367" t="s">
        <v>159</v>
      </c>
      <c r="E209" s="40" t="s">
        <v>112</v>
      </c>
      <c r="F209" s="130"/>
      <c r="G209" s="11">
        <f t="shared" ref="G209:S209" si="126">IF(AND($F$17="yes",G91&lt;=$F$19),G186*(1+$F$18),G186)</f>
        <v>250</v>
      </c>
      <c r="H209" s="11">
        <f t="shared" si="126"/>
        <v>0</v>
      </c>
      <c r="I209" s="11">
        <f t="shared" si="126"/>
        <v>0</v>
      </c>
      <c r="J209" s="11">
        <f t="shared" si="126"/>
        <v>0</v>
      </c>
      <c r="K209" s="11">
        <f t="shared" si="126"/>
        <v>0</v>
      </c>
      <c r="L209" s="11">
        <f t="shared" si="126"/>
        <v>0</v>
      </c>
      <c r="M209" s="11">
        <f t="shared" si="126"/>
        <v>0</v>
      </c>
      <c r="N209" s="11">
        <f t="shared" si="126"/>
        <v>0</v>
      </c>
      <c r="O209" s="11">
        <f t="shared" si="126"/>
        <v>0</v>
      </c>
      <c r="P209" s="11">
        <f t="shared" si="126"/>
        <v>0</v>
      </c>
      <c r="Q209" s="11">
        <f t="shared" si="126"/>
        <v>0</v>
      </c>
      <c r="R209" s="11">
        <f t="shared" si="126"/>
        <v>0</v>
      </c>
      <c r="S209" s="11">
        <f t="shared" si="126"/>
        <v>0</v>
      </c>
      <c r="T209" s="27"/>
      <c r="U209" s="27"/>
      <c r="V209" s="27"/>
      <c r="W209" s="129"/>
      <c r="X209" s="27"/>
      <c r="Y209" s="27"/>
      <c r="Z209" s="88"/>
      <c r="AA209" s="89"/>
      <c r="AB209" s="90"/>
      <c r="AC209" s="90"/>
      <c r="AD209" s="90"/>
      <c r="AE209" s="89"/>
      <c r="AF209" s="90"/>
      <c r="AG209" s="90"/>
      <c r="AH209" s="90"/>
      <c r="AI209" s="90"/>
      <c r="AJ209" s="38"/>
    </row>
    <row r="210" spans="2:80" ht="15" customHeight="1">
      <c r="B210" s="92"/>
      <c r="C210" s="105">
        <f t="shared" si="125"/>
        <v>591.21425073695991</v>
      </c>
      <c r="D210" s="368" t="s">
        <v>342</v>
      </c>
      <c r="E210" s="40" t="s">
        <v>112</v>
      </c>
      <c r="F210" s="130"/>
      <c r="G210" s="11">
        <f t="shared" ref="G210:S210" si="127">IF(AND($F$17="yes",G91&lt;=$F$19),G202*(1+$F$18),G202)</f>
        <v>0</v>
      </c>
      <c r="H210" s="11">
        <f t="shared" si="127"/>
        <v>0</v>
      </c>
      <c r="I210" s="11">
        <f t="shared" si="127"/>
        <v>105.1212</v>
      </c>
      <c r="J210" s="11">
        <f t="shared" si="127"/>
        <v>108.304824</v>
      </c>
      <c r="K210" s="11">
        <f t="shared" si="127"/>
        <v>111.55212048</v>
      </c>
      <c r="L210" s="11">
        <f t="shared" si="127"/>
        <v>114.8643628896</v>
      </c>
      <c r="M210" s="11">
        <f t="shared" si="127"/>
        <v>118.24285014739198</v>
      </c>
      <c r="N210" s="11">
        <f t="shared" si="127"/>
        <v>13.121650147392</v>
      </c>
      <c r="O210" s="11">
        <f t="shared" si="127"/>
        <v>9.9380261473920015</v>
      </c>
      <c r="P210" s="11">
        <f t="shared" si="127"/>
        <v>6.6907296673920005</v>
      </c>
      <c r="Q210" s="11">
        <f t="shared" si="127"/>
        <v>3.378487257792</v>
      </c>
      <c r="R210" s="11">
        <f t="shared" si="127"/>
        <v>0</v>
      </c>
      <c r="S210" s="11">
        <f t="shared" si="127"/>
        <v>0</v>
      </c>
      <c r="T210" s="27"/>
      <c r="U210" s="27"/>
      <c r="V210" s="27"/>
      <c r="W210" s="129"/>
      <c r="X210" s="27"/>
      <c r="Y210" s="27"/>
      <c r="Z210" s="88"/>
      <c r="AA210" s="89"/>
      <c r="AB210" s="90"/>
      <c r="AC210" s="90"/>
      <c r="AD210" s="90"/>
      <c r="AE210" s="89"/>
      <c r="AF210" s="90"/>
      <c r="AG210" s="90"/>
      <c r="AH210" s="90"/>
      <c r="AI210" s="90"/>
      <c r="AJ210" s="38"/>
    </row>
    <row r="211" spans="2:80" ht="15" customHeight="1">
      <c r="B211" s="92"/>
      <c r="C211" s="105">
        <f t="shared" si="125"/>
        <v>4071.8359304468818</v>
      </c>
      <c r="D211" s="368" t="s">
        <v>90</v>
      </c>
      <c r="E211" s="40" t="s">
        <v>112</v>
      </c>
      <c r="F211" s="130"/>
      <c r="G211" s="11">
        <f>G150</f>
        <v>0</v>
      </c>
      <c r="H211" s="11">
        <f t="shared" ref="H211:S212" si="128">H150</f>
        <v>0</v>
      </c>
      <c r="I211" s="11">
        <f t="shared" si="128"/>
        <v>113.9238</v>
      </c>
      <c r="J211" s="11">
        <f t="shared" si="128"/>
        <v>290.50568999999996</v>
      </c>
      <c r="K211" s="11">
        <f t="shared" si="128"/>
        <v>888.94741139999996</v>
      </c>
      <c r="L211" s="11">
        <f t="shared" si="128"/>
        <v>725.38108770240001</v>
      </c>
      <c r="M211" s="11">
        <f t="shared" si="128"/>
        <v>591.91096756515844</v>
      </c>
      <c r="N211" s="11">
        <f t="shared" si="128"/>
        <v>482.99934953316921</v>
      </c>
      <c r="O211" s="11">
        <f t="shared" si="128"/>
        <v>394.12746921906609</v>
      </c>
      <c r="P211" s="11">
        <f t="shared" si="128"/>
        <v>321.60801488275791</v>
      </c>
      <c r="Q211" s="11">
        <f t="shared" si="128"/>
        <v>262.4321401443305</v>
      </c>
      <c r="R211" s="11">
        <f t="shared" si="128"/>
        <v>0</v>
      </c>
      <c r="S211" s="11">
        <f t="shared" si="128"/>
        <v>0</v>
      </c>
      <c r="T211" s="27"/>
      <c r="U211" s="27"/>
      <c r="V211" s="84"/>
      <c r="W211" s="129"/>
      <c r="X211" s="27"/>
      <c r="Y211" s="27"/>
      <c r="Z211" s="88"/>
      <c r="AA211" s="89"/>
      <c r="AB211" s="90"/>
      <c r="AC211" s="90"/>
      <c r="AD211" s="90"/>
      <c r="AE211" s="89"/>
      <c r="AF211" s="90"/>
      <c r="AG211" s="90"/>
      <c r="AH211" s="90"/>
      <c r="AI211" s="90"/>
      <c r="AJ211" s="38"/>
    </row>
    <row r="212" spans="2:80" ht="15" customHeight="1">
      <c r="B212" s="92"/>
      <c r="C212" s="105">
        <f t="shared" si="125"/>
        <v>248.6748616789304</v>
      </c>
      <c r="D212" s="368" t="s">
        <v>137</v>
      </c>
      <c r="E212" s="40" t="s">
        <v>112</v>
      </c>
      <c r="F212" s="130"/>
      <c r="G212" s="11">
        <f>G151</f>
        <v>0</v>
      </c>
      <c r="H212" s="11">
        <f t="shared" si="128"/>
        <v>0</v>
      </c>
      <c r="I212" s="11">
        <f t="shared" si="128"/>
        <v>0</v>
      </c>
      <c r="J212" s="11">
        <f t="shared" si="128"/>
        <v>0</v>
      </c>
      <c r="K212" s="11">
        <f t="shared" si="128"/>
        <v>0</v>
      </c>
      <c r="L212" s="11">
        <f t="shared" si="128"/>
        <v>0</v>
      </c>
      <c r="M212" s="11">
        <f t="shared" si="128"/>
        <v>68.341603263284142</v>
      </c>
      <c r="N212" s="11">
        <f t="shared" si="128"/>
        <v>56.229767255138519</v>
      </c>
      <c r="O212" s="11">
        <f t="shared" si="128"/>
        <v>46.90456688772111</v>
      </c>
      <c r="P212" s="11">
        <f t="shared" si="128"/>
        <v>40.179414773782042</v>
      </c>
      <c r="Q212" s="11">
        <f t="shared" si="128"/>
        <v>37.019509499004656</v>
      </c>
      <c r="R212" s="11">
        <f t="shared" si="128"/>
        <v>-8.5265128291212022E-14</v>
      </c>
      <c r="S212" s="11">
        <f t="shared" si="128"/>
        <v>0</v>
      </c>
      <c r="T212" s="27"/>
      <c r="U212" s="27"/>
      <c r="V212" s="84"/>
      <c r="W212" s="129"/>
      <c r="X212" s="27"/>
      <c r="Y212" s="27"/>
      <c r="Z212" s="88"/>
      <c r="AA212" s="89"/>
      <c r="AB212" s="90"/>
      <c r="AC212" s="90"/>
      <c r="AD212" s="90"/>
      <c r="AE212" s="89"/>
      <c r="AF212" s="90"/>
      <c r="AG212" s="90"/>
      <c r="AH212" s="90"/>
      <c r="AI212" s="90"/>
      <c r="AJ212" s="38"/>
    </row>
    <row r="213" spans="2:80" ht="15" customHeight="1">
      <c r="B213" s="92"/>
      <c r="C213" s="11">
        <f t="shared" si="125"/>
        <v>75.685871683679949</v>
      </c>
      <c r="D213" s="368" t="s">
        <v>393</v>
      </c>
      <c r="E213" s="40" t="s">
        <v>112</v>
      </c>
      <c r="F213" s="130"/>
      <c r="G213" s="11">
        <f>SUM(G281:G282)</f>
        <v>0</v>
      </c>
      <c r="H213" s="11">
        <f t="shared" ref="H213:S213" si="129">SUM(H281:H282)</f>
        <v>0</v>
      </c>
      <c r="I213" s="11">
        <f t="shared" si="129"/>
        <v>0</v>
      </c>
      <c r="J213" s="11">
        <f t="shared" si="129"/>
        <v>0</v>
      </c>
      <c r="K213" s="11">
        <f t="shared" si="129"/>
        <v>0</v>
      </c>
      <c r="L213" s="11">
        <f t="shared" si="129"/>
        <v>0</v>
      </c>
      <c r="M213" s="11">
        <f t="shared" si="129"/>
        <v>0</v>
      </c>
      <c r="N213" s="11">
        <f t="shared" si="129"/>
        <v>0</v>
      </c>
      <c r="O213" s="11">
        <f t="shared" si="129"/>
        <v>0</v>
      </c>
      <c r="P213" s="11">
        <f t="shared" si="129"/>
        <v>0</v>
      </c>
      <c r="Q213" s="11">
        <f t="shared" si="129"/>
        <v>75.685871683679949</v>
      </c>
      <c r="R213" s="11">
        <f t="shared" si="129"/>
        <v>0</v>
      </c>
      <c r="S213" s="11">
        <f t="shared" si="129"/>
        <v>0</v>
      </c>
      <c r="T213" s="27"/>
      <c r="U213" s="27"/>
      <c r="V213" s="84"/>
      <c r="W213" s="129"/>
      <c r="X213" s="27"/>
      <c r="Y213" s="27"/>
      <c r="Z213" s="88"/>
      <c r="AA213" s="89"/>
      <c r="AB213" s="90"/>
      <c r="AC213" s="90"/>
      <c r="AD213" s="90"/>
      <c r="AE213" s="89"/>
      <c r="AF213" s="90"/>
      <c r="AG213" s="90"/>
      <c r="AH213" s="90"/>
      <c r="AI213" s="90"/>
      <c r="AJ213" s="38"/>
    </row>
    <row r="214" spans="2:80" ht="15" customHeight="1">
      <c r="C214" s="105">
        <f t="shared" si="125"/>
        <v>6148.865438779093</v>
      </c>
      <c r="D214" s="56" t="s">
        <v>160</v>
      </c>
      <c r="E214" s="40" t="s">
        <v>112</v>
      </c>
      <c r="F214" s="115"/>
      <c r="G214" s="11">
        <f>SUM(G208:G212)-G213</f>
        <v>250</v>
      </c>
      <c r="H214" s="11">
        <f t="shared" ref="H214:S214" si="130">SUM(H208:H212)-H213</f>
        <v>250</v>
      </c>
      <c r="I214" s="11">
        <f t="shared" si="130"/>
        <v>469.04499999999996</v>
      </c>
      <c r="J214" s="11">
        <f t="shared" si="130"/>
        <v>697.72930599999995</v>
      </c>
      <c r="K214" s="11">
        <f t="shared" si="130"/>
        <v>1264.4070074799999</v>
      </c>
      <c r="L214" s="11">
        <f t="shared" si="130"/>
        <v>840.245450592</v>
      </c>
      <c r="M214" s="11">
        <f t="shared" si="130"/>
        <v>778.49542097583458</v>
      </c>
      <c r="N214" s="11">
        <f t="shared" si="130"/>
        <v>552.35076693569977</v>
      </c>
      <c r="O214" s="11">
        <f t="shared" si="130"/>
        <v>450.9700622541792</v>
      </c>
      <c r="P214" s="11">
        <f t="shared" si="130"/>
        <v>368.478159323932</v>
      </c>
      <c r="Q214" s="11">
        <f t="shared" si="130"/>
        <v>227.14426521744721</v>
      </c>
      <c r="R214" s="11">
        <f t="shared" si="130"/>
        <v>-8.5265128291212022E-14</v>
      </c>
      <c r="S214" s="11">
        <f t="shared" si="130"/>
        <v>0</v>
      </c>
      <c r="T214" s="27"/>
      <c r="U214" s="27"/>
      <c r="V214" s="134"/>
      <c r="W214" s="100"/>
      <c r="X214" s="100"/>
      <c r="Y214" s="27"/>
      <c r="Z214" s="88"/>
      <c r="AA214" s="89"/>
      <c r="AB214" s="90"/>
      <c r="AC214" s="90"/>
      <c r="AD214" s="90"/>
      <c r="AE214" s="89"/>
      <c r="AF214" s="90"/>
      <c r="AG214" s="90"/>
      <c r="AH214" s="90"/>
      <c r="AI214" s="90"/>
      <c r="AJ214" s="91"/>
      <c r="AK214" s="27"/>
      <c r="AL214" s="27"/>
      <c r="AM214" s="27"/>
      <c r="AN214" s="27"/>
      <c r="AO214" s="27"/>
      <c r="AP214" s="27"/>
      <c r="AQ214" s="27"/>
      <c r="AR214" s="27"/>
      <c r="AS214" s="27"/>
      <c r="AT214" s="27"/>
      <c r="AU214" s="27"/>
      <c r="AV214" s="27"/>
      <c r="AW214" s="27"/>
      <c r="AX214" s="27"/>
      <c r="AY214" s="27"/>
      <c r="AZ214" s="27"/>
      <c r="BA214" s="27"/>
      <c r="BB214" s="27"/>
      <c r="BC214" s="27"/>
      <c r="BD214" s="27"/>
      <c r="BE214" s="27"/>
      <c r="BF214" s="27"/>
      <c r="BG214" s="27"/>
      <c r="BH214" s="27"/>
      <c r="BI214" s="27"/>
      <c r="BJ214" s="27"/>
      <c r="BK214" s="27"/>
      <c r="BL214" s="27"/>
      <c r="BM214" s="27"/>
      <c r="BN214" s="27"/>
      <c r="BO214" s="27"/>
      <c r="BP214" s="27"/>
      <c r="BQ214" s="27"/>
      <c r="BR214" s="27"/>
      <c r="BS214" s="27"/>
      <c r="BT214" s="27"/>
      <c r="BU214" s="27"/>
      <c r="BV214" s="27"/>
      <c r="BW214" s="27"/>
      <c r="BX214" s="27"/>
      <c r="BY214" s="27"/>
      <c r="BZ214" s="27"/>
      <c r="CA214" s="27"/>
      <c r="CB214" s="27"/>
    </row>
    <row r="215" spans="2:80" ht="15" customHeight="1">
      <c r="C215" s="105">
        <f t="shared" si="125"/>
        <v>5086.0391711790935</v>
      </c>
      <c r="D215" s="369" t="s">
        <v>161</v>
      </c>
      <c r="E215" s="40" t="s">
        <v>112</v>
      </c>
      <c r="F215" s="115"/>
      <c r="G215" s="11">
        <f>MIN(G214,G185)</f>
        <v>0</v>
      </c>
      <c r="H215" s="11">
        <f t="shared" ref="H215:S215" si="131">MIN(H214,H185)</f>
        <v>0</v>
      </c>
      <c r="I215" s="11">
        <f t="shared" si="131"/>
        <v>170.12620800000002</v>
      </c>
      <c r="J215" s="11">
        <f t="shared" si="131"/>
        <v>433.82183040000001</v>
      </c>
      <c r="K215" s="11">
        <f t="shared" si="131"/>
        <v>1264.4070074799999</v>
      </c>
      <c r="L215" s="11">
        <f t="shared" si="131"/>
        <v>840.245450592</v>
      </c>
      <c r="M215" s="11">
        <f t="shared" si="131"/>
        <v>778.49542097583458</v>
      </c>
      <c r="N215" s="11">
        <f t="shared" si="131"/>
        <v>552.35076693569977</v>
      </c>
      <c r="O215" s="11">
        <f t="shared" si="131"/>
        <v>450.9700622541792</v>
      </c>
      <c r="P215" s="11">
        <f t="shared" si="131"/>
        <v>368.478159323932</v>
      </c>
      <c r="Q215" s="11">
        <f t="shared" si="131"/>
        <v>227.14426521744721</v>
      </c>
      <c r="R215" s="11">
        <f t="shared" si="131"/>
        <v>-8.5265128291212022E-14</v>
      </c>
      <c r="S215" s="11">
        <f t="shared" si="131"/>
        <v>0</v>
      </c>
      <c r="T215" s="27"/>
      <c r="U215" s="27"/>
      <c r="V215" s="134"/>
      <c r="W215" s="100"/>
      <c r="X215" s="100"/>
      <c r="Y215" s="27"/>
      <c r="Z215" s="88"/>
      <c r="AA215" s="89"/>
      <c r="AB215" s="90"/>
      <c r="AC215" s="90"/>
      <c r="AD215" s="90"/>
      <c r="AE215" s="89"/>
      <c r="AF215" s="90"/>
      <c r="AG215" s="90"/>
      <c r="AH215" s="90"/>
      <c r="AI215" s="90"/>
      <c r="AJ215" s="91"/>
      <c r="AK215" s="27"/>
      <c r="AL215" s="27"/>
      <c r="AM215" s="27"/>
      <c r="AN215" s="27"/>
      <c r="AO215" s="27"/>
      <c r="AP215" s="27"/>
      <c r="AQ215" s="27"/>
      <c r="AR215" s="27"/>
      <c r="AS215" s="27"/>
      <c r="AT215" s="27"/>
      <c r="AU215" s="27"/>
      <c r="AV215" s="27"/>
      <c r="AW215" s="27"/>
      <c r="AX215" s="27"/>
      <c r="AY215" s="27"/>
      <c r="AZ215" s="27"/>
      <c r="BA215" s="27"/>
      <c r="BB215" s="27"/>
      <c r="BC215" s="27"/>
      <c r="BD215" s="27"/>
      <c r="BE215" s="27"/>
      <c r="BF215" s="27"/>
      <c r="BG215" s="27"/>
      <c r="BH215" s="27"/>
      <c r="BI215" s="27"/>
      <c r="BJ215" s="27"/>
      <c r="BK215" s="27"/>
      <c r="BL215" s="27"/>
      <c r="BM215" s="27"/>
      <c r="BN215" s="27"/>
      <c r="BO215" s="27"/>
      <c r="BP215" s="27"/>
      <c r="BQ215" s="27"/>
      <c r="BR215" s="27"/>
      <c r="BS215" s="27"/>
      <c r="BT215" s="27"/>
      <c r="BU215" s="27"/>
      <c r="BV215" s="27"/>
      <c r="BW215" s="27"/>
      <c r="BX215" s="27"/>
      <c r="BY215" s="27"/>
      <c r="BZ215" s="27"/>
      <c r="CA215" s="27"/>
      <c r="CB215" s="27"/>
    </row>
    <row r="216" spans="2:80" ht="15" customHeight="1">
      <c r="D216" s="84" t="s">
        <v>131</v>
      </c>
      <c r="E216" s="40" t="s">
        <v>112</v>
      </c>
      <c r="F216" s="115"/>
      <c r="G216" s="11">
        <f>G214-G215</f>
        <v>250</v>
      </c>
      <c r="H216" s="11">
        <f>H214-H215</f>
        <v>250</v>
      </c>
      <c r="I216" s="11">
        <f>I214-I215</f>
        <v>298.91879199999994</v>
      </c>
      <c r="J216" s="11">
        <f t="shared" ref="J216:S216" si="132">J214-J215</f>
        <v>263.90747559999994</v>
      </c>
      <c r="K216" s="11">
        <f t="shared" si="132"/>
        <v>0</v>
      </c>
      <c r="L216" s="11">
        <f t="shared" si="132"/>
        <v>0</v>
      </c>
      <c r="M216" s="11">
        <f t="shared" si="132"/>
        <v>0</v>
      </c>
      <c r="N216" s="11">
        <f t="shared" si="132"/>
        <v>0</v>
      </c>
      <c r="O216" s="11">
        <f t="shared" si="132"/>
        <v>0</v>
      </c>
      <c r="P216" s="11">
        <f t="shared" si="132"/>
        <v>0</v>
      </c>
      <c r="Q216" s="11">
        <f t="shared" si="132"/>
        <v>0</v>
      </c>
      <c r="R216" s="11">
        <f t="shared" si="132"/>
        <v>0</v>
      </c>
      <c r="S216" s="11">
        <f t="shared" si="132"/>
        <v>0</v>
      </c>
      <c r="T216" s="27"/>
      <c r="U216" s="27"/>
      <c r="V216" s="134"/>
      <c r="W216" s="100"/>
      <c r="X216" s="100"/>
      <c r="Y216" s="27"/>
      <c r="Z216" s="88"/>
      <c r="AA216" s="89"/>
      <c r="AB216" s="90"/>
      <c r="AC216" s="90"/>
      <c r="AD216" s="90"/>
      <c r="AE216" s="89"/>
      <c r="AF216" s="90"/>
      <c r="AG216" s="90"/>
      <c r="AH216" s="90"/>
      <c r="AI216" s="90"/>
      <c r="AJ216" s="91"/>
      <c r="AK216" s="27"/>
      <c r="AL216" s="27"/>
      <c r="AM216" s="27"/>
      <c r="AN216" s="27"/>
      <c r="AO216" s="27"/>
      <c r="AP216" s="27"/>
      <c r="AQ216" s="27"/>
      <c r="AR216" s="27"/>
      <c r="AS216" s="27"/>
      <c r="AT216" s="27"/>
      <c r="AU216" s="27"/>
      <c r="AV216" s="27"/>
      <c r="AW216" s="27"/>
      <c r="AX216" s="27"/>
      <c r="AY216" s="27"/>
      <c r="AZ216" s="27"/>
      <c r="BA216" s="27"/>
      <c r="BB216" s="27"/>
      <c r="BC216" s="27"/>
      <c r="BD216" s="27"/>
      <c r="BE216" s="27"/>
      <c r="BF216" s="27"/>
      <c r="BG216" s="27"/>
      <c r="BH216" s="27"/>
      <c r="BI216" s="27"/>
      <c r="BJ216" s="27"/>
      <c r="BK216" s="27"/>
      <c r="BL216" s="27"/>
      <c r="BM216" s="27"/>
      <c r="BN216" s="27"/>
      <c r="BO216" s="27"/>
      <c r="BP216" s="27"/>
      <c r="BQ216" s="27"/>
      <c r="BR216" s="27"/>
      <c r="BS216" s="27"/>
      <c r="BT216" s="27"/>
      <c r="BU216" s="27"/>
      <c r="BV216" s="27"/>
      <c r="BW216" s="27"/>
      <c r="BX216" s="27"/>
      <c r="BY216" s="27"/>
      <c r="BZ216" s="27"/>
      <c r="CA216" s="27"/>
      <c r="CB216" s="27"/>
    </row>
    <row r="217" spans="2:80" ht="15" customHeight="1">
      <c r="H217" s="15"/>
      <c r="J217" s="14"/>
      <c r="V217" s="134"/>
      <c r="W217" s="100"/>
      <c r="X217" s="100"/>
      <c r="Y217" s="27"/>
      <c r="Z217" s="88"/>
      <c r="AA217" s="89"/>
      <c r="AB217" s="90"/>
      <c r="AC217" s="90"/>
      <c r="AD217" s="90"/>
      <c r="AE217" s="89"/>
      <c r="AF217" s="90"/>
      <c r="AG217" s="90"/>
      <c r="AH217" s="90"/>
      <c r="AI217" s="90"/>
      <c r="AJ217" s="91"/>
      <c r="AK217" s="27"/>
      <c r="AL217" s="27"/>
      <c r="AM217" s="27"/>
      <c r="AN217" s="27"/>
      <c r="AO217" s="27"/>
      <c r="AP217" s="27"/>
      <c r="AQ217" s="27"/>
      <c r="AR217" s="27"/>
      <c r="AS217" s="27"/>
      <c r="AT217" s="27"/>
      <c r="AU217" s="27"/>
      <c r="AV217" s="27"/>
      <c r="AW217" s="27"/>
      <c r="AX217" s="27"/>
      <c r="AY217" s="27"/>
      <c r="AZ217" s="27"/>
      <c r="BA217" s="27"/>
      <c r="BB217" s="27"/>
      <c r="BC217" s="27"/>
      <c r="BD217" s="27"/>
      <c r="BE217" s="27"/>
      <c r="BF217" s="27"/>
      <c r="BG217" s="27"/>
      <c r="BH217" s="27"/>
      <c r="BI217" s="27"/>
      <c r="BJ217" s="27"/>
      <c r="BK217" s="27"/>
      <c r="BL217" s="27"/>
      <c r="BM217" s="27"/>
      <c r="BN217" s="27"/>
      <c r="BO217" s="27"/>
      <c r="BP217" s="27"/>
      <c r="BQ217" s="27"/>
      <c r="BR217" s="27"/>
      <c r="BS217" s="27"/>
      <c r="BT217" s="27"/>
      <c r="BU217" s="27"/>
      <c r="BV217" s="27"/>
      <c r="BW217" s="27"/>
      <c r="BX217" s="27"/>
      <c r="BY217" s="27"/>
      <c r="BZ217" s="27"/>
      <c r="CA217" s="27"/>
      <c r="CB217" s="27"/>
    </row>
    <row r="218" spans="2:80" ht="15" customHeight="1">
      <c r="C218" s="105">
        <f t="shared" ref="C218:C219" si="133">SUM(G218:S218)</f>
        <v>5086.0391711790935</v>
      </c>
      <c r="D218" s="15" t="s">
        <v>161</v>
      </c>
      <c r="E218" s="40" t="s">
        <v>112</v>
      </c>
      <c r="G218" s="48">
        <f>G215</f>
        <v>0</v>
      </c>
      <c r="H218" s="48">
        <f t="shared" ref="H218:S218" si="134">H215</f>
        <v>0</v>
      </c>
      <c r="I218" s="48">
        <f t="shared" si="134"/>
        <v>170.12620800000002</v>
      </c>
      <c r="J218" s="48">
        <f t="shared" si="134"/>
        <v>433.82183040000001</v>
      </c>
      <c r="K218" s="48">
        <f t="shared" si="134"/>
        <v>1264.4070074799999</v>
      </c>
      <c r="L218" s="48">
        <f t="shared" si="134"/>
        <v>840.245450592</v>
      </c>
      <c r="M218" s="48">
        <f t="shared" si="134"/>
        <v>778.49542097583458</v>
      </c>
      <c r="N218" s="48">
        <f t="shared" si="134"/>
        <v>552.35076693569977</v>
      </c>
      <c r="O218" s="48">
        <f t="shared" si="134"/>
        <v>450.9700622541792</v>
      </c>
      <c r="P218" s="48">
        <f t="shared" si="134"/>
        <v>368.478159323932</v>
      </c>
      <c r="Q218" s="48">
        <f t="shared" si="134"/>
        <v>227.14426521744721</v>
      </c>
      <c r="R218" s="11">
        <f t="shared" si="134"/>
        <v>-8.5265128291212022E-14</v>
      </c>
      <c r="S218" s="48">
        <f t="shared" si="134"/>
        <v>0</v>
      </c>
      <c r="V218" s="134"/>
      <c r="W218" s="100"/>
      <c r="X218" s="100"/>
      <c r="Y218" s="27"/>
      <c r="Z218" s="88"/>
      <c r="AA218" s="89"/>
      <c r="AB218" s="90"/>
      <c r="AC218" s="90"/>
      <c r="AD218" s="90"/>
      <c r="AE218" s="89"/>
      <c r="AF218" s="90"/>
      <c r="AG218" s="90"/>
      <c r="AH218" s="90"/>
      <c r="AI218" s="90"/>
      <c r="AJ218" s="91"/>
      <c r="AK218" s="27"/>
      <c r="AL218" s="27"/>
      <c r="AM218" s="27"/>
      <c r="AN218" s="27"/>
      <c r="AO218" s="27"/>
      <c r="AP218" s="27"/>
      <c r="AQ218" s="27"/>
      <c r="AR218" s="27"/>
      <c r="AS218" s="27"/>
      <c r="AT218" s="27"/>
      <c r="AU218" s="27"/>
      <c r="AV218" s="27"/>
      <c r="AW218" s="27"/>
      <c r="AX218" s="27"/>
      <c r="AY218" s="27"/>
      <c r="AZ218" s="27"/>
      <c r="BA218" s="27"/>
      <c r="BB218" s="27"/>
      <c r="BC218" s="27"/>
      <c r="BD218" s="27"/>
      <c r="BE218" s="27"/>
      <c r="BF218" s="27"/>
      <c r="BG218" s="27"/>
      <c r="BH218" s="27"/>
      <c r="BI218" s="27"/>
      <c r="BJ218" s="27"/>
      <c r="BK218" s="27"/>
      <c r="BL218" s="27"/>
      <c r="BM218" s="27"/>
      <c r="BN218" s="27"/>
      <c r="BO218" s="27"/>
      <c r="BP218" s="27"/>
      <c r="BQ218" s="27"/>
      <c r="BR218" s="27"/>
      <c r="BS218" s="27"/>
      <c r="BT218" s="27"/>
      <c r="BU218" s="27"/>
      <c r="BV218" s="27"/>
      <c r="BW218" s="27"/>
      <c r="BX218" s="27"/>
      <c r="BY218" s="27"/>
      <c r="BZ218" s="27"/>
      <c r="CA218" s="27"/>
      <c r="CB218" s="27"/>
    </row>
    <row r="219" spans="2:80" ht="15" customHeight="1">
      <c r="C219" s="105">
        <f t="shared" si="133"/>
        <v>4577.4352540611835</v>
      </c>
      <c r="D219" s="132" t="s">
        <v>353</v>
      </c>
      <c r="E219" s="40" t="s">
        <v>112</v>
      </c>
      <c r="G219" s="48">
        <f>G218*G$161</f>
        <v>0</v>
      </c>
      <c r="H219" s="48">
        <f t="shared" ref="H219:S219" si="135">H218*H$161</f>
        <v>0</v>
      </c>
      <c r="I219" s="48">
        <f t="shared" si="135"/>
        <v>153.11358720000001</v>
      </c>
      <c r="J219" s="48">
        <f t="shared" si="135"/>
        <v>390.43964736000004</v>
      </c>
      <c r="K219" s="48">
        <f t="shared" si="135"/>
        <v>1137.966306732</v>
      </c>
      <c r="L219" s="48">
        <f t="shared" si="135"/>
        <v>756.22090553279997</v>
      </c>
      <c r="M219" s="48">
        <f t="shared" si="135"/>
        <v>700.6458788782511</v>
      </c>
      <c r="N219" s="48">
        <f t="shared" si="135"/>
        <v>497.1156902421298</v>
      </c>
      <c r="O219" s="48">
        <f t="shared" si="135"/>
        <v>405.87305602876131</v>
      </c>
      <c r="P219" s="48">
        <f t="shared" si="135"/>
        <v>331.63034339153882</v>
      </c>
      <c r="Q219" s="48">
        <f t="shared" si="135"/>
        <v>204.4298386957025</v>
      </c>
      <c r="R219" s="11">
        <f t="shared" si="135"/>
        <v>-7.6738615462090825E-14</v>
      </c>
      <c r="S219" s="48">
        <f t="shared" si="135"/>
        <v>0</v>
      </c>
      <c r="V219" s="134"/>
      <c r="W219" s="100"/>
      <c r="X219" s="100"/>
      <c r="Y219" s="27"/>
      <c r="Z219" s="88"/>
      <c r="AA219" s="89"/>
      <c r="AB219" s="90"/>
      <c r="AC219" s="90"/>
      <c r="AD219" s="90"/>
      <c r="AE219" s="89"/>
      <c r="AF219" s="90"/>
      <c r="AG219" s="90"/>
      <c r="AH219" s="90"/>
      <c r="AI219" s="90"/>
      <c r="AJ219" s="91"/>
      <c r="AK219" s="27"/>
      <c r="AL219" s="27"/>
      <c r="AM219" s="27"/>
      <c r="AN219" s="27"/>
      <c r="AO219" s="27"/>
      <c r="AP219" s="27"/>
      <c r="AQ219" s="27"/>
      <c r="AR219" s="27"/>
      <c r="AS219" s="27"/>
      <c r="AT219" s="27"/>
      <c r="AU219" s="27"/>
      <c r="AV219" s="27"/>
      <c r="AW219" s="27"/>
      <c r="AX219" s="27"/>
      <c r="AY219" s="27"/>
      <c r="AZ219" s="27"/>
      <c r="BA219" s="27"/>
      <c r="BB219" s="27"/>
      <c r="BC219" s="27"/>
      <c r="BD219" s="27"/>
      <c r="BE219" s="27"/>
      <c r="BF219" s="27"/>
      <c r="BG219" s="27"/>
      <c r="BH219" s="27"/>
      <c r="BI219" s="27"/>
      <c r="BJ219" s="27"/>
      <c r="BK219" s="27"/>
      <c r="BL219" s="27"/>
      <c r="BM219" s="27"/>
      <c r="BN219" s="27"/>
      <c r="BO219" s="27"/>
      <c r="BP219" s="27"/>
      <c r="BQ219" s="27"/>
      <c r="BR219" s="27"/>
      <c r="BS219" s="27"/>
      <c r="BT219" s="27"/>
      <c r="BU219" s="27"/>
      <c r="BV219" s="27"/>
      <c r="BW219" s="27"/>
      <c r="BX219" s="27"/>
      <c r="BY219" s="27"/>
      <c r="BZ219" s="27"/>
      <c r="CA219" s="27"/>
      <c r="CB219" s="27"/>
    </row>
    <row r="220" spans="2:80" ht="15" customHeight="1">
      <c r="C220" s="105">
        <f>SUM(G220:S220)</f>
        <v>508.6039171179093</v>
      </c>
      <c r="D220" s="132" t="s">
        <v>384</v>
      </c>
      <c r="E220" s="40" t="s">
        <v>112</v>
      </c>
      <c r="G220" s="48">
        <f>G218*G$160</f>
        <v>0</v>
      </c>
      <c r="H220" s="48">
        <f t="shared" ref="H220:S220" si="136">H218*H$160</f>
        <v>0</v>
      </c>
      <c r="I220" s="48">
        <f t="shared" si="136"/>
        <v>17.012620800000004</v>
      </c>
      <c r="J220" s="48">
        <f t="shared" si="136"/>
        <v>43.382183040000001</v>
      </c>
      <c r="K220" s="48">
        <f t="shared" si="136"/>
        <v>126.440700748</v>
      </c>
      <c r="L220" s="48">
        <f t="shared" si="136"/>
        <v>84.024545059200008</v>
      </c>
      <c r="M220" s="48">
        <f t="shared" si="136"/>
        <v>77.849542097583466</v>
      </c>
      <c r="N220" s="48">
        <f t="shared" si="136"/>
        <v>55.23507669356998</v>
      </c>
      <c r="O220" s="48">
        <f t="shared" si="136"/>
        <v>45.097006225417921</v>
      </c>
      <c r="P220" s="48">
        <f t="shared" si="136"/>
        <v>36.847815932393203</v>
      </c>
      <c r="Q220" s="48">
        <f t="shared" si="136"/>
        <v>22.714426521744723</v>
      </c>
      <c r="R220" s="11">
        <f t="shared" si="136"/>
        <v>-8.5265128291212035E-15</v>
      </c>
      <c r="S220" s="48">
        <f t="shared" si="136"/>
        <v>0</v>
      </c>
      <c r="V220" s="134"/>
      <c r="W220" s="100"/>
      <c r="X220" s="100"/>
      <c r="Y220" s="27"/>
      <c r="Z220" s="88"/>
      <c r="AA220" s="89"/>
      <c r="AB220" s="90"/>
      <c r="AC220" s="90"/>
      <c r="AD220" s="90"/>
      <c r="AE220" s="89"/>
      <c r="AF220" s="90"/>
      <c r="AG220" s="90"/>
      <c r="AH220" s="90"/>
      <c r="AI220" s="90"/>
      <c r="AJ220" s="91"/>
      <c r="AK220" s="27"/>
      <c r="AL220" s="27"/>
      <c r="AM220" s="27"/>
      <c r="AN220" s="27"/>
      <c r="AO220" s="27"/>
      <c r="AP220" s="27"/>
      <c r="AQ220" s="27"/>
      <c r="AR220" s="27"/>
      <c r="AS220" s="27"/>
      <c r="AT220" s="27"/>
      <c r="AU220" s="27"/>
      <c r="AV220" s="27"/>
      <c r="AW220" s="27"/>
      <c r="AX220" s="27"/>
      <c r="AY220" s="27"/>
      <c r="AZ220" s="27"/>
      <c r="BA220" s="27"/>
      <c r="BB220" s="27"/>
      <c r="BC220" s="27"/>
      <c r="BD220" s="27"/>
      <c r="BE220" s="27"/>
      <c r="BF220" s="27"/>
      <c r="BG220" s="27"/>
      <c r="BH220" s="27"/>
      <c r="BI220" s="27"/>
      <c r="BJ220" s="27"/>
      <c r="BK220" s="27"/>
      <c r="BL220" s="27"/>
      <c r="BM220" s="27"/>
      <c r="BN220" s="27"/>
      <c r="BO220" s="27"/>
      <c r="BP220" s="27"/>
      <c r="BQ220" s="27"/>
      <c r="BR220" s="27"/>
      <c r="BS220" s="27"/>
      <c r="BT220" s="27"/>
      <c r="BU220" s="27"/>
      <c r="BV220" s="27"/>
      <c r="BW220" s="27"/>
      <c r="BX220" s="27"/>
      <c r="BY220" s="27"/>
      <c r="BZ220" s="27"/>
      <c r="CA220" s="27"/>
      <c r="CB220" s="27"/>
    </row>
    <row r="221" spans="2:80" ht="15" customHeight="1">
      <c r="E221" s="40"/>
      <c r="H221" s="15"/>
      <c r="J221" s="14"/>
      <c r="R221" s="11"/>
      <c r="V221" s="134"/>
      <c r="W221" s="100"/>
      <c r="X221" s="100"/>
      <c r="Y221" s="27"/>
      <c r="Z221" s="88"/>
      <c r="AA221" s="89"/>
      <c r="AB221" s="90"/>
      <c r="AC221" s="90"/>
      <c r="AD221" s="90"/>
      <c r="AE221" s="89"/>
      <c r="AF221" s="90"/>
      <c r="AG221" s="90"/>
      <c r="AH221" s="90"/>
      <c r="AI221" s="90"/>
      <c r="AJ221" s="91"/>
      <c r="AK221" s="27"/>
      <c r="AL221" s="27"/>
      <c r="AM221" s="27"/>
      <c r="AN221" s="27"/>
      <c r="AO221" s="27"/>
      <c r="AP221" s="27"/>
      <c r="AQ221" s="27"/>
      <c r="AR221" s="27"/>
      <c r="AS221" s="27"/>
      <c r="AT221" s="27"/>
      <c r="AU221" s="27"/>
      <c r="AV221" s="27"/>
      <c r="AW221" s="27"/>
      <c r="AX221" s="27"/>
      <c r="AY221" s="27"/>
      <c r="AZ221" s="27"/>
      <c r="BA221" s="27"/>
      <c r="BB221" s="27"/>
      <c r="BC221" s="27"/>
      <c r="BD221" s="27"/>
      <c r="BE221" s="27"/>
      <c r="BF221" s="27"/>
      <c r="BG221" s="27"/>
      <c r="BH221" s="27"/>
      <c r="BI221" s="27"/>
      <c r="BJ221" s="27"/>
      <c r="BK221" s="27"/>
      <c r="BL221" s="27"/>
      <c r="BM221" s="27"/>
      <c r="BN221" s="27"/>
      <c r="BO221" s="27"/>
      <c r="BP221" s="27"/>
      <c r="BQ221" s="27"/>
      <c r="BR221" s="27"/>
      <c r="BS221" s="27"/>
      <c r="BT221" s="27"/>
      <c r="BU221" s="27"/>
      <c r="BV221" s="27"/>
      <c r="BW221" s="27"/>
      <c r="BX221" s="27"/>
      <c r="BY221" s="27"/>
      <c r="BZ221" s="27"/>
      <c r="CA221" s="27"/>
      <c r="CB221" s="27"/>
    </row>
    <row r="222" spans="2:80" ht="15" customHeight="1">
      <c r="B222" s="92"/>
      <c r="C222" s="105">
        <f>SUM(G222:S222)</f>
        <v>2514.7212323217545</v>
      </c>
      <c r="D222" s="84" t="s">
        <v>162</v>
      </c>
      <c r="E222" s="40" t="s">
        <v>112</v>
      </c>
      <c r="F222" s="27"/>
      <c r="G222" s="48">
        <f>G184-G218</f>
        <v>0</v>
      </c>
      <c r="H222" s="48">
        <f t="shared" ref="H222:S222" si="137">H184-H218</f>
        <v>0</v>
      </c>
      <c r="I222" s="48">
        <f t="shared" si="137"/>
        <v>42.531551999999976</v>
      </c>
      <c r="J222" s="48">
        <f t="shared" si="137"/>
        <v>108.45545759999999</v>
      </c>
      <c r="K222" s="48">
        <f t="shared" si="137"/>
        <v>394.96149379999997</v>
      </c>
      <c r="L222" s="48">
        <f t="shared" si="137"/>
        <v>513.79924645248002</v>
      </c>
      <c r="M222" s="48">
        <f t="shared" si="137"/>
        <v>326.40505181246112</v>
      </c>
      <c r="N222" s="48">
        <f t="shared" si="137"/>
        <v>349.24801885954957</v>
      </c>
      <c r="O222" s="48">
        <f t="shared" si="137"/>
        <v>284.73454695474425</v>
      </c>
      <c r="P222" s="48">
        <f t="shared" si="137"/>
        <v>231.85680179054975</v>
      </c>
      <c r="Q222" s="48">
        <f t="shared" si="137"/>
        <v>262.72906305197</v>
      </c>
      <c r="R222" s="48">
        <f t="shared" si="137"/>
        <v>8.5265128291212022E-14</v>
      </c>
      <c r="S222" s="48">
        <f t="shared" si="137"/>
        <v>0</v>
      </c>
      <c r="T222" s="27"/>
      <c r="U222" s="27"/>
      <c r="V222" s="134"/>
      <c r="W222" s="100"/>
      <c r="X222" s="100"/>
      <c r="Y222" s="27"/>
      <c r="Z222" s="88"/>
      <c r="AA222" s="89"/>
      <c r="AB222" s="90"/>
      <c r="AC222" s="90"/>
      <c r="AD222" s="90"/>
      <c r="AE222" s="89"/>
      <c r="AF222" s="90"/>
      <c r="AG222" s="90"/>
      <c r="AH222" s="90"/>
      <c r="AI222" s="90"/>
      <c r="AJ222" s="91"/>
      <c r="AK222" s="27"/>
      <c r="AL222" s="27"/>
      <c r="AM222" s="27"/>
      <c r="AN222" s="27"/>
      <c r="AO222" s="27"/>
      <c r="AP222" s="27"/>
      <c r="AQ222" s="27"/>
      <c r="AR222" s="27"/>
      <c r="AS222" s="27"/>
      <c r="AT222" s="27"/>
      <c r="AU222" s="27"/>
      <c r="AV222" s="27"/>
      <c r="AW222" s="27"/>
      <c r="AX222" s="27"/>
      <c r="AY222" s="27"/>
      <c r="AZ222" s="27"/>
      <c r="BA222" s="27"/>
      <c r="BB222" s="27"/>
      <c r="BC222" s="27"/>
      <c r="BD222" s="27"/>
      <c r="BE222" s="27"/>
      <c r="BF222" s="27"/>
      <c r="BG222" s="27"/>
      <c r="BH222" s="27"/>
      <c r="BI222" s="27"/>
      <c r="BJ222" s="27"/>
      <c r="BK222" s="27"/>
      <c r="BL222" s="27"/>
      <c r="BM222" s="27"/>
      <c r="BN222" s="27"/>
      <c r="BO222" s="27"/>
      <c r="BP222" s="27"/>
      <c r="BQ222" s="27"/>
      <c r="BR222" s="27"/>
      <c r="BS222" s="27"/>
      <c r="BT222" s="27"/>
      <c r="BU222" s="27"/>
      <c r="BV222" s="27"/>
      <c r="BW222" s="27"/>
      <c r="BX222" s="27"/>
      <c r="BY222" s="27"/>
      <c r="BZ222" s="27"/>
      <c r="CA222" s="27"/>
      <c r="CB222" s="27"/>
    </row>
    <row r="223" spans="2:80" ht="15" customHeight="1">
      <c r="B223" s="92"/>
      <c r="D223" s="84"/>
      <c r="E223" s="40"/>
      <c r="F223" s="27"/>
      <c r="G223" s="27"/>
      <c r="H223" s="27"/>
      <c r="I223" s="27"/>
      <c r="J223" s="27"/>
      <c r="K223" s="27"/>
      <c r="L223" s="27"/>
      <c r="M223" s="27"/>
      <c r="N223" s="27"/>
      <c r="O223" s="27"/>
      <c r="P223" s="27"/>
      <c r="Q223" s="27"/>
      <c r="R223" s="27"/>
      <c r="S223" s="27"/>
      <c r="T223" s="27"/>
      <c r="U223" s="27"/>
      <c r="V223" s="134"/>
      <c r="W223" s="100"/>
      <c r="X223" s="100"/>
      <c r="Y223" s="27"/>
      <c r="Z223" s="88"/>
      <c r="AA223" s="89"/>
      <c r="AB223" s="90"/>
      <c r="AC223" s="90"/>
      <c r="AD223" s="90"/>
      <c r="AE223" s="89"/>
      <c r="AF223" s="90"/>
      <c r="AG223" s="90"/>
      <c r="AH223" s="90"/>
      <c r="AI223" s="90"/>
      <c r="AJ223" s="91"/>
      <c r="AK223" s="27"/>
      <c r="AL223" s="27"/>
      <c r="AM223" s="27"/>
      <c r="AN223" s="27"/>
      <c r="AO223" s="27"/>
      <c r="AP223" s="27"/>
      <c r="AQ223" s="27"/>
      <c r="AR223" s="27"/>
      <c r="AS223" s="27"/>
      <c r="AT223" s="27"/>
      <c r="AU223" s="27"/>
      <c r="AV223" s="27"/>
      <c r="AW223" s="27"/>
      <c r="AX223" s="27"/>
      <c r="AY223" s="27"/>
      <c r="AZ223" s="27"/>
      <c r="BA223" s="27"/>
      <c r="BB223" s="27"/>
      <c r="BC223" s="27"/>
      <c r="BD223" s="27"/>
      <c r="BE223" s="27"/>
      <c r="BF223" s="27"/>
      <c r="BG223" s="27"/>
      <c r="BH223" s="27"/>
      <c r="BI223" s="27"/>
      <c r="BJ223" s="27"/>
      <c r="BK223" s="27"/>
      <c r="BL223" s="27"/>
      <c r="BM223" s="27"/>
      <c r="BN223" s="27"/>
      <c r="BO223" s="27"/>
      <c r="BP223" s="27"/>
      <c r="BQ223" s="27"/>
      <c r="BR223" s="27"/>
      <c r="BS223" s="27"/>
      <c r="BT223" s="27"/>
      <c r="BU223" s="27"/>
      <c r="BV223" s="27"/>
      <c r="BW223" s="27"/>
      <c r="BX223" s="27"/>
      <c r="BY223" s="27"/>
      <c r="BZ223" s="27"/>
      <c r="CA223" s="27"/>
      <c r="CB223" s="27"/>
    </row>
    <row r="224" spans="2:80" ht="15" customHeight="1">
      <c r="B224" s="92"/>
      <c r="C224" s="22"/>
      <c r="D224" s="135" t="s">
        <v>163</v>
      </c>
      <c r="E224" s="63"/>
      <c r="F224" s="22"/>
      <c r="G224" s="22"/>
      <c r="H224" s="22"/>
      <c r="I224" s="22"/>
      <c r="J224" s="22"/>
      <c r="K224" s="22"/>
      <c r="L224" s="22"/>
      <c r="M224" s="22"/>
      <c r="N224" s="22"/>
      <c r="O224" s="22"/>
      <c r="P224" s="22"/>
      <c r="Q224" s="22"/>
      <c r="R224" s="22"/>
      <c r="S224" s="22"/>
      <c r="T224" s="22"/>
      <c r="U224" s="22"/>
      <c r="V224" s="134"/>
      <c r="W224" s="100"/>
      <c r="X224" s="100"/>
      <c r="Y224" s="27"/>
      <c r="Z224" s="88"/>
      <c r="AA224" s="89"/>
      <c r="AB224" s="90"/>
      <c r="AC224" s="90"/>
      <c r="AD224" s="90"/>
      <c r="AE224" s="89"/>
      <c r="AF224" s="90"/>
      <c r="AG224" s="90"/>
      <c r="AH224" s="90"/>
      <c r="AI224" s="90"/>
      <c r="AJ224" s="91"/>
      <c r="AK224" s="27"/>
      <c r="AL224" s="27"/>
      <c r="AM224" s="27"/>
      <c r="AN224" s="27"/>
      <c r="AO224" s="27"/>
      <c r="AP224" s="27"/>
      <c r="AQ224" s="27"/>
      <c r="AR224" s="27"/>
      <c r="AS224" s="27"/>
      <c r="AT224" s="27"/>
      <c r="AU224" s="27"/>
      <c r="AV224" s="27"/>
      <c r="AW224" s="27"/>
      <c r="AX224" s="27"/>
      <c r="AY224" s="27"/>
      <c r="AZ224" s="27"/>
      <c r="BA224" s="27"/>
      <c r="BB224" s="27"/>
      <c r="BC224" s="27"/>
      <c r="BD224" s="27"/>
      <c r="BE224" s="27"/>
      <c r="BF224" s="27"/>
      <c r="BG224" s="27"/>
      <c r="BH224" s="27"/>
      <c r="BI224" s="27"/>
      <c r="BJ224" s="27"/>
      <c r="BK224" s="27"/>
      <c r="BL224" s="27"/>
      <c r="BM224" s="27"/>
      <c r="BN224" s="27"/>
      <c r="BO224" s="27"/>
      <c r="BP224" s="27"/>
      <c r="BQ224" s="27"/>
      <c r="BR224" s="27"/>
      <c r="BS224" s="27"/>
      <c r="BT224" s="27"/>
      <c r="BU224" s="27"/>
      <c r="BV224" s="27"/>
      <c r="BW224" s="27"/>
      <c r="BX224" s="27"/>
      <c r="BY224" s="27"/>
      <c r="BZ224" s="27"/>
      <c r="CA224" s="27"/>
      <c r="CB224" s="27"/>
    </row>
    <row r="225" spans="1:80" ht="15" customHeight="1">
      <c r="B225" s="92"/>
      <c r="D225" s="136"/>
      <c r="E225" s="40"/>
      <c r="F225" s="27"/>
      <c r="G225" s="27"/>
      <c r="H225" s="27"/>
      <c r="I225" s="27"/>
      <c r="J225" s="27"/>
      <c r="K225" s="27"/>
      <c r="L225" s="27"/>
      <c r="M225" s="27"/>
      <c r="N225" s="27"/>
      <c r="O225" s="27"/>
      <c r="P225" s="27"/>
      <c r="Q225" s="27"/>
      <c r="R225" s="27"/>
      <c r="S225" s="27"/>
      <c r="T225" s="27"/>
      <c r="U225" s="27"/>
      <c r="V225" s="134"/>
      <c r="W225" s="100"/>
      <c r="X225" s="100"/>
      <c r="Y225" s="27"/>
      <c r="Z225" s="88"/>
      <c r="AA225" s="89"/>
      <c r="AB225" s="90"/>
      <c r="AC225" s="90"/>
      <c r="AD225" s="90"/>
      <c r="AE225" s="89"/>
      <c r="AF225" s="90"/>
      <c r="AG225" s="90"/>
      <c r="AH225" s="90"/>
      <c r="AI225" s="90"/>
      <c r="AJ225" s="91"/>
      <c r="AK225" s="27"/>
      <c r="AL225" s="27"/>
      <c r="AM225" s="27"/>
      <c r="AN225" s="27"/>
      <c r="AO225" s="27"/>
      <c r="AP225" s="27"/>
      <c r="AQ225" s="27"/>
      <c r="AR225" s="27"/>
      <c r="AS225" s="27"/>
      <c r="AT225" s="27"/>
      <c r="AU225" s="27"/>
      <c r="AV225" s="27"/>
      <c r="AW225" s="27"/>
      <c r="AX225" s="27"/>
      <c r="AY225" s="27"/>
      <c r="AZ225" s="27"/>
      <c r="BA225" s="27"/>
      <c r="BB225" s="27"/>
      <c r="BC225" s="27"/>
      <c r="BD225" s="27"/>
      <c r="BE225" s="27"/>
      <c r="BF225" s="27"/>
      <c r="BG225" s="27"/>
      <c r="BH225" s="27"/>
      <c r="BI225" s="27"/>
      <c r="BJ225" s="27"/>
      <c r="BK225" s="27"/>
      <c r="BL225" s="27"/>
      <c r="BM225" s="27"/>
      <c r="BN225" s="27"/>
      <c r="BO225" s="27"/>
      <c r="BP225" s="27"/>
      <c r="BQ225" s="27"/>
      <c r="BR225" s="27"/>
      <c r="BS225" s="27"/>
      <c r="BT225" s="27"/>
      <c r="BU225" s="27"/>
      <c r="BV225" s="27"/>
      <c r="BW225" s="27"/>
      <c r="BX225" s="27"/>
      <c r="BY225" s="27"/>
      <c r="BZ225" s="27"/>
      <c r="CA225" s="27"/>
      <c r="CB225" s="27"/>
    </row>
    <row r="226" spans="1:80" ht="15" customHeight="1">
      <c r="B226" s="14"/>
      <c r="D226" s="120" t="s">
        <v>164</v>
      </c>
      <c r="E226" s="15" t="s">
        <v>0</v>
      </c>
      <c r="G226" s="11">
        <v>1</v>
      </c>
      <c r="H226" s="11">
        <f>G226+1</f>
        <v>2</v>
      </c>
      <c r="I226" s="11">
        <f t="shared" ref="I226:S226" si="138">H226+1</f>
        <v>3</v>
      </c>
      <c r="J226" s="11">
        <f t="shared" si="138"/>
        <v>4</v>
      </c>
      <c r="K226" s="11">
        <f t="shared" si="138"/>
        <v>5</v>
      </c>
      <c r="L226" s="11">
        <f t="shared" si="138"/>
        <v>6</v>
      </c>
      <c r="M226" s="11">
        <f t="shared" si="138"/>
        <v>7</v>
      </c>
      <c r="N226" s="11">
        <f t="shared" si="138"/>
        <v>8</v>
      </c>
      <c r="O226" s="11">
        <f t="shared" si="138"/>
        <v>9</v>
      </c>
      <c r="P226" s="11">
        <f t="shared" si="138"/>
        <v>10</v>
      </c>
      <c r="Q226" s="11">
        <f t="shared" si="138"/>
        <v>11</v>
      </c>
      <c r="R226" s="11">
        <f t="shared" si="138"/>
        <v>12</v>
      </c>
      <c r="S226" s="11">
        <f t="shared" si="138"/>
        <v>13</v>
      </c>
      <c r="V226" s="27"/>
      <c r="W226" s="100"/>
      <c r="X226" s="100"/>
      <c r="Y226" s="27"/>
      <c r="Z226" s="88"/>
      <c r="AA226" s="89"/>
      <c r="AB226" s="90"/>
      <c r="AC226" s="90"/>
      <c r="AD226" s="90"/>
      <c r="AE226" s="89"/>
      <c r="AF226" s="90"/>
      <c r="AG226" s="90"/>
      <c r="AH226" s="90"/>
      <c r="AI226" s="90"/>
      <c r="AJ226" s="38"/>
    </row>
    <row r="227" spans="1:80" ht="15" customHeight="1">
      <c r="B227" s="92"/>
      <c r="C227" s="105">
        <f>SUM(G227:S227)</f>
        <v>2514.7212323217545</v>
      </c>
      <c r="D227" s="84" t="s">
        <v>162</v>
      </c>
      <c r="E227" s="40" t="s">
        <v>112</v>
      </c>
      <c r="F227" s="27"/>
      <c r="G227" s="11">
        <f>G222</f>
        <v>0</v>
      </c>
      <c r="H227" s="11">
        <f>H222</f>
        <v>0</v>
      </c>
      <c r="I227" s="11">
        <f t="shared" ref="I227:S227" si="139">I222</f>
        <v>42.531551999999976</v>
      </c>
      <c r="J227" s="11">
        <f t="shared" si="139"/>
        <v>108.45545759999999</v>
      </c>
      <c r="K227" s="11">
        <f t="shared" si="139"/>
        <v>394.96149379999997</v>
      </c>
      <c r="L227" s="11">
        <f t="shared" si="139"/>
        <v>513.79924645248002</v>
      </c>
      <c r="M227" s="11">
        <f t="shared" si="139"/>
        <v>326.40505181246112</v>
      </c>
      <c r="N227" s="11">
        <f t="shared" si="139"/>
        <v>349.24801885954957</v>
      </c>
      <c r="O227" s="11">
        <f t="shared" si="139"/>
        <v>284.73454695474425</v>
      </c>
      <c r="P227" s="11">
        <f t="shared" si="139"/>
        <v>231.85680179054975</v>
      </c>
      <c r="Q227" s="11">
        <f t="shared" si="139"/>
        <v>262.72906305197</v>
      </c>
      <c r="R227" s="11">
        <f t="shared" si="139"/>
        <v>8.5265128291212022E-14</v>
      </c>
      <c r="S227" s="11">
        <f t="shared" si="139"/>
        <v>0</v>
      </c>
      <c r="T227" s="27"/>
      <c r="U227" s="27"/>
      <c r="V227" s="134"/>
      <c r="W227" s="100"/>
      <c r="X227" s="100"/>
      <c r="Y227" s="27"/>
      <c r="Z227" s="88"/>
      <c r="AA227" s="89"/>
      <c r="AB227" s="90"/>
      <c r="AC227" s="90"/>
      <c r="AD227" s="90"/>
      <c r="AE227" s="89"/>
      <c r="AF227" s="90"/>
      <c r="AG227" s="90"/>
      <c r="AH227" s="90"/>
      <c r="AI227" s="90"/>
      <c r="AJ227" s="91"/>
      <c r="AK227" s="27"/>
      <c r="AL227" s="27"/>
      <c r="AM227" s="27"/>
      <c r="AN227" s="27"/>
      <c r="AO227" s="27"/>
      <c r="AP227" s="27"/>
      <c r="AQ227" s="27"/>
      <c r="AR227" s="27"/>
      <c r="AS227" s="27"/>
      <c r="AT227" s="27"/>
      <c r="AU227" s="27"/>
      <c r="AV227" s="27"/>
      <c r="AW227" s="27"/>
      <c r="AX227" s="27"/>
      <c r="AY227" s="27"/>
      <c r="AZ227" s="27"/>
      <c r="BA227" s="27"/>
      <c r="BB227" s="27"/>
      <c r="BC227" s="27"/>
      <c r="BD227" s="27"/>
      <c r="BE227" s="27"/>
      <c r="BF227" s="27"/>
      <c r="BG227" s="27"/>
      <c r="BH227" s="27"/>
      <c r="BI227" s="27"/>
      <c r="BJ227" s="27"/>
      <c r="BK227" s="27"/>
      <c r="BL227" s="27"/>
      <c r="BM227" s="27"/>
      <c r="BN227" s="27"/>
      <c r="BO227" s="27"/>
      <c r="BP227" s="27"/>
      <c r="BQ227" s="27"/>
      <c r="BR227" s="27"/>
      <c r="BS227" s="27"/>
      <c r="BT227" s="27"/>
      <c r="BU227" s="27"/>
      <c r="BV227" s="27"/>
      <c r="BW227" s="27"/>
      <c r="BX227" s="27"/>
      <c r="BY227" s="27"/>
      <c r="BZ227" s="27"/>
      <c r="CA227" s="27"/>
      <c r="CB227" s="27"/>
    </row>
    <row r="228" spans="1:80" ht="15" customHeight="1">
      <c r="B228" s="92"/>
      <c r="C228" s="105"/>
      <c r="D228" s="84"/>
      <c r="E228" s="40"/>
      <c r="F228" s="27"/>
      <c r="G228" s="11"/>
      <c r="H228" s="11"/>
      <c r="I228" s="11"/>
      <c r="J228" s="11"/>
      <c r="K228" s="11"/>
      <c r="L228" s="11"/>
      <c r="M228" s="11"/>
      <c r="N228" s="11"/>
      <c r="O228" s="11"/>
      <c r="P228" s="11"/>
      <c r="Q228" s="11"/>
      <c r="R228" s="11"/>
      <c r="S228" s="11"/>
      <c r="T228" s="27"/>
      <c r="U228" s="27"/>
      <c r="V228" s="134"/>
      <c r="W228" s="100"/>
      <c r="X228" s="100"/>
      <c r="Y228" s="27"/>
      <c r="Z228" s="88"/>
      <c r="AA228" s="89"/>
      <c r="AB228" s="90"/>
      <c r="AC228" s="90"/>
      <c r="AD228" s="90"/>
      <c r="AE228" s="89"/>
      <c r="AF228" s="90"/>
      <c r="AG228" s="90"/>
      <c r="AH228" s="90"/>
      <c r="AI228" s="90"/>
      <c r="AJ228" s="91"/>
      <c r="AK228" s="27"/>
      <c r="AL228" s="27"/>
      <c r="AM228" s="27"/>
      <c r="AN228" s="27"/>
      <c r="AO228" s="27"/>
      <c r="AP228" s="27"/>
      <c r="AQ228" s="27"/>
      <c r="AR228" s="27"/>
      <c r="AS228" s="27"/>
      <c r="AT228" s="27"/>
      <c r="AU228" s="27"/>
      <c r="AV228" s="27"/>
      <c r="AW228" s="27"/>
      <c r="AX228" s="27"/>
      <c r="AY228" s="27"/>
      <c r="AZ228" s="27"/>
      <c r="BA228" s="27"/>
      <c r="BB228" s="27"/>
      <c r="BC228" s="27"/>
      <c r="BD228" s="27"/>
      <c r="BE228" s="27"/>
      <c r="BF228" s="27"/>
      <c r="BG228" s="27"/>
      <c r="BH228" s="27"/>
      <c r="BI228" s="27"/>
      <c r="BJ228" s="27"/>
      <c r="BK228" s="27"/>
      <c r="BL228" s="27"/>
      <c r="BM228" s="27"/>
      <c r="BN228" s="27"/>
      <c r="BO228" s="27"/>
      <c r="BP228" s="27"/>
      <c r="BQ228" s="27"/>
      <c r="BR228" s="27"/>
      <c r="BS228" s="27"/>
      <c r="BT228" s="27"/>
      <c r="BU228" s="27"/>
      <c r="BV228" s="27"/>
      <c r="BW228" s="27"/>
      <c r="BX228" s="27"/>
      <c r="BY228" s="27"/>
      <c r="BZ228" s="27"/>
      <c r="CA228" s="27"/>
      <c r="CB228" s="27"/>
    </row>
    <row r="229" spans="1:80" ht="15" customHeight="1">
      <c r="B229" s="137" t="s">
        <v>165</v>
      </c>
      <c r="C229" s="137" t="s">
        <v>166</v>
      </c>
      <c r="D229" s="84" t="s">
        <v>167</v>
      </c>
      <c r="E229" s="25" t="s">
        <v>166</v>
      </c>
      <c r="F229" s="27"/>
      <c r="G229" s="11">
        <f>G59</f>
        <v>0</v>
      </c>
      <c r="H229" s="11">
        <f t="shared" ref="H229:S229" si="140">H59</f>
        <v>0</v>
      </c>
      <c r="I229" s="11">
        <f t="shared" si="140"/>
        <v>10</v>
      </c>
      <c r="J229" s="11">
        <f t="shared" si="140"/>
        <v>25</v>
      </c>
      <c r="K229" s="11">
        <f t="shared" si="140"/>
        <v>75</v>
      </c>
      <c r="L229" s="11">
        <f t="shared" si="140"/>
        <v>60</v>
      </c>
      <c r="M229" s="11">
        <f t="shared" si="140"/>
        <v>48</v>
      </c>
      <c r="N229" s="11">
        <f t="shared" si="140"/>
        <v>38.400000000000006</v>
      </c>
      <c r="O229" s="11">
        <f t="shared" si="140"/>
        <v>30.720000000000006</v>
      </c>
      <c r="P229" s="11">
        <f t="shared" si="140"/>
        <v>24.576000000000008</v>
      </c>
      <c r="Q229" s="11">
        <f t="shared" si="140"/>
        <v>19.660800000000009</v>
      </c>
      <c r="R229" s="11">
        <f t="shared" si="140"/>
        <v>0</v>
      </c>
      <c r="S229" s="11">
        <f t="shared" si="140"/>
        <v>0</v>
      </c>
      <c r="T229" s="27"/>
      <c r="U229" s="27"/>
      <c r="V229" s="134"/>
      <c r="W229" s="100"/>
      <c r="X229" s="100"/>
      <c r="Y229" s="27"/>
      <c r="Z229" s="88"/>
      <c r="AA229" s="89"/>
      <c r="AB229" s="90"/>
      <c r="AC229" s="90"/>
      <c r="AD229" s="90"/>
      <c r="AE229" s="89"/>
      <c r="AF229" s="90"/>
      <c r="AG229" s="90"/>
      <c r="AH229" s="90"/>
      <c r="AI229" s="90"/>
      <c r="AJ229" s="91"/>
      <c r="AK229" s="27"/>
      <c r="AL229" s="27"/>
      <c r="AM229" s="27"/>
      <c r="AN229" s="27"/>
      <c r="AO229" s="27"/>
      <c r="AP229" s="27"/>
      <c r="AQ229" s="27"/>
      <c r="AR229" s="27"/>
      <c r="AS229" s="27"/>
      <c r="AT229" s="27"/>
      <c r="AU229" s="27"/>
      <c r="AV229" s="27"/>
      <c r="AW229" s="27"/>
      <c r="AX229" s="27"/>
      <c r="AY229" s="27"/>
      <c r="AZ229" s="27"/>
      <c r="BA229" s="27"/>
      <c r="BB229" s="27"/>
      <c r="BC229" s="27"/>
      <c r="BD229" s="27"/>
      <c r="BE229" s="27"/>
      <c r="BF229" s="27"/>
      <c r="BG229" s="27"/>
      <c r="BH229" s="27"/>
      <c r="BI229" s="27"/>
      <c r="BJ229" s="27"/>
      <c r="BK229" s="27"/>
      <c r="BL229" s="27"/>
      <c r="BM229" s="27"/>
      <c r="BN229" s="27"/>
      <c r="BO229" s="27"/>
      <c r="BP229" s="27"/>
      <c r="BQ229" s="27"/>
      <c r="BR229" s="27"/>
      <c r="BS229" s="27"/>
      <c r="BT229" s="27"/>
      <c r="BU229" s="27"/>
      <c r="BV229" s="27"/>
      <c r="BW229" s="27"/>
      <c r="BX229" s="27"/>
      <c r="BY229" s="27"/>
      <c r="BZ229" s="27"/>
      <c r="CA229" s="27"/>
      <c r="CB229" s="27"/>
    </row>
    <row r="230" spans="1:80" ht="15" customHeight="1">
      <c r="B230" s="131">
        <f>$F$32</f>
        <v>0.4</v>
      </c>
      <c r="C230" s="138">
        <f>$F$22</f>
        <v>15</v>
      </c>
      <c r="D230" s="106" t="s">
        <v>168</v>
      </c>
      <c r="E230" s="25" t="s">
        <v>166</v>
      </c>
      <c r="F230" s="27"/>
      <c r="G230" s="11">
        <f>MIN(G229,$C$230)</f>
        <v>0</v>
      </c>
      <c r="H230" s="11">
        <f>MIN(H229,$C$230)</f>
        <v>0</v>
      </c>
      <c r="I230" s="11">
        <f t="shared" ref="I230:S230" si="141">MIN(I229,$C$230)</f>
        <v>10</v>
      </c>
      <c r="J230" s="11">
        <f t="shared" si="141"/>
        <v>15</v>
      </c>
      <c r="K230" s="11">
        <f t="shared" si="141"/>
        <v>15</v>
      </c>
      <c r="L230" s="11">
        <f t="shared" si="141"/>
        <v>15</v>
      </c>
      <c r="M230" s="11">
        <f t="shared" si="141"/>
        <v>15</v>
      </c>
      <c r="N230" s="11">
        <f t="shared" si="141"/>
        <v>15</v>
      </c>
      <c r="O230" s="11">
        <f t="shared" si="141"/>
        <v>15</v>
      </c>
      <c r="P230" s="11">
        <f t="shared" si="141"/>
        <v>15</v>
      </c>
      <c r="Q230" s="11">
        <f t="shared" si="141"/>
        <v>15</v>
      </c>
      <c r="R230" s="11">
        <f t="shared" si="141"/>
        <v>0</v>
      </c>
      <c r="S230" s="11">
        <f t="shared" si="141"/>
        <v>0</v>
      </c>
      <c r="T230" s="27"/>
      <c r="U230" s="27"/>
      <c r="V230" s="134"/>
      <c r="W230" s="100"/>
      <c r="X230" s="100"/>
      <c r="Y230" s="27"/>
      <c r="Z230" s="88"/>
      <c r="AA230" s="89"/>
      <c r="AB230" s="90"/>
      <c r="AC230" s="90"/>
      <c r="AD230" s="90"/>
      <c r="AE230" s="89"/>
      <c r="AF230" s="90"/>
      <c r="AG230" s="90"/>
      <c r="AH230" s="90"/>
      <c r="AI230" s="90"/>
      <c r="AJ230" s="91"/>
      <c r="AK230" s="27"/>
      <c r="AL230" s="27"/>
      <c r="AM230" s="27"/>
      <c r="AN230" s="27"/>
      <c r="AO230" s="27"/>
      <c r="AP230" s="27"/>
      <c r="AQ230" s="27"/>
      <c r="AR230" s="27"/>
      <c r="AS230" s="27"/>
      <c r="AT230" s="27"/>
      <c r="AU230" s="27"/>
      <c r="AV230" s="27"/>
      <c r="AW230" s="27"/>
      <c r="AX230" s="27"/>
      <c r="AY230" s="27"/>
      <c r="AZ230" s="27"/>
      <c r="BA230" s="27"/>
      <c r="BB230" s="27"/>
      <c r="BC230" s="27"/>
      <c r="BD230" s="27"/>
      <c r="BE230" s="27"/>
      <c r="BF230" s="27"/>
      <c r="BG230" s="27"/>
      <c r="BH230" s="27"/>
      <c r="BI230" s="27"/>
      <c r="BJ230" s="27"/>
      <c r="BK230" s="27"/>
      <c r="BL230" s="27"/>
      <c r="BM230" s="27"/>
      <c r="BN230" s="27"/>
      <c r="BO230" s="27"/>
      <c r="BP230" s="27"/>
      <c r="BQ230" s="27"/>
      <c r="BR230" s="27"/>
      <c r="BS230" s="27"/>
      <c r="BT230" s="27"/>
      <c r="BU230" s="27"/>
      <c r="BV230" s="27"/>
      <c r="BW230" s="27"/>
      <c r="BX230" s="27"/>
      <c r="BY230" s="27"/>
      <c r="BZ230" s="27"/>
      <c r="CA230" s="27"/>
      <c r="CB230" s="27"/>
    </row>
    <row r="231" spans="1:80" ht="15" customHeight="1">
      <c r="B231" s="131">
        <f>$F$33</f>
        <v>0.5</v>
      </c>
      <c r="C231" s="138">
        <f>$F$23</f>
        <v>30</v>
      </c>
      <c r="D231" s="106" t="s">
        <v>169</v>
      </c>
      <c r="E231" s="25" t="s">
        <v>166</v>
      </c>
      <c r="F231" s="27"/>
      <c r="G231" s="11">
        <f t="shared" ref="G231:S231" si="142">AND(G229&gt;$C230)*(G229-$C230-G232-G233-G234)</f>
        <v>0</v>
      </c>
      <c r="H231" s="11">
        <f t="shared" si="142"/>
        <v>0</v>
      </c>
      <c r="I231" s="11">
        <f t="shared" si="142"/>
        <v>0</v>
      </c>
      <c r="J231" s="11">
        <f t="shared" si="142"/>
        <v>10</v>
      </c>
      <c r="K231" s="11">
        <f t="shared" si="142"/>
        <v>15</v>
      </c>
      <c r="L231" s="11">
        <f t="shared" si="142"/>
        <v>15</v>
      </c>
      <c r="M231" s="11">
        <f t="shared" si="142"/>
        <v>15</v>
      </c>
      <c r="N231" s="11">
        <f t="shared" si="142"/>
        <v>15</v>
      </c>
      <c r="O231" s="11">
        <f t="shared" si="142"/>
        <v>15</v>
      </c>
      <c r="P231" s="11">
        <f t="shared" si="142"/>
        <v>9.5760000000000076</v>
      </c>
      <c r="Q231" s="11">
        <f t="shared" si="142"/>
        <v>4.6608000000000089</v>
      </c>
      <c r="R231" s="11">
        <f t="shared" si="142"/>
        <v>0</v>
      </c>
      <c r="S231" s="11">
        <f t="shared" si="142"/>
        <v>0</v>
      </c>
      <c r="T231" s="27"/>
      <c r="U231" s="27"/>
      <c r="V231" s="134"/>
      <c r="W231" s="100"/>
      <c r="X231" s="100"/>
      <c r="Y231" s="27"/>
      <c r="Z231" s="88"/>
      <c r="AA231" s="89"/>
      <c r="AB231" s="90"/>
      <c r="AC231" s="90"/>
      <c r="AD231" s="90"/>
      <c r="AE231" s="89"/>
      <c r="AF231" s="90"/>
      <c r="AG231" s="90"/>
      <c r="AH231" s="90"/>
      <c r="AI231" s="90"/>
      <c r="AJ231" s="91"/>
      <c r="AK231" s="27"/>
      <c r="AL231" s="27"/>
      <c r="AM231" s="27"/>
      <c r="AN231" s="27"/>
      <c r="AO231" s="27"/>
      <c r="AP231" s="27"/>
      <c r="AQ231" s="27"/>
      <c r="AR231" s="27"/>
      <c r="AS231" s="27"/>
      <c r="AT231" s="27"/>
      <c r="AU231" s="27"/>
      <c r="AV231" s="27"/>
      <c r="AW231" s="27"/>
      <c r="AX231" s="27"/>
      <c r="AY231" s="27"/>
      <c r="AZ231" s="27"/>
      <c r="BA231" s="27"/>
      <c r="BB231" s="27"/>
      <c r="BC231" s="27"/>
      <c r="BD231" s="27"/>
      <c r="BE231" s="27"/>
      <c r="BF231" s="27"/>
      <c r="BG231" s="27"/>
      <c r="BH231" s="27"/>
      <c r="BI231" s="27"/>
      <c r="BJ231" s="27"/>
      <c r="BK231" s="27"/>
      <c r="BL231" s="27"/>
      <c r="BM231" s="27"/>
      <c r="BN231" s="27"/>
      <c r="BO231" s="27"/>
      <c r="BP231" s="27"/>
      <c r="BQ231" s="27"/>
      <c r="BR231" s="27"/>
      <c r="BS231" s="27"/>
      <c r="BT231" s="27"/>
      <c r="BU231" s="27"/>
      <c r="BV231" s="27"/>
      <c r="BW231" s="27"/>
      <c r="BX231" s="27"/>
      <c r="BY231" s="27"/>
      <c r="BZ231" s="27"/>
      <c r="CA231" s="27"/>
      <c r="CB231" s="27"/>
    </row>
    <row r="232" spans="1:80" ht="15" customHeight="1">
      <c r="B232" s="131">
        <f>$F$34</f>
        <v>0.6</v>
      </c>
      <c r="C232" s="138">
        <f>$F$24</f>
        <v>45</v>
      </c>
      <c r="D232" s="106" t="s">
        <v>170</v>
      </c>
      <c r="E232" s="25" t="s">
        <v>166</v>
      </c>
      <c r="F232" s="27"/>
      <c r="G232" s="11">
        <f t="shared" ref="G232:S232" si="143">AND(G229&gt;$C231)*(G229-$C231-G233-G234)</f>
        <v>0</v>
      </c>
      <c r="H232" s="11">
        <f t="shared" si="143"/>
        <v>0</v>
      </c>
      <c r="I232" s="11">
        <f t="shared" si="143"/>
        <v>0</v>
      </c>
      <c r="J232" s="11">
        <f t="shared" si="143"/>
        <v>0</v>
      </c>
      <c r="K232" s="11">
        <f t="shared" si="143"/>
        <v>15</v>
      </c>
      <c r="L232" s="11">
        <f t="shared" si="143"/>
        <v>15</v>
      </c>
      <c r="M232" s="11">
        <f t="shared" si="143"/>
        <v>15</v>
      </c>
      <c r="N232" s="11">
        <f t="shared" si="143"/>
        <v>8.4000000000000057</v>
      </c>
      <c r="O232" s="11">
        <f t="shared" si="143"/>
        <v>0.72000000000000597</v>
      </c>
      <c r="P232" s="11">
        <f t="shared" si="143"/>
        <v>0</v>
      </c>
      <c r="Q232" s="11">
        <f t="shared" si="143"/>
        <v>0</v>
      </c>
      <c r="R232" s="11">
        <f t="shared" si="143"/>
        <v>0</v>
      </c>
      <c r="S232" s="11">
        <f t="shared" si="143"/>
        <v>0</v>
      </c>
      <c r="T232" s="27"/>
      <c r="U232" s="27"/>
      <c r="V232" s="134"/>
      <c r="W232" s="100"/>
      <c r="X232" s="100"/>
      <c r="Y232" s="27"/>
      <c r="Z232" s="88"/>
      <c r="AA232" s="89"/>
      <c r="AB232" s="90"/>
      <c r="AC232" s="90"/>
      <c r="AD232" s="90"/>
      <c r="AE232" s="89"/>
      <c r="AF232" s="90"/>
      <c r="AG232" s="90"/>
      <c r="AH232" s="90"/>
      <c r="AI232" s="90"/>
      <c r="AJ232" s="91"/>
      <c r="AK232" s="27"/>
      <c r="AL232" s="27"/>
      <c r="AM232" s="27"/>
      <c r="AN232" s="27"/>
      <c r="AO232" s="27"/>
      <c r="AP232" s="27"/>
      <c r="AQ232" s="27"/>
      <c r="AR232" s="27"/>
      <c r="AS232" s="27"/>
      <c r="AT232" s="27"/>
      <c r="AU232" s="27"/>
      <c r="AV232" s="27"/>
      <c r="AW232" s="27"/>
      <c r="AX232" s="27"/>
      <c r="AY232" s="27"/>
      <c r="AZ232" s="27"/>
      <c r="BA232" s="27"/>
      <c r="BB232" s="27"/>
      <c r="BC232" s="27"/>
      <c r="BD232" s="27"/>
      <c r="BE232" s="27"/>
      <c r="BF232" s="27"/>
      <c r="BG232" s="27"/>
      <c r="BH232" s="27"/>
      <c r="BI232" s="27"/>
      <c r="BJ232" s="27"/>
      <c r="BK232" s="27"/>
      <c r="BL232" s="27"/>
      <c r="BM232" s="27"/>
      <c r="BN232" s="27"/>
      <c r="BO232" s="27"/>
      <c r="BP232" s="27"/>
      <c r="BQ232" s="27"/>
      <c r="BR232" s="27"/>
      <c r="BS232" s="27"/>
      <c r="BT232" s="27"/>
      <c r="BU232" s="27"/>
      <c r="BV232" s="27"/>
      <c r="BW232" s="27"/>
      <c r="BX232" s="27"/>
      <c r="BY232" s="27"/>
      <c r="BZ232" s="27"/>
      <c r="CA232" s="27"/>
      <c r="CB232" s="27"/>
    </row>
    <row r="233" spans="1:80" ht="15" customHeight="1">
      <c r="B233" s="131">
        <f>$F$35</f>
        <v>0.65</v>
      </c>
      <c r="C233" s="138">
        <f>$F$25</f>
        <v>60</v>
      </c>
      <c r="D233" s="106" t="s">
        <v>171</v>
      </c>
      <c r="E233" s="25" t="s">
        <v>166</v>
      </c>
      <c r="F233" s="27"/>
      <c r="G233" s="11">
        <f t="shared" ref="G233:S233" si="144">AND(G229&gt;$C232)*(G229-$C232-G234)</f>
        <v>0</v>
      </c>
      <c r="H233" s="11">
        <f t="shared" si="144"/>
        <v>0</v>
      </c>
      <c r="I233" s="11">
        <f t="shared" si="144"/>
        <v>0</v>
      </c>
      <c r="J233" s="11">
        <f t="shared" si="144"/>
        <v>0</v>
      </c>
      <c r="K233" s="11">
        <f t="shared" si="144"/>
        <v>15</v>
      </c>
      <c r="L233" s="11">
        <f t="shared" si="144"/>
        <v>15</v>
      </c>
      <c r="M233" s="11">
        <f t="shared" si="144"/>
        <v>3</v>
      </c>
      <c r="N233" s="11">
        <f t="shared" si="144"/>
        <v>0</v>
      </c>
      <c r="O233" s="11">
        <f t="shared" si="144"/>
        <v>0</v>
      </c>
      <c r="P233" s="11">
        <f t="shared" si="144"/>
        <v>0</v>
      </c>
      <c r="Q233" s="11">
        <f t="shared" si="144"/>
        <v>0</v>
      </c>
      <c r="R233" s="11">
        <f t="shared" si="144"/>
        <v>0</v>
      </c>
      <c r="S233" s="11">
        <f t="shared" si="144"/>
        <v>0</v>
      </c>
      <c r="T233" s="27"/>
      <c r="U233" s="27"/>
      <c r="V233" s="134"/>
      <c r="W233" s="100"/>
      <c r="X233" s="100"/>
      <c r="Y233" s="27"/>
      <c r="Z233" s="88"/>
      <c r="AA233" s="89"/>
      <c r="AB233" s="90"/>
      <c r="AC233" s="90"/>
      <c r="AD233" s="90"/>
      <c r="AE233" s="89"/>
      <c r="AF233" s="90"/>
      <c r="AG233" s="90"/>
      <c r="AH233" s="90"/>
      <c r="AI233" s="90"/>
      <c r="AJ233" s="91"/>
      <c r="AK233" s="27"/>
      <c r="AL233" s="27"/>
      <c r="AM233" s="27"/>
      <c r="AN233" s="27"/>
      <c r="AO233" s="27"/>
      <c r="AP233" s="27"/>
      <c r="AQ233" s="27"/>
      <c r="AR233" s="27"/>
      <c r="AS233" s="27"/>
      <c r="AT233" s="27"/>
      <c r="AU233" s="27"/>
      <c r="AV233" s="27"/>
      <c r="AW233" s="27"/>
      <c r="AX233" s="27"/>
      <c r="AY233" s="27"/>
      <c r="AZ233" s="27"/>
      <c r="BA233" s="27"/>
      <c r="BB233" s="27"/>
      <c r="BC233" s="27"/>
      <c r="BD233" s="27"/>
      <c r="BE233" s="27"/>
      <c r="BF233" s="27"/>
      <c r="BG233" s="27"/>
      <c r="BH233" s="27"/>
      <c r="BI233" s="27"/>
      <c r="BJ233" s="27"/>
      <c r="BK233" s="27"/>
      <c r="BL233" s="27"/>
      <c r="BM233" s="27"/>
      <c r="BN233" s="27"/>
      <c r="BO233" s="27"/>
      <c r="BP233" s="27"/>
      <c r="BQ233" s="27"/>
      <c r="BR233" s="27"/>
      <c r="BS233" s="27"/>
      <c r="BT233" s="27"/>
      <c r="BU233" s="27"/>
      <c r="BV233" s="27"/>
      <c r="BW233" s="27"/>
      <c r="BX233" s="27"/>
      <c r="BY233" s="27"/>
      <c r="BZ233" s="27"/>
      <c r="CA233" s="27"/>
      <c r="CB233" s="27"/>
    </row>
    <row r="234" spans="1:80" ht="15" customHeight="1">
      <c r="B234" s="131">
        <f>$F$36</f>
        <v>0.75</v>
      </c>
      <c r="C234" s="138" t="str">
        <f>"&gt; "&amp;C233</f>
        <v>&gt; 60</v>
      </c>
      <c r="D234" s="106" t="s">
        <v>172</v>
      </c>
      <c r="E234" s="25" t="s">
        <v>166</v>
      </c>
      <c r="F234" s="27"/>
      <c r="G234" s="11">
        <f t="shared" ref="G234:S234" si="145">AND(G229&gt;$C233)*(G229-$C233)</f>
        <v>0</v>
      </c>
      <c r="H234" s="11">
        <f t="shared" si="145"/>
        <v>0</v>
      </c>
      <c r="I234" s="11">
        <f t="shared" si="145"/>
        <v>0</v>
      </c>
      <c r="J234" s="11">
        <f t="shared" si="145"/>
        <v>0</v>
      </c>
      <c r="K234" s="11">
        <f t="shared" si="145"/>
        <v>15</v>
      </c>
      <c r="L234" s="11">
        <f t="shared" si="145"/>
        <v>0</v>
      </c>
      <c r="M234" s="11">
        <f t="shared" si="145"/>
        <v>0</v>
      </c>
      <c r="N234" s="11">
        <f t="shared" si="145"/>
        <v>0</v>
      </c>
      <c r="O234" s="11">
        <f t="shared" si="145"/>
        <v>0</v>
      </c>
      <c r="P234" s="11">
        <f t="shared" si="145"/>
        <v>0</v>
      </c>
      <c r="Q234" s="11">
        <f t="shared" si="145"/>
        <v>0</v>
      </c>
      <c r="R234" s="11">
        <f t="shared" si="145"/>
        <v>0</v>
      </c>
      <c r="S234" s="11">
        <f t="shared" si="145"/>
        <v>0</v>
      </c>
      <c r="T234" s="27"/>
      <c r="U234" s="27"/>
      <c r="V234" s="134"/>
      <c r="W234" s="100"/>
      <c r="X234" s="100"/>
      <c r="Y234" s="27"/>
      <c r="Z234" s="88"/>
      <c r="AA234" s="89"/>
      <c r="AB234" s="90"/>
      <c r="AC234" s="90"/>
      <c r="AD234" s="90"/>
      <c r="AE234" s="89"/>
      <c r="AF234" s="90"/>
      <c r="AG234" s="90"/>
      <c r="AH234" s="90"/>
      <c r="AI234" s="90"/>
      <c r="AJ234" s="91"/>
      <c r="AK234" s="27"/>
      <c r="AL234" s="27"/>
      <c r="AM234" s="27"/>
      <c r="AN234" s="27"/>
      <c r="AO234" s="27"/>
      <c r="AP234" s="27"/>
      <c r="AQ234" s="27"/>
      <c r="AR234" s="27"/>
      <c r="AS234" s="27"/>
      <c r="AT234" s="27"/>
      <c r="AU234" s="27"/>
      <c r="AV234" s="27"/>
      <c r="AW234" s="27"/>
      <c r="AX234" s="27"/>
      <c r="AY234" s="27"/>
      <c r="AZ234" s="27"/>
      <c r="BA234" s="27"/>
      <c r="BB234" s="27"/>
      <c r="BC234" s="27"/>
      <c r="BD234" s="27"/>
      <c r="BE234" s="27"/>
      <c r="BF234" s="27"/>
      <c r="BG234" s="27"/>
      <c r="BH234" s="27"/>
      <c r="BI234" s="27"/>
      <c r="BJ234" s="27"/>
      <c r="BK234" s="27"/>
      <c r="BL234" s="27"/>
      <c r="BM234" s="27"/>
      <c r="BN234" s="27"/>
      <c r="BO234" s="27"/>
      <c r="BP234" s="27"/>
      <c r="BQ234" s="27"/>
      <c r="BR234" s="27"/>
      <c r="BS234" s="27"/>
      <c r="BT234" s="27"/>
      <c r="BU234" s="27"/>
      <c r="BV234" s="27"/>
      <c r="BW234" s="27"/>
      <c r="BX234" s="27"/>
      <c r="BY234" s="27"/>
      <c r="BZ234" s="27"/>
      <c r="CA234" s="27"/>
      <c r="CB234" s="27"/>
    </row>
    <row r="235" spans="1:80" ht="15" customHeight="1">
      <c r="A235" s="107" t="b">
        <f>ROUND(C235,5)=0</f>
        <v>1</v>
      </c>
      <c r="C235" s="15">
        <f>SUM(G235:S235)</f>
        <v>0</v>
      </c>
      <c r="D235" s="84" t="s">
        <v>173</v>
      </c>
      <c r="E235" s="25"/>
      <c r="F235" s="27"/>
      <c r="G235" s="11">
        <f t="shared" ref="G235:R235" si="146">SUM(G230:G234)-G229</f>
        <v>0</v>
      </c>
      <c r="H235" s="11">
        <f t="shared" si="146"/>
        <v>0</v>
      </c>
      <c r="I235" s="11">
        <f t="shared" si="146"/>
        <v>0</v>
      </c>
      <c r="J235" s="11">
        <f t="shared" si="146"/>
        <v>0</v>
      </c>
      <c r="K235" s="11">
        <f t="shared" si="146"/>
        <v>0</v>
      </c>
      <c r="L235" s="11">
        <f t="shared" si="146"/>
        <v>0</v>
      </c>
      <c r="M235" s="11">
        <f t="shared" si="146"/>
        <v>0</v>
      </c>
      <c r="N235" s="11">
        <f t="shared" si="146"/>
        <v>0</v>
      </c>
      <c r="O235" s="11">
        <f t="shared" si="146"/>
        <v>0</v>
      </c>
      <c r="P235" s="11">
        <f t="shared" si="146"/>
        <v>0</v>
      </c>
      <c r="Q235" s="11">
        <f t="shared" si="146"/>
        <v>0</v>
      </c>
      <c r="R235" s="11">
        <f t="shared" si="146"/>
        <v>0</v>
      </c>
      <c r="S235" s="11">
        <f t="shared" ref="S235" si="147">SUM(S230:S234)-S229</f>
        <v>0</v>
      </c>
      <c r="T235" s="27"/>
      <c r="U235" s="27"/>
      <c r="V235" s="134"/>
      <c r="W235" s="100"/>
      <c r="X235" s="100"/>
      <c r="Y235" s="27"/>
      <c r="Z235" s="88"/>
      <c r="AA235" s="89"/>
      <c r="AB235" s="90"/>
      <c r="AC235" s="90"/>
      <c r="AD235" s="90"/>
      <c r="AE235" s="89"/>
      <c r="AF235" s="90"/>
      <c r="AG235" s="90"/>
      <c r="AH235" s="90"/>
      <c r="AI235" s="90"/>
      <c r="AJ235" s="91"/>
      <c r="AK235" s="27"/>
      <c r="AL235" s="27"/>
      <c r="AM235" s="27"/>
      <c r="AN235" s="27"/>
      <c r="AO235" s="27"/>
      <c r="AP235" s="27"/>
      <c r="AQ235" s="27"/>
      <c r="AR235" s="27"/>
      <c r="AS235" s="27"/>
      <c r="AT235" s="27"/>
      <c r="AU235" s="27"/>
      <c r="AV235" s="27"/>
      <c r="AW235" s="27"/>
      <c r="AX235" s="27"/>
      <c r="AY235" s="27"/>
      <c r="AZ235" s="27"/>
      <c r="BA235" s="27"/>
      <c r="BB235" s="27"/>
      <c r="BC235" s="27"/>
      <c r="BD235" s="27"/>
      <c r="BE235" s="27"/>
      <c r="BF235" s="27"/>
      <c r="BG235" s="27"/>
      <c r="BH235" s="27"/>
      <c r="BI235" s="27"/>
      <c r="BJ235" s="27"/>
      <c r="BK235" s="27"/>
      <c r="BL235" s="27"/>
      <c r="BM235" s="27"/>
      <c r="BN235" s="27"/>
      <c r="BO235" s="27"/>
      <c r="BP235" s="27"/>
      <c r="BQ235" s="27"/>
      <c r="BR235" s="27"/>
      <c r="BS235" s="27"/>
      <c r="BT235" s="27"/>
      <c r="BU235" s="27"/>
      <c r="BV235" s="27"/>
      <c r="BW235" s="27"/>
      <c r="BX235" s="27"/>
      <c r="BY235" s="27"/>
      <c r="BZ235" s="27"/>
      <c r="CA235" s="27"/>
      <c r="CB235" s="27"/>
    </row>
    <row r="236" spans="1:80" ht="15" customHeight="1">
      <c r="B236" s="92"/>
      <c r="D236" s="91" t="s">
        <v>174</v>
      </c>
      <c r="E236" s="25" t="s">
        <v>17</v>
      </c>
      <c r="F236" s="27"/>
      <c r="G236" s="57">
        <f>IF(G229&gt;0,SUMPRODUCT(G230:G234*$B$230:$B$234)/G229,0)+AND(G229=0,G227&gt;0)*F236</f>
        <v>0</v>
      </c>
      <c r="H236" s="57">
        <f t="shared" ref="H236:S236" si="148">IF(H229&gt;0,SUMPRODUCT(H230:H234*$B$230:$B$234)/H229,0)+AND(H229=0,H227&gt;0)*G236</f>
        <v>0</v>
      </c>
      <c r="I236" s="57">
        <f t="shared" si="148"/>
        <v>0.4</v>
      </c>
      <c r="J236" s="57">
        <f t="shared" si="148"/>
        <v>0.44</v>
      </c>
      <c r="K236" s="57">
        <f t="shared" si="148"/>
        <v>0.57999999999999996</v>
      </c>
      <c r="L236" s="57">
        <f t="shared" si="148"/>
        <v>0.53749999999999998</v>
      </c>
      <c r="M236" s="57">
        <f t="shared" si="148"/>
        <v>0.50937500000000002</v>
      </c>
      <c r="N236" s="57">
        <f t="shared" si="148"/>
        <v>0.48281249999999998</v>
      </c>
      <c r="O236" s="57">
        <f t="shared" si="148"/>
        <v>0.45351562500000003</v>
      </c>
      <c r="P236" s="57">
        <f t="shared" si="148"/>
        <v>0.43896484375</v>
      </c>
      <c r="Q236" s="57">
        <f t="shared" si="148"/>
        <v>0.42370605468750006</v>
      </c>
      <c r="R236" s="57">
        <f t="shared" si="148"/>
        <v>0.42370605468750006</v>
      </c>
      <c r="S236" s="57">
        <f t="shared" si="148"/>
        <v>0</v>
      </c>
      <c r="T236" s="57"/>
      <c r="U236" s="57"/>
      <c r="V236" s="134"/>
      <c r="W236" s="100"/>
      <c r="X236" s="100"/>
      <c r="Y236" s="27"/>
      <c r="Z236" s="88"/>
      <c r="AA236" s="89"/>
      <c r="AB236" s="90"/>
      <c r="AC236" s="90"/>
      <c r="AD236" s="90"/>
      <c r="AE236" s="89"/>
      <c r="AF236" s="90"/>
      <c r="AG236" s="90"/>
      <c r="AH236" s="90"/>
      <c r="AI236" s="90"/>
      <c r="AJ236" s="91"/>
      <c r="AK236" s="27"/>
      <c r="AL236" s="27"/>
      <c r="AM236" s="27"/>
      <c r="AN236" s="27"/>
      <c r="AO236" s="27"/>
      <c r="AP236" s="27"/>
      <c r="AQ236" s="27"/>
      <c r="AR236" s="27"/>
      <c r="AS236" s="27"/>
      <c r="AT236" s="27"/>
      <c r="AU236" s="27"/>
      <c r="AV236" s="27"/>
      <c r="AW236" s="27"/>
      <c r="AX236" s="27"/>
      <c r="AY236" s="27"/>
      <c r="AZ236" s="27"/>
      <c r="BA236" s="27"/>
      <c r="BB236" s="27"/>
      <c r="BC236" s="27"/>
      <c r="BD236" s="27"/>
      <c r="BE236" s="27"/>
      <c r="BF236" s="27"/>
      <c r="BG236" s="27"/>
      <c r="BH236" s="27"/>
      <c r="BI236" s="27"/>
      <c r="BJ236" s="27"/>
      <c r="BK236" s="27"/>
      <c r="BL236" s="27"/>
      <c r="BM236" s="27"/>
      <c r="BN236" s="27"/>
      <c r="BO236" s="27"/>
      <c r="BP236" s="27"/>
      <c r="BQ236" s="27"/>
      <c r="BR236" s="27"/>
      <c r="BS236" s="27"/>
      <c r="BT236" s="27"/>
      <c r="BU236" s="27"/>
      <c r="BV236" s="27"/>
      <c r="BW236" s="27"/>
      <c r="BX236" s="27"/>
      <c r="BY236" s="27"/>
      <c r="BZ236" s="27"/>
      <c r="CA236" s="27"/>
      <c r="CB236" s="27"/>
    </row>
    <row r="237" spans="1:80" ht="15" customHeight="1">
      <c r="B237" s="92"/>
      <c r="D237" s="139"/>
      <c r="E237" s="25"/>
      <c r="F237" s="27"/>
      <c r="G237" s="27"/>
      <c r="H237" s="27"/>
      <c r="I237" s="27"/>
      <c r="J237" s="119"/>
      <c r="K237" s="27"/>
      <c r="L237" s="27"/>
      <c r="M237" s="27"/>
      <c r="N237" s="27"/>
      <c r="O237" s="27"/>
      <c r="P237" s="27"/>
      <c r="Q237" s="27"/>
      <c r="R237" s="27"/>
      <c r="S237" s="27"/>
      <c r="T237" s="27"/>
      <c r="U237" s="27"/>
      <c r="V237" s="134"/>
      <c r="W237" s="100"/>
      <c r="X237" s="100"/>
      <c r="Y237" s="27"/>
      <c r="Z237" s="88"/>
      <c r="AA237" s="89"/>
      <c r="AB237" s="90"/>
      <c r="AC237" s="90"/>
      <c r="AD237" s="90"/>
      <c r="AE237" s="89"/>
      <c r="AF237" s="90"/>
      <c r="AG237" s="90"/>
      <c r="AH237" s="90"/>
      <c r="AI237" s="90"/>
      <c r="AJ237" s="91"/>
      <c r="AK237" s="27"/>
      <c r="AL237" s="27"/>
      <c r="AM237" s="27"/>
      <c r="AN237" s="27"/>
      <c r="AO237" s="27"/>
      <c r="AP237" s="27"/>
      <c r="AQ237" s="27"/>
      <c r="AR237" s="27"/>
      <c r="AS237" s="27"/>
      <c r="AT237" s="27"/>
      <c r="AU237" s="27"/>
      <c r="AV237" s="27"/>
      <c r="AW237" s="27"/>
      <c r="AX237" s="27"/>
      <c r="AY237" s="27"/>
      <c r="AZ237" s="27"/>
      <c r="BA237" s="27"/>
      <c r="BB237" s="27"/>
      <c r="BC237" s="27"/>
      <c r="BD237" s="27"/>
      <c r="BE237" s="27"/>
      <c r="BF237" s="27"/>
      <c r="BG237" s="27"/>
      <c r="BH237" s="27"/>
      <c r="BI237" s="27"/>
      <c r="BJ237" s="27"/>
      <c r="BK237" s="27"/>
      <c r="BL237" s="27"/>
      <c r="BM237" s="27"/>
      <c r="BN237" s="27"/>
      <c r="BO237" s="27"/>
      <c r="BP237" s="27"/>
      <c r="BQ237" s="27"/>
      <c r="BR237" s="27"/>
      <c r="BS237" s="27"/>
      <c r="BT237" s="27"/>
      <c r="BU237" s="27"/>
      <c r="BV237" s="27"/>
      <c r="BW237" s="27"/>
      <c r="BX237" s="27"/>
      <c r="BY237" s="27"/>
      <c r="BZ237" s="27"/>
      <c r="CA237" s="27"/>
      <c r="CB237" s="27"/>
    </row>
    <row r="238" spans="1:80" ht="15" customHeight="1">
      <c r="B238" s="14"/>
      <c r="D238" s="120" t="s">
        <v>175</v>
      </c>
      <c r="E238" s="15" t="s">
        <v>0</v>
      </c>
      <c r="G238" s="11">
        <v>1</v>
      </c>
      <c r="H238" s="11">
        <f>G238+1</f>
        <v>2</v>
      </c>
      <c r="I238" s="11">
        <f t="shared" ref="I238:S238" si="149">H238+1</f>
        <v>3</v>
      </c>
      <c r="J238" s="11">
        <f t="shared" si="149"/>
        <v>4</v>
      </c>
      <c r="K238" s="11">
        <f t="shared" si="149"/>
        <v>5</v>
      </c>
      <c r="L238" s="11">
        <f t="shared" si="149"/>
        <v>6</v>
      </c>
      <c r="M238" s="11">
        <f t="shared" si="149"/>
        <v>7</v>
      </c>
      <c r="N238" s="11">
        <f t="shared" si="149"/>
        <v>8</v>
      </c>
      <c r="O238" s="11">
        <f t="shared" si="149"/>
        <v>9</v>
      </c>
      <c r="P238" s="11">
        <f t="shared" si="149"/>
        <v>10</v>
      </c>
      <c r="Q238" s="11">
        <f t="shared" si="149"/>
        <v>11</v>
      </c>
      <c r="R238" s="11">
        <f t="shared" si="149"/>
        <v>12</v>
      </c>
      <c r="S238" s="11">
        <f t="shared" si="149"/>
        <v>13</v>
      </c>
      <c r="V238" s="27"/>
      <c r="W238" s="100"/>
      <c r="X238" s="100"/>
      <c r="Y238" s="27"/>
      <c r="Z238" s="88"/>
      <c r="AA238" s="89"/>
      <c r="AB238" s="90"/>
      <c r="AC238" s="90"/>
      <c r="AD238" s="90"/>
      <c r="AE238" s="89"/>
      <c r="AF238" s="90"/>
      <c r="AG238" s="90"/>
      <c r="AH238" s="90"/>
      <c r="AI238" s="90"/>
      <c r="AJ238" s="38"/>
    </row>
    <row r="239" spans="1:80" ht="15" customHeight="1">
      <c r="B239" s="92"/>
      <c r="C239" s="105">
        <f t="shared" ref="C239:C243" si="150">SUM(G239:S239)</f>
        <v>5086.0391711790935</v>
      </c>
      <c r="D239" s="140" t="s">
        <v>161</v>
      </c>
      <c r="E239" s="40" t="s">
        <v>112</v>
      </c>
      <c r="F239" s="130"/>
      <c r="G239" s="11">
        <f>G218</f>
        <v>0</v>
      </c>
      <c r="H239" s="11">
        <f t="shared" ref="H239:S239" si="151">H218</f>
        <v>0</v>
      </c>
      <c r="I239" s="11">
        <f t="shared" si="151"/>
        <v>170.12620800000002</v>
      </c>
      <c r="J239" s="11">
        <f t="shared" si="151"/>
        <v>433.82183040000001</v>
      </c>
      <c r="K239" s="11">
        <f t="shared" si="151"/>
        <v>1264.4070074799999</v>
      </c>
      <c r="L239" s="11">
        <f t="shared" si="151"/>
        <v>840.245450592</v>
      </c>
      <c r="M239" s="11">
        <f t="shared" si="151"/>
        <v>778.49542097583458</v>
      </c>
      <c r="N239" s="11">
        <f t="shared" si="151"/>
        <v>552.35076693569977</v>
      </c>
      <c r="O239" s="11">
        <f t="shared" si="151"/>
        <v>450.9700622541792</v>
      </c>
      <c r="P239" s="11">
        <f t="shared" si="151"/>
        <v>368.478159323932</v>
      </c>
      <c r="Q239" s="11">
        <f t="shared" si="151"/>
        <v>227.14426521744721</v>
      </c>
      <c r="R239" s="11">
        <f t="shared" si="151"/>
        <v>-8.5265128291212022E-14</v>
      </c>
      <c r="S239" s="11">
        <f t="shared" si="151"/>
        <v>0</v>
      </c>
      <c r="V239" s="134"/>
      <c r="W239" s="100"/>
      <c r="X239" s="100"/>
      <c r="Y239" s="27"/>
      <c r="Z239" s="88"/>
      <c r="AA239" s="89"/>
      <c r="AB239" s="90"/>
      <c r="AC239" s="90"/>
      <c r="AD239" s="90"/>
      <c r="AE239" s="89"/>
      <c r="AF239" s="90"/>
      <c r="AG239" s="90"/>
      <c r="AH239" s="90"/>
      <c r="AI239" s="90"/>
    </row>
    <row r="240" spans="1:80" s="38" customFormat="1" ht="15" customHeight="1">
      <c r="A240" s="13"/>
      <c r="B240" s="92"/>
      <c r="C240" s="105">
        <f t="shared" si="150"/>
        <v>1267.6311208838183</v>
      </c>
      <c r="D240" s="8" t="s">
        <v>176</v>
      </c>
      <c r="E240" s="40" t="s">
        <v>112</v>
      </c>
      <c r="F240" s="141"/>
      <c r="G240" s="11">
        <f>G255</f>
        <v>0</v>
      </c>
      <c r="H240" s="11">
        <f>H255</f>
        <v>0</v>
      </c>
      <c r="I240" s="11">
        <f t="shared" ref="I240:S240" si="152">I255</f>
        <v>25.518931199999987</v>
      </c>
      <c r="J240" s="11">
        <f t="shared" si="152"/>
        <v>60.735056256</v>
      </c>
      <c r="K240" s="11">
        <f t="shared" si="152"/>
        <v>165.88382739600002</v>
      </c>
      <c r="L240" s="11">
        <f t="shared" si="152"/>
        <v>237.63215148427201</v>
      </c>
      <c r="M240" s="11">
        <f t="shared" si="152"/>
        <v>160.14247854548873</v>
      </c>
      <c r="N240" s="11">
        <f t="shared" si="152"/>
        <v>180.62670975392331</v>
      </c>
      <c r="O240" s="11">
        <f t="shared" si="152"/>
        <v>155.60298093347154</v>
      </c>
      <c r="P240" s="11">
        <f t="shared" si="152"/>
        <v>130.07981702018637</v>
      </c>
      <c r="Q240" s="11">
        <f t="shared" si="152"/>
        <v>151.40916829447636</v>
      </c>
      <c r="R240" s="11">
        <f t="shared" si="152"/>
        <v>4.9137777180519038E-14</v>
      </c>
      <c r="S240" s="11">
        <f t="shared" si="152"/>
        <v>0</v>
      </c>
      <c r="V240" s="134"/>
      <c r="W240" s="100"/>
      <c r="X240" s="100"/>
      <c r="Y240" s="27"/>
      <c r="Z240" s="88"/>
      <c r="AA240" s="89"/>
      <c r="AB240" s="90"/>
      <c r="AC240" s="90"/>
      <c r="AD240" s="90"/>
      <c r="AE240" s="89"/>
      <c r="AF240" s="90"/>
      <c r="AG240" s="90"/>
      <c r="AH240" s="90"/>
      <c r="AI240" s="90"/>
      <c r="AJ240" s="91"/>
      <c r="AK240" s="91"/>
      <c r="AL240" s="91"/>
      <c r="AM240" s="91"/>
      <c r="AN240" s="91"/>
      <c r="AO240" s="91"/>
      <c r="AP240" s="91"/>
      <c r="AQ240" s="91"/>
      <c r="AR240" s="91"/>
      <c r="AS240" s="91"/>
      <c r="AT240" s="91"/>
      <c r="AU240" s="91"/>
      <c r="AV240" s="91"/>
      <c r="AW240" s="91"/>
      <c r="AX240" s="91"/>
      <c r="AY240" s="91"/>
      <c r="AZ240" s="91"/>
      <c r="BA240" s="91"/>
      <c r="BB240" s="91"/>
      <c r="BC240" s="91"/>
      <c r="BD240" s="91"/>
      <c r="BE240" s="91"/>
      <c r="BF240" s="91"/>
      <c r="BG240" s="91"/>
      <c r="BH240" s="91"/>
      <c r="BI240" s="91"/>
      <c r="BJ240" s="91"/>
      <c r="BK240" s="91"/>
      <c r="BL240" s="91"/>
      <c r="BM240" s="91"/>
      <c r="BN240" s="91"/>
      <c r="BO240" s="91"/>
      <c r="BP240" s="91"/>
      <c r="BQ240" s="91"/>
      <c r="BR240" s="91"/>
      <c r="BS240" s="91"/>
      <c r="BT240" s="91"/>
      <c r="BU240" s="91"/>
      <c r="BV240" s="91"/>
      <c r="BW240" s="91"/>
      <c r="BX240" s="91"/>
      <c r="BY240" s="91"/>
      <c r="BZ240" s="91"/>
      <c r="CA240" s="91"/>
      <c r="CB240" s="91"/>
    </row>
    <row r="241" spans="1:80" s="38" customFormat="1" ht="15" customHeight="1">
      <c r="A241" s="13"/>
      <c r="B241" s="92"/>
      <c r="C241" s="105">
        <f t="shared" ref="C241" si="153">SUM(G241:S241)</f>
        <v>81.214250736959997</v>
      </c>
      <c r="D241" s="8" t="s">
        <v>343</v>
      </c>
      <c r="E241" s="40" t="s">
        <v>112</v>
      </c>
      <c r="F241" s="141"/>
      <c r="G241" s="11">
        <f>G149</f>
        <v>0</v>
      </c>
      <c r="H241" s="11">
        <f t="shared" ref="H241:S241" si="154">H149</f>
        <v>0</v>
      </c>
      <c r="I241" s="11">
        <f t="shared" si="154"/>
        <v>15.606</v>
      </c>
      <c r="J241" s="11">
        <f t="shared" si="154"/>
        <v>15.918119999999998</v>
      </c>
      <c r="K241" s="11">
        <f t="shared" si="154"/>
        <v>16.2364824</v>
      </c>
      <c r="L241" s="11">
        <f t="shared" si="154"/>
        <v>16.561212048000002</v>
      </c>
      <c r="M241" s="11">
        <f t="shared" si="154"/>
        <v>16.892436288960003</v>
      </c>
      <c r="N241" s="11">
        <f t="shared" si="154"/>
        <v>0</v>
      </c>
      <c r="O241" s="11">
        <f t="shared" si="154"/>
        <v>0</v>
      </c>
      <c r="P241" s="11">
        <f t="shared" si="154"/>
        <v>0</v>
      </c>
      <c r="Q241" s="11">
        <f t="shared" si="154"/>
        <v>0</v>
      </c>
      <c r="R241" s="11">
        <f t="shared" si="154"/>
        <v>0</v>
      </c>
      <c r="S241" s="11">
        <f t="shared" si="154"/>
        <v>0</v>
      </c>
      <c r="V241" s="134"/>
      <c r="W241" s="100"/>
      <c r="X241" s="100"/>
      <c r="Y241" s="27"/>
      <c r="Z241" s="88"/>
      <c r="AA241" s="89"/>
      <c r="AB241" s="90"/>
      <c r="AC241" s="90"/>
      <c r="AD241" s="90"/>
      <c r="AE241" s="89"/>
      <c r="AF241" s="90"/>
      <c r="AG241" s="90"/>
      <c r="AH241" s="90"/>
      <c r="AI241" s="90"/>
      <c r="AJ241" s="91"/>
      <c r="AK241" s="91"/>
      <c r="AL241" s="91"/>
      <c r="AM241" s="91"/>
      <c r="AN241" s="91"/>
      <c r="AO241" s="91"/>
      <c r="AP241" s="91"/>
      <c r="AQ241" s="91"/>
      <c r="AR241" s="91"/>
      <c r="AS241" s="91"/>
      <c r="AT241" s="91"/>
      <c r="AU241" s="91"/>
      <c r="AV241" s="91"/>
      <c r="AW241" s="91"/>
      <c r="AX241" s="91"/>
      <c r="AY241" s="91"/>
      <c r="AZ241" s="91"/>
      <c r="BA241" s="91"/>
      <c r="BB241" s="91"/>
      <c r="BC241" s="91"/>
      <c r="BD241" s="91"/>
      <c r="BE241" s="91"/>
      <c r="BF241" s="91"/>
      <c r="BG241" s="91"/>
      <c r="BH241" s="91"/>
      <c r="BI241" s="91"/>
      <c r="BJ241" s="91"/>
      <c r="BK241" s="91"/>
      <c r="BL241" s="91"/>
      <c r="BM241" s="91"/>
      <c r="BN241" s="91"/>
      <c r="BO241" s="91"/>
      <c r="BP241" s="91"/>
      <c r="BQ241" s="91"/>
      <c r="BR241" s="91"/>
      <c r="BS241" s="91"/>
      <c r="BT241" s="91"/>
      <c r="BU241" s="91"/>
      <c r="BV241" s="91"/>
      <c r="BW241" s="91"/>
      <c r="BX241" s="91"/>
      <c r="BY241" s="91"/>
      <c r="BZ241" s="91"/>
      <c r="CA241" s="91"/>
      <c r="CB241" s="91"/>
    </row>
    <row r="242" spans="1:80" ht="15" customHeight="1">
      <c r="B242" s="92"/>
      <c r="C242" s="105">
        <f t="shared" si="150"/>
        <v>4071.8359304468818</v>
      </c>
      <c r="D242" s="8" t="s">
        <v>177</v>
      </c>
      <c r="E242" s="40" t="s">
        <v>112</v>
      </c>
      <c r="F242" s="141"/>
      <c r="G242" s="11">
        <f>G150</f>
        <v>0</v>
      </c>
      <c r="H242" s="11">
        <f t="shared" ref="H242:S242" si="155">H150</f>
        <v>0</v>
      </c>
      <c r="I242" s="11">
        <f t="shared" si="155"/>
        <v>113.9238</v>
      </c>
      <c r="J242" s="11">
        <f t="shared" si="155"/>
        <v>290.50568999999996</v>
      </c>
      <c r="K242" s="11">
        <f t="shared" si="155"/>
        <v>888.94741139999996</v>
      </c>
      <c r="L242" s="11">
        <f t="shared" si="155"/>
        <v>725.38108770240001</v>
      </c>
      <c r="M242" s="11">
        <f t="shared" si="155"/>
        <v>591.91096756515844</v>
      </c>
      <c r="N242" s="11">
        <f t="shared" si="155"/>
        <v>482.99934953316921</v>
      </c>
      <c r="O242" s="11">
        <f t="shared" si="155"/>
        <v>394.12746921906609</v>
      </c>
      <c r="P242" s="11">
        <f t="shared" si="155"/>
        <v>321.60801488275791</v>
      </c>
      <c r="Q242" s="11">
        <f t="shared" si="155"/>
        <v>262.4321401443305</v>
      </c>
      <c r="R242" s="11">
        <f t="shared" si="155"/>
        <v>0</v>
      </c>
      <c r="S242" s="11">
        <f t="shared" si="155"/>
        <v>0</v>
      </c>
      <c r="T242" s="38"/>
      <c r="U242" s="38"/>
      <c r="V242" s="134"/>
      <c r="W242" s="100"/>
      <c r="X242" s="100"/>
      <c r="Y242" s="27"/>
      <c r="Z242" s="88"/>
      <c r="AA242" s="89"/>
      <c r="AB242" s="90"/>
      <c r="AC242" s="90"/>
      <c r="AD242" s="90"/>
      <c r="AE242" s="89"/>
      <c r="AF242" s="90"/>
      <c r="AG242" s="90"/>
      <c r="AH242" s="90"/>
      <c r="AI242" s="90"/>
      <c r="AJ242" s="91"/>
      <c r="AK242" s="27"/>
      <c r="AL242" s="27"/>
      <c r="AM242" s="27"/>
      <c r="AN242" s="27"/>
      <c r="AO242" s="27"/>
      <c r="AP242" s="27"/>
      <c r="AQ242" s="27"/>
      <c r="AR242" s="27"/>
      <c r="AS242" s="27"/>
      <c r="AT242" s="27"/>
      <c r="AU242" s="27"/>
      <c r="AV242" s="27"/>
      <c r="AW242" s="27"/>
      <c r="AX242" s="27"/>
      <c r="AY242" s="27"/>
      <c r="AZ242" s="27"/>
      <c r="BA242" s="27"/>
      <c r="BB242" s="27"/>
      <c r="BC242" s="27"/>
      <c r="BD242" s="27"/>
      <c r="BE242" s="27"/>
      <c r="BF242" s="27"/>
      <c r="BG242" s="27"/>
      <c r="BH242" s="27"/>
      <c r="BI242" s="27"/>
      <c r="BJ242" s="27"/>
      <c r="BK242" s="27"/>
      <c r="BL242" s="27"/>
      <c r="BM242" s="27"/>
      <c r="BN242" s="27"/>
      <c r="BO242" s="27"/>
      <c r="BP242" s="27"/>
      <c r="BQ242" s="27"/>
      <c r="BR242" s="27"/>
      <c r="BS242" s="27"/>
      <c r="BT242" s="27"/>
      <c r="BU242" s="27"/>
      <c r="BV242" s="27"/>
      <c r="BW242" s="27"/>
      <c r="BX242" s="27"/>
      <c r="BY242" s="27"/>
      <c r="BZ242" s="27"/>
      <c r="CA242" s="27"/>
      <c r="CB242" s="27"/>
    </row>
    <row r="243" spans="1:80" ht="15" customHeight="1">
      <c r="B243" s="92"/>
      <c r="C243" s="105">
        <f t="shared" si="150"/>
        <v>248.6748616789304</v>
      </c>
      <c r="D243" s="140" t="s">
        <v>178</v>
      </c>
      <c r="E243" s="40" t="s">
        <v>112</v>
      </c>
      <c r="F243" s="142"/>
      <c r="G243" s="11">
        <f>G151</f>
        <v>0</v>
      </c>
      <c r="H243" s="11">
        <f t="shared" ref="H243:S243" si="156">H151</f>
        <v>0</v>
      </c>
      <c r="I243" s="11">
        <f t="shared" si="156"/>
        <v>0</v>
      </c>
      <c r="J243" s="11">
        <f t="shared" si="156"/>
        <v>0</v>
      </c>
      <c r="K243" s="11">
        <f t="shared" si="156"/>
        <v>0</v>
      </c>
      <c r="L243" s="11">
        <f t="shared" si="156"/>
        <v>0</v>
      </c>
      <c r="M243" s="11">
        <f t="shared" si="156"/>
        <v>68.341603263284142</v>
      </c>
      <c r="N243" s="11">
        <f t="shared" si="156"/>
        <v>56.229767255138519</v>
      </c>
      <c r="O243" s="11">
        <f t="shared" si="156"/>
        <v>46.90456688772111</v>
      </c>
      <c r="P243" s="11">
        <f t="shared" si="156"/>
        <v>40.179414773782042</v>
      </c>
      <c r="Q243" s="11">
        <f t="shared" si="156"/>
        <v>37.019509499004656</v>
      </c>
      <c r="R243" s="11">
        <f t="shared" si="156"/>
        <v>-8.5265128291212022E-14</v>
      </c>
      <c r="S243" s="11">
        <f t="shared" si="156"/>
        <v>0</v>
      </c>
      <c r="T243" s="38"/>
      <c r="U243" s="38"/>
      <c r="V243" s="134"/>
      <c r="W243" s="100"/>
      <c r="X243" s="100"/>
      <c r="Y243" s="27"/>
      <c r="Z243" s="88"/>
      <c r="AA243" s="89"/>
      <c r="AB243" s="90"/>
      <c r="AC243" s="90"/>
      <c r="AD243" s="90"/>
      <c r="AE243" s="89"/>
      <c r="AF243" s="90"/>
      <c r="AG243" s="90"/>
      <c r="AH243" s="90"/>
      <c r="AI243" s="90"/>
      <c r="AJ243" s="91"/>
      <c r="AK243" s="27"/>
      <c r="AL243" s="27"/>
      <c r="AM243" s="27"/>
      <c r="AN243" s="27"/>
      <c r="AO243" s="27"/>
      <c r="AP243" s="27"/>
      <c r="AQ243" s="27"/>
      <c r="AR243" s="27"/>
      <c r="AS243" s="27"/>
      <c r="AT243" s="27"/>
      <c r="AU243" s="27"/>
      <c r="AV243" s="27"/>
      <c r="AW243" s="27"/>
      <c r="AX243" s="27"/>
      <c r="AY243" s="27"/>
      <c r="AZ243" s="27"/>
      <c r="BA243" s="27"/>
      <c r="BB243" s="27"/>
      <c r="BC243" s="27"/>
      <c r="BD243" s="27"/>
      <c r="BE243" s="27"/>
      <c r="BF243" s="27"/>
      <c r="BG243" s="27"/>
      <c r="BH243" s="27"/>
      <c r="BI243" s="27"/>
      <c r="BJ243" s="27"/>
      <c r="BK243" s="27"/>
      <c r="BL243" s="27"/>
      <c r="BM243" s="27"/>
      <c r="BN243" s="27"/>
      <c r="BO243" s="27"/>
      <c r="BP243" s="27"/>
      <c r="BQ243" s="27"/>
      <c r="BR243" s="27"/>
      <c r="BS243" s="27"/>
      <c r="BT243" s="27"/>
      <c r="BU243" s="27"/>
      <c r="BV243" s="27"/>
      <c r="BW243" s="27"/>
      <c r="BX243" s="27"/>
      <c r="BY243" s="27"/>
      <c r="BZ243" s="27"/>
      <c r="CA243" s="27"/>
      <c r="CB243" s="27"/>
    </row>
    <row r="244" spans="1:80" ht="15" customHeight="1">
      <c r="B244" s="92"/>
      <c r="D244" s="143" t="s">
        <v>179</v>
      </c>
      <c r="E244" s="40" t="s">
        <v>112</v>
      </c>
      <c r="F244" s="27"/>
      <c r="G244" s="11">
        <f t="shared" ref="G244:S244" si="157">G239+G240-G241-G242-G243+F244</f>
        <v>0</v>
      </c>
      <c r="H244" s="11">
        <f t="shared" si="157"/>
        <v>0</v>
      </c>
      <c r="I244" s="11">
        <f t="shared" si="157"/>
        <v>66.115339200000022</v>
      </c>
      <c r="J244" s="11">
        <f t="shared" si="157"/>
        <v>254.24841585600009</v>
      </c>
      <c r="K244" s="11">
        <f t="shared" si="157"/>
        <v>779.35535693200018</v>
      </c>
      <c r="L244" s="11">
        <f t="shared" si="157"/>
        <v>1115.2906592578722</v>
      </c>
      <c r="M244" s="11">
        <f t="shared" si="157"/>
        <v>1376.7835516617929</v>
      </c>
      <c r="N244" s="11">
        <f t="shared" si="157"/>
        <v>1570.5319115631082</v>
      </c>
      <c r="O244" s="11">
        <f t="shared" si="157"/>
        <v>1736.0729186439717</v>
      </c>
      <c r="P244" s="11">
        <f t="shared" si="157"/>
        <v>1872.8434653315501</v>
      </c>
      <c r="Q244" s="11">
        <f t="shared" si="157"/>
        <v>1951.9452492001385</v>
      </c>
      <c r="R244" s="11">
        <f t="shared" si="157"/>
        <v>1951.9452492001385</v>
      </c>
      <c r="S244" s="11">
        <f t="shared" si="157"/>
        <v>1951.9452492001385</v>
      </c>
      <c r="T244" s="27"/>
      <c r="U244" s="27"/>
      <c r="V244" s="134"/>
      <c r="W244" s="100"/>
      <c r="X244" s="100"/>
      <c r="Y244" s="27"/>
      <c r="Z244" s="88"/>
      <c r="AA244" s="89"/>
      <c r="AB244" s="90"/>
      <c r="AC244" s="90"/>
      <c r="AD244" s="90"/>
      <c r="AE244" s="89"/>
      <c r="AF244" s="90"/>
      <c r="AG244" s="90"/>
      <c r="AH244" s="90"/>
      <c r="AI244" s="90"/>
      <c r="AJ244" s="91"/>
      <c r="AK244" s="27"/>
      <c r="AL244" s="27"/>
      <c r="AM244" s="27"/>
      <c r="AN244" s="27"/>
      <c r="AO244" s="27"/>
      <c r="AP244" s="27"/>
      <c r="AQ244" s="27"/>
      <c r="AR244" s="27"/>
      <c r="AS244" s="27"/>
      <c r="AT244" s="27"/>
      <c r="AU244" s="27"/>
      <c r="AV244" s="27"/>
      <c r="AW244" s="27"/>
      <c r="AX244" s="27"/>
      <c r="AY244" s="27"/>
      <c r="AZ244" s="27"/>
      <c r="BA244" s="27"/>
      <c r="BB244" s="27"/>
      <c r="BC244" s="27"/>
      <c r="BD244" s="27"/>
      <c r="BE244" s="27"/>
      <c r="BF244" s="27"/>
      <c r="BG244" s="27"/>
      <c r="BH244" s="27"/>
      <c r="BI244" s="27"/>
      <c r="BJ244" s="27"/>
      <c r="BK244" s="27"/>
      <c r="BL244" s="27"/>
      <c r="BM244" s="27"/>
      <c r="BN244" s="27"/>
      <c r="BO244" s="27"/>
      <c r="BP244" s="27"/>
      <c r="BQ244" s="27"/>
      <c r="BR244" s="27"/>
      <c r="BS244" s="27"/>
      <c r="BT244" s="27"/>
      <c r="BU244" s="27"/>
      <c r="BV244" s="27"/>
      <c r="BW244" s="27"/>
      <c r="BX244" s="27"/>
      <c r="BY244" s="27"/>
      <c r="BZ244" s="27"/>
      <c r="CA244" s="27"/>
      <c r="CB244" s="27"/>
    </row>
    <row r="245" spans="1:80" ht="15" customHeight="1">
      <c r="B245" s="92"/>
      <c r="D245" s="140"/>
      <c r="E245" s="25"/>
      <c r="F245" s="27"/>
      <c r="G245" s="27"/>
      <c r="H245" s="27"/>
      <c r="I245" s="27"/>
      <c r="J245" s="27"/>
      <c r="K245" s="27"/>
      <c r="L245" s="27"/>
      <c r="M245" s="27"/>
      <c r="N245" s="27"/>
      <c r="O245" s="27"/>
      <c r="P245" s="27"/>
      <c r="Q245" s="27"/>
      <c r="R245" s="27"/>
      <c r="S245" s="27"/>
      <c r="T245" s="27"/>
      <c r="U245" s="27"/>
      <c r="V245" s="134"/>
      <c r="W245" s="100"/>
      <c r="X245" s="100"/>
      <c r="Y245" s="27"/>
      <c r="Z245" s="88"/>
      <c r="AA245" s="89"/>
      <c r="AB245" s="90"/>
      <c r="AC245" s="90"/>
      <c r="AD245" s="90"/>
      <c r="AE245" s="89"/>
      <c r="AF245" s="90"/>
      <c r="AG245" s="90"/>
      <c r="AH245" s="90"/>
      <c r="AI245" s="90"/>
      <c r="AJ245" s="91"/>
      <c r="AK245" s="27"/>
      <c r="AL245" s="27"/>
      <c r="AM245" s="27"/>
      <c r="AN245" s="27"/>
      <c r="AO245" s="27"/>
      <c r="AP245" s="27"/>
      <c r="AQ245" s="27"/>
      <c r="AR245" s="27"/>
      <c r="AS245" s="27"/>
      <c r="AT245" s="27"/>
      <c r="AU245" s="27"/>
      <c r="AV245" s="27"/>
      <c r="AW245" s="27"/>
      <c r="AX245" s="27"/>
      <c r="AY245" s="27"/>
      <c r="AZ245" s="27"/>
      <c r="BA245" s="27"/>
      <c r="BB245" s="27"/>
      <c r="BC245" s="27"/>
      <c r="BD245" s="27"/>
      <c r="BE245" s="27"/>
      <c r="BF245" s="27"/>
      <c r="BG245" s="27"/>
      <c r="BH245" s="27"/>
      <c r="BI245" s="27"/>
      <c r="BJ245" s="27"/>
      <c r="BK245" s="27"/>
      <c r="BL245" s="27"/>
      <c r="BM245" s="27"/>
      <c r="BN245" s="27"/>
      <c r="BO245" s="27"/>
      <c r="BP245" s="27"/>
      <c r="BQ245" s="27"/>
      <c r="BR245" s="27"/>
      <c r="BS245" s="27"/>
      <c r="BT245" s="27"/>
      <c r="BU245" s="27"/>
      <c r="BV245" s="27"/>
      <c r="BW245" s="27"/>
      <c r="BX245" s="27"/>
      <c r="BY245" s="27"/>
      <c r="BZ245" s="27"/>
      <c r="CA245" s="27"/>
      <c r="CB245" s="27"/>
    </row>
    <row r="246" spans="1:80" ht="15" customHeight="1">
      <c r="B246" s="92"/>
      <c r="C246" s="105">
        <f t="shared" ref="C246" si="158">SUM(G246:S246)</f>
        <v>760</v>
      </c>
      <c r="D246" s="140" t="s">
        <v>180</v>
      </c>
      <c r="E246" s="40" t="s">
        <v>112</v>
      </c>
      <c r="F246" s="27"/>
      <c r="G246" s="11">
        <f>G147+G148</f>
        <v>250</v>
      </c>
      <c r="H246" s="11">
        <f t="shared" ref="H246:S246" si="159">H147+H148</f>
        <v>510</v>
      </c>
      <c r="I246" s="11">
        <f t="shared" si="159"/>
        <v>0</v>
      </c>
      <c r="J246" s="11">
        <f t="shared" si="159"/>
        <v>0</v>
      </c>
      <c r="K246" s="11">
        <f t="shared" si="159"/>
        <v>0</v>
      </c>
      <c r="L246" s="11">
        <f t="shared" si="159"/>
        <v>0</v>
      </c>
      <c r="M246" s="11">
        <f t="shared" si="159"/>
        <v>0</v>
      </c>
      <c r="N246" s="11">
        <f t="shared" si="159"/>
        <v>0</v>
      </c>
      <c r="O246" s="11">
        <f t="shared" si="159"/>
        <v>0</v>
      </c>
      <c r="P246" s="11">
        <f t="shared" si="159"/>
        <v>0</v>
      </c>
      <c r="Q246" s="11">
        <f t="shared" si="159"/>
        <v>0</v>
      </c>
      <c r="R246" s="11">
        <f t="shared" si="159"/>
        <v>0</v>
      </c>
      <c r="S246" s="11">
        <f t="shared" si="159"/>
        <v>0</v>
      </c>
      <c r="T246" s="27"/>
      <c r="U246" s="27"/>
      <c r="V246" s="134"/>
      <c r="W246" s="100"/>
      <c r="X246" s="100"/>
      <c r="Y246" s="27"/>
      <c r="Z246" s="88"/>
      <c r="AA246" s="89"/>
      <c r="AB246" s="90"/>
      <c r="AC246" s="90"/>
      <c r="AD246" s="90"/>
      <c r="AE246" s="89"/>
      <c r="AF246" s="90"/>
      <c r="AG246" s="90"/>
      <c r="AH246" s="90"/>
      <c r="AI246" s="90"/>
      <c r="AJ246" s="91"/>
      <c r="AK246" s="27"/>
      <c r="AL246" s="27"/>
      <c r="AM246" s="27"/>
      <c r="AN246" s="27"/>
      <c r="AO246" s="27"/>
      <c r="AP246" s="27"/>
      <c r="AQ246" s="27"/>
      <c r="AR246" s="27"/>
      <c r="AS246" s="27"/>
      <c r="AT246" s="27"/>
      <c r="AU246" s="27"/>
      <c r="AV246" s="27"/>
      <c r="AW246" s="27"/>
      <c r="AX246" s="27"/>
      <c r="AY246" s="27"/>
      <c r="AZ246" s="27"/>
      <c r="BA246" s="27"/>
      <c r="BB246" s="27"/>
      <c r="BC246" s="27"/>
      <c r="BD246" s="27"/>
      <c r="BE246" s="27"/>
      <c r="BF246" s="27"/>
      <c r="BG246" s="27"/>
      <c r="BH246" s="27"/>
      <c r="BI246" s="27"/>
      <c r="BJ246" s="27"/>
      <c r="BK246" s="27"/>
      <c r="BL246" s="27"/>
      <c r="BM246" s="27"/>
      <c r="BN246" s="27"/>
      <c r="BO246" s="27"/>
      <c r="BP246" s="27"/>
      <c r="BQ246" s="27"/>
      <c r="BR246" s="27"/>
      <c r="BS246" s="27"/>
      <c r="BT246" s="27"/>
      <c r="BU246" s="27"/>
      <c r="BV246" s="27"/>
      <c r="BW246" s="27"/>
      <c r="BX246" s="27"/>
      <c r="BY246" s="27"/>
      <c r="BZ246" s="27"/>
      <c r="CA246" s="27"/>
      <c r="CB246" s="27"/>
    </row>
    <row r="247" spans="1:80" ht="15" customHeight="1">
      <c r="B247" s="92"/>
      <c r="C247" s="105"/>
      <c r="D247" s="143" t="s">
        <v>181</v>
      </c>
      <c r="E247" s="40" t="s">
        <v>112</v>
      </c>
      <c r="F247" s="27"/>
      <c r="G247" s="11">
        <f>G246+F247</f>
        <v>250</v>
      </c>
      <c r="H247" s="11">
        <f t="shared" ref="H247:S247" si="160">H246+G247</f>
        <v>760</v>
      </c>
      <c r="I247" s="11">
        <f t="shared" si="160"/>
        <v>760</v>
      </c>
      <c r="J247" s="11">
        <f t="shared" si="160"/>
        <v>760</v>
      </c>
      <c r="K247" s="11">
        <f t="shared" si="160"/>
        <v>760</v>
      </c>
      <c r="L247" s="11">
        <f t="shared" si="160"/>
        <v>760</v>
      </c>
      <c r="M247" s="11">
        <f t="shared" si="160"/>
        <v>760</v>
      </c>
      <c r="N247" s="11">
        <f t="shared" si="160"/>
        <v>760</v>
      </c>
      <c r="O247" s="11">
        <f t="shared" si="160"/>
        <v>760</v>
      </c>
      <c r="P247" s="11">
        <f t="shared" si="160"/>
        <v>760</v>
      </c>
      <c r="Q247" s="11">
        <f t="shared" si="160"/>
        <v>760</v>
      </c>
      <c r="R247" s="11">
        <f t="shared" si="160"/>
        <v>760</v>
      </c>
      <c r="S247" s="11">
        <f t="shared" si="160"/>
        <v>760</v>
      </c>
      <c r="T247" s="27"/>
      <c r="U247" s="27"/>
      <c r="V247" s="134"/>
      <c r="W247" s="100"/>
      <c r="X247" s="100"/>
      <c r="Y247" s="27"/>
      <c r="Z247" s="88"/>
      <c r="AA247" s="89"/>
      <c r="AB247" s="90"/>
      <c r="AC247" s="90"/>
      <c r="AD247" s="90"/>
      <c r="AE247" s="89"/>
      <c r="AF247" s="90"/>
      <c r="AG247" s="90"/>
      <c r="AH247" s="90"/>
      <c r="AI247" s="90"/>
      <c r="AJ247" s="91"/>
      <c r="AK247" s="27"/>
      <c r="AL247" s="27"/>
      <c r="AM247" s="27"/>
      <c r="AN247" s="27"/>
      <c r="AO247" s="27"/>
      <c r="AP247" s="27"/>
      <c r="AQ247" s="27"/>
      <c r="AR247" s="27"/>
      <c r="AS247" s="27"/>
      <c r="AT247" s="27"/>
      <c r="AU247" s="27"/>
      <c r="AV247" s="27"/>
      <c r="AW247" s="27"/>
      <c r="AX247" s="27"/>
      <c r="AY247" s="27"/>
      <c r="AZ247" s="27"/>
      <c r="BA247" s="27"/>
      <c r="BB247" s="27"/>
      <c r="BC247" s="27"/>
      <c r="BD247" s="27"/>
      <c r="BE247" s="27"/>
      <c r="BF247" s="27"/>
      <c r="BG247" s="27"/>
      <c r="BH247" s="27"/>
      <c r="BI247" s="27"/>
      <c r="BJ247" s="27"/>
      <c r="BK247" s="27"/>
      <c r="BL247" s="27"/>
      <c r="BM247" s="27"/>
      <c r="BN247" s="27"/>
      <c r="BO247" s="27"/>
      <c r="BP247" s="27"/>
      <c r="BQ247" s="27"/>
      <c r="BR247" s="27"/>
      <c r="BS247" s="27"/>
      <c r="BT247" s="27"/>
      <c r="BU247" s="27"/>
      <c r="BV247" s="27"/>
      <c r="BW247" s="27"/>
      <c r="BX247" s="27"/>
      <c r="BY247" s="27"/>
      <c r="BZ247" s="27"/>
      <c r="CA247" s="27"/>
      <c r="CB247" s="27"/>
    </row>
    <row r="248" spans="1:80" ht="15" customHeight="1">
      <c r="B248" s="92"/>
      <c r="D248" s="143" t="s">
        <v>182</v>
      </c>
      <c r="G248" s="117">
        <f t="shared" ref="G248:S248" si="161">IFERROR(F244/F247,0)</f>
        <v>0</v>
      </c>
      <c r="H248" s="117">
        <f t="shared" si="161"/>
        <v>0</v>
      </c>
      <c r="I248" s="117">
        <f t="shared" si="161"/>
        <v>0</v>
      </c>
      <c r="J248" s="117">
        <f t="shared" si="161"/>
        <v>8.6993867368421088E-2</v>
      </c>
      <c r="K248" s="117">
        <f t="shared" si="161"/>
        <v>0.33453738928421067</v>
      </c>
      <c r="L248" s="117">
        <f t="shared" si="161"/>
        <v>1.0254675749105266</v>
      </c>
      <c r="M248" s="117">
        <f t="shared" si="161"/>
        <v>1.4674877095498318</v>
      </c>
      <c r="N248" s="117">
        <f t="shared" si="161"/>
        <v>1.8115573048181486</v>
      </c>
      <c r="O248" s="117">
        <f t="shared" si="161"/>
        <v>2.0664893573198793</v>
      </c>
      <c r="P248" s="117">
        <f t="shared" si="161"/>
        <v>2.2843064718999626</v>
      </c>
      <c r="Q248" s="117">
        <f t="shared" si="161"/>
        <v>2.4642677175415133</v>
      </c>
      <c r="R248" s="117">
        <f t="shared" si="161"/>
        <v>2.5683490121054455</v>
      </c>
      <c r="S248" s="117">
        <f t="shared" si="161"/>
        <v>2.5683490121054455</v>
      </c>
      <c r="T248" s="144"/>
      <c r="U248" s="144"/>
      <c r="V248" s="27"/>
      <c r="W248" s="27"/>
      <c r="X248" s="27"/>
      <c r="Y248" s="27"/>
      <c r="Z248" s="91"/>
      <c r="AA248" s="91"/>
      <c r="AB248" s="91"/>
      <c r="AC248" s="91"/>
      <c r="AD248" s="91"/>
      <c r="AE248" s="91"/>
      <c r="AF248" s="91"/>
      <c r="AG248" s="91"/>
      <c r="AH248" s="91"/>
      <c r="AI248" s="91"/>
      <c r="AJ248" s="91"/>
      <c r="AK248" s="27"/>
      <c r="AL248" s="27"/>
      <c r="AM248" s="27"/>
      <c r="AN248" s="27"/>
      <c r="AO248" s="27"/>
      <c r="AP248" s="27"/>
      <c r="AQ248" s="27"/>
      <c r="AR248" s="27"/>
      <c r="AS248" s="27"/>
      <c r="AT248" s="27"/>
      <c r="AU248" s="27"/>
      <c r="AV248" s="27"/>
      <c r="AW248" s="27"/>
      <c r="AX248" s="27"/>
      <c r="AY248" s="27"/>
      <c r="AZ248" s="27"/>
      <c r="BA248" s="27"/>
      <c r="BB248" s="27"/>
      <c r="BC248" s="27"/>
      <c r="BD248" s="27"/>
      <c r="BE248" s="27"/>
      <c r="BF248" s="27"/>
      <c r="BG248" s="27"/>
      <c r="BH248" s="27"/>
      <c r="BI248" s="27"/>
      <c r="BJ248" s="27"/>
      <c r="BK248" s="27"/>
      <c r="BL248" s="27"/>
      <c r="BM248" s="27"/>
      <c r="BN248" s="27"/>
      <c r="BO248" s="27"/>
      <c r="BP248" s="27"/>
      <c r="BQ248" s="27"/>
      <c r="BR248" s="27"/>
      <c r="BS248" s="27"/>
      <c r="BT248" s="27"/>
      <c r="BU248" s="27"/>
      <c r="BV248" s="27"/>
      <c r="BW248" s="27"/>
      <c r="BX248" s="27"/>
      <c r="BY248" s="27"/>
      <c r="BZ248" s="27"/>
      <c r="CA248" s="27"/>
      <c r="CB248" s="27"/>
    </row>
    <row r="249" spans="1:80" ht="15" customHeight="1">
      <c r="B249" s="92"/>
      <c r="D249" s="91" t="s">
        <v>174</v>
      </c>
      <c r="E249" s="133" t="s">
        <v>17</v>
      </c>
      <c r="F249" s="130"/>
      <c r="G249" s="49">
        <f t="shared" ref="G249:S249" si="162">IF(G248&lt;$F$27,$F$32,IF(G248&lt;$F$28,$F$33,IF(G248&lt;$F$29,$F$34,IF(G248&lt;$F$30,$F$35,$F$36))))</f>
        <v>0.75</v>
      </c>
      <c r="H249" s="49">
        <f t="shared" si="162"/>
        <v>0.75</v>
      </c>
      <c r="I249" s="49">
        <f t="shared" si="162"/>
        <v>0.75</v>
      </c>
      <c r="J249" s="49">
        <f t="shared" si="162"/>
        <v>0.75</v>
      </c>
      <c r="K249" s="49">
        <f t="shared" si="162"/>
        <v>0.75</v>
      </c>
      <c r="L249" s="49">
        <f t="shared" si="162"/>
        <v>0.75</v>
      </c>
      <c r="M249" s="49">
        <f t="shared" si="162"/>
        <v>0.75</v>
      </c>
      <c r="N249" s="49">
        <f t="shared" si="162"/>
        <v>0.75</v>
      </c>
      <c r="O249" s="49">
        <f t="shared" si="162"/>
        <v>0.75</v>
      </c>
      <c r="P249" s="49">
        <f t="shared" si="162"/>
        <v>0.75</v>
      </c>
      <c r="Q249" s="49">
        <f t="shared" si="162"/>
        <v>0.75</v>
      </c>
      <c r="R249" s="49">
        <f t="shared" si="162"/>
        <v>0.75</v>
      </c>
      <c r="S249" s="49">
        <f t="shared" si="162"/>
        <v>0.75</v>
      </c>
      <c r="T249" s="49"/>
      <c r="U249" s="49"/>
      <c r="V249" s="27"/>
      <c r="W249" s="27"/>
      <c r="X249" s="27"/>
      <c r="Y249" s="27"/>
      <c r="Z249" s="91"/>
      <c r="AA249" s="91"/>
      <c r="AB249" s="91"/>
      <c r="AC249" s="91"/>
      <c r="AD249" s="91"/>
      <c r="AE249" s="91"/>
      <c r="AF249" s="91"/>
      <c r="AG249" s="91"/>
      <c r="AH249" s="91"/>
      <c r="AI249" s="91"/>
      <c r="AJ249" s="91"/>
      <c r="AK249" s="27"/>
      <c r="AL249" s="27"/>
      <c r="AM249" s="27"/>
      <c r="AN249" s="27"/>
      <c r="AO249" s="27"/>
      <c r="AP249" s="27"/>
      <c r="AQ249" s="27"/>
      <c r="AR249" s="27"/>
      <c r="AS249" s="27"/>
      <c r="AT249" s="27"/>
      <c r="AU249" s="27"/>
      <c r="AV249" s="27"/>
      <c r="AW249" s="27"/>
      <c r="AX249" s="27"/>
      <c r="AY249" s="27"/>
      <c r="AZ249" s="27"/>
      <c r="BA249" s="27"/>
      <c r="BB249" s="27"/>
      <c r="BC249" s="27"/>
      <c r="BD249" s="27"/>
      <c r="BE249" s="27"/>
      <c r="BF249" s="27"/>
      <c r="BG249" s="27"/>
      <c r="BH249" s="27"/>
      <c r="BI249" s="27"/>
      <c r="BJ249" s="27"/>
      <c r="BK249" s="27"/>
      <c r="BL249" s="27"/>
      <c r="BM249" s="27"/>
      <c r="BN249" s="27"/>
      <c r="BO249" s="27"/>
      <c r="BP249" s="27"/>
      <c r="BQ249" s="27"/>
      <c r="BR249" s="27"/>
      <c r="BS249" s="27"/>
      <c r="BT249" s="27"/>
      <c r="BU249" s="27"/>
      <c r="BV249" s="27"/>
      <c r="BW249" s="27"/>
      <c r="BX249" s="27"/>
      <c r="BY249" s="27"/>
      <c r="BZ249" s="27"/>
      <c r="CA249" s="27"/>
      <c r="CB249" s="27"/>
    </row>
    <row r="250" spans="1:80" ht="15" customHeight="1">
      <c r="B250" s="92"/>
      <c r="D250" s="140"/>
      <c r="E250" s="140"/>
      <c r="F250" s="145"/>
      <c r="G250" s="27"/>
      <c r="H250" s="27"/>
      <c r="I250" s="27"/>
      <c r="J250" s="27"/>
      <c r="K250" s="27"/>
      <c r="L250" s="27"/>
      <c r="M250" s="27"/>
      <c r="N250" s="27"/>
      <c r="O250" s="27"/>
      <c r="P250" s="27"/>
      <c r="Q250" s="27"/>
      <c r="R250" s="27"/>
      <c r="S250" s="27"/>
      <c r="T250" s="27"/>
      <c r="U250" s="27"/>
      <c r="V250" s="27"/>
      <c r="W250" s="27"/>
      <c r="X250" s="27"/>
      <c r="Y250" s="27"/>
      <c r="Z250" s="91"/>
      <c r="AA250" s="91"/>
      <c r="AB250" s="91"/>
      <c r="AC250" s="91"/>
      <c r="AD250" s="91"/>
      <c r="AE250" s="91"/>
      <c r="AF250" s="91"/>
      <c r="AG250" s="91"/>
      <c r="AH250" s="91"/>
      <c r="AI250" s="91"/>
      <c r="AJ250" s="91"/>
      <c r="AK250" s="27"/>
      <c r="AL250" s="27"/>
      <c r="AM250" s="27"/>
      <c r="AN250" s="27"/>
      <c r="AO250" s="27"/>
      <c r="AP250" s="27"/>
      <c r="AQ250" s="27"/>
      <c r="AR250" s="27"/>
      <c r="AS250" s="27"/>
      <c r="AT250" s="27"/>
      <c r="AU250" s="27"/>
      <c r="AV250" s="27"/>
      <c r="AW250" s="27"/>
      <c r="AX250" s="27"/>
      <c r="AY250" s="27"/>
      <c r="AZ250" s="27"/>
      <c r="BA250" s="27"/>
      <c r="BB250" s="27"/>
      <c r="BC250" s="27"/>
      <c r="BD250" s="27"/>
      <c r="BE250" s="27"/>
      <c r="BF250" s="27"/>
      <c r="BG250" s="27"/>
      <c r="BH250" s="27"/>
      <c r="BI250" s="27"/>
      <c r="BJ250" s="27"/>
      <c r="BK250" s="27"/>
      <c r="BL250" s="27"/>
      <c r="BM250" s="27"/>
      <c r="BN250" s="27"/>
      <c r="BO250" s="27"/>
      <c r="BP250" s="27"/>
      <c r="BQ250" s="27"/>
      <c r="BR250" s="27"/>
      <c r="BS250" s="27"/>
      <c r="BT250" s="27"/>
      <c r="BU250" s="27"/>
      <c r="BV250" s="27"/>
      <c r="BW250" s="27"/>
      <c r="BX250" s="27"/>
      <c r="BY250" s="27"/>
      <c r="BZ250" s="27"/>
      <c r="CA250" s="27"/>
      <c r="CB250" s="27"/>
    </row>
    <row r="251" spans="1:80" ht="15" customHeight="1">
      <c r="D251" s="146" t="str">
        <f>"Government share: "&amp;$F$20</f>
        <v>Government share: DROP</v>
      </c>
      <c r="E251" s="73" t="s">
        <v>17</v>
      </c>
      <c r="G251" s="49">
        <f t="shared" ref="G251:S251" si="163">IF($F$20="Tax/Royalty",0,IF($F$20="Rfactor",G249,G236))</f>
        <v>0</v>
      </c>
      <c r="H251" s="49">
        <f t="shared" si="163"/>
        <v>0</v>
      </c>
      <c r="I251" s="49">
        <f t="shared" si="163"/>
        <v>0.4</v>
      </c>
      <c r="J251" s="49">
        <f t="shared" si="163"/>
        <v>0.44</v>
      </c>
      <c r="K251" s="49">
        <f t="shared" si="163"/>
        <v>0.57999999999999996</v>
      </c>
      <c r="L251" s="49">
        <f t="shared" si="163"/>
        <v>0.53749999999999998</v>
      </c>
      <c r="M251" s="49">
        <f t="shared" si="163"/>
        <v>0.50937500000000002</v>
      </c>
      <c r="N251" s="49">
        <f t="shared" si="163"/>
        <v>0.48281249999999998</v>
      </c>
      <c r="O251" s="49">
        <f t="shared" si="163"/>
        <v>0.45351562500000003</v>
      </c>
      <c r="P251" s="49">
        <f t="shared" si="163"/>
        <v>0.43896484375</v>
      </c>
      <c r="Q251" s="49">
        <f t="shared" si="163"/>
        <v>0.42370605468750006</v>
      </c>
      <c r="R251" s="49">
        <f t="shared" si="163"/>
        <v>0.42370605468750006</v>
      </c>
      <c r="S251" s="49">
        <f t="shared" si="163"/>
        <v>0</v>
      </c>
      <c r="T251" s="49"/>
      <c r="U251" s="49"/>
      <c r="V251" s="27"/>
      <c r="W251" s="27"/>
      <c r="X251" s="27"/>
      <c r="Y251" s="27"/>
      <c r="Z251" s="91"/>
      <c r="AA251" s="91"/>
      <c r="AB251" s="91"/>
      <c r="AC251" s="91"/>
      <c r="AD251" s="91"/>
      <c r="AE251" s="91"/>
      <c r="AF251" s="91"/>
      <c r="AG251" s="91"/>
      <c r="AH251" s="91"/>
      <c r="AI251" s="91"/>
      <c r="AJ251" s="91"/>
      <c r="AK251" s="27"/>
      <c r="AL251" s="27"/>
      <c r="AM251" s="27"/>
      <c r="AN251" s="27"/>
      <c r="AO251" s="27"/>
      <c r="AP251" s="27"/>
      <c r="AQ251" s="27"/>
      <c r="AR251" s="27"/>
      <c r="AS251" s="27"/>
      <c r="AT251" s="27"/>
      <c r="AU251" s="27"/>
      <c r="AV251" s="27"/>
      <c r="AW251" s="27"/>
      <c r="AX251" s="27"/>
      <c r="AY251" s="27"/>
      <c r="AZ251" s="27"/>
      <c r="BA251" s="27"/>
      <c r="BB251" s="27"/>
      <c r="BC251" s="27"/>
      <c r="BD251" s="27"/>
      <c r="BE251" s="27"/>
      <c r="BF251" s="27"/>
      <c r="BG251" s="27"/>
      <c r="BH251" s="27"/>
      <c r="BI251" s="27"/>
      <c r="BJ251" s="27"/>
      <c r="BK251" s="27"/>
      <c r="BL251" s="27"/>
      <c r="BM251" s="27"/>
      <c r="BN251" s="27"/>
      <c r="BO251" s="27"/>
      <c r="BP251" s="27"/>
      <c r="BQ251" s="27"/>
      <c r="BR251" s="27"/>
      <c r="BS251" s="27"/>
      <c r="BT251" s="27"/>
      <c r="BU251" s="27"/>
      <c r="BV251" s="27"/>
      <c r="BW251" s="27"/>
      <c r="BX251" s="27"/>
      <c r="BY251" s="27"/>
      <c r="BZ251" s="27"/>
      <c r="CA251" s="27"/>
      <c r="CB251" s="27"/>
    </row>
    <row r="252" spans="1:80" ht="15" customHeight="1">
      <c r="D252" s="121" t="s">
        <v>183</v>
      </c>
      <c r="E252" s="73" t="s">
        <v>17</v>
      </c>
      <c r="G252" s="49">
        <f>1-G251</f>
        <v>1</v>
      </c>
      <c r="H252" s="49">
        <f>1-H251</f>
        <v>1</v>
      </c>
      <c r="I252" s="49">
        <f t="shared" ref="I252:S252" si="164">1-I251</f>
        <v>0.6</v>
      </c>
      <c r="J252" s="49">
        <f t="shared" si="164"/>
        <v>0.56000000000000005</v>
      </c>
      <c r="K252" s="49">
        <f t="shared" si="164"/>
        <v>0.42000000000000004</v>
      </c>
      <c r="L252" s="49">
        <f t="shared" si="164"/>
        <v>0.46250000000000002</v>
      </c>
      <c r="M252" s="49">
        <f t="shared" si="164"/>
        <v>0.49062499999999998</v>
      </c>
      <c r="N252" s="49">
        <f t="shared" si="164"/>
        <v>0.51718750000000002</v>
      </c>
      <c r="O252" s="49">
        <f t="shared" si="164"/>
        <v>0.54648437499999991</v>
      </c>
      <c r="P252" s="49">
        <f t="shared" si="164"/>
        <v>0.56103515625</v>
      </c>
      <c r="Q252" s="49">
        <f t="shared" si="164"/>
        <v>0.5762939453125</v>
      </c>
      <c r="R252" s="49">
        <f t="shared" si="164"/>
        <v>0.5762939453125</v>
      </c>
      <c r="S252" s="49">
        <f t="shared" si="164"/>
        <v>1</v>
      </c>
      <c r="T252" s="49"/>
      <c r="U252" s="49"/>
      <c r="V252" s="27"/>
      <c r="W252" s="27"/>
      <c r="X252" s="27"/>
      <c r="Y252" s="27"/>
      <c r="Z252" s="91"/>
      <c r="AA252" s="91"/>
      <c r="AB252" s="91"/>
      <c r="AC252" s="91"/>
      <c r="AD252" s="91"/>
      <c r="AE252" s="91"/>
      <c r="AF252" s="91"/>
      <c r="AG252" s="91"/>
      <c r="AH252" s="91"/>
      <c r="AI252" s="91"/>
      <c r="AJ252" s="91"/>
      <c r="AK252" s="27"/>
      <c r="AL252" s="27"/>
      <c r="AM252" s="27"/>
      <c r="AN252" s="27"/>
      <c r="AO252" s="27"/>
      <c r="AP252" s="27"/>
      <c r="AQ252" s="27"/>
      <c r="AR252" s="27"/>
      <c r="AS252" s="27"/>
      <c r="AT252" s="27"/>
      <c r="AU252" s="27"/>
      <c r="AV252" s="27"/>
      <c r="AW252" s="27"/>
      <c r="AX252" s="27"/>
      <c r="AY252" s="27"/>
      <c r="AZ252" s="27"/>
      <c r="BA252" s="27"/>
      <c r="BB252" s="27"/>
      <c r="BC252" s="27"/>
      <c r="BD252" s="27"/>
      <c r="BE252" s="27"/>
      <c r="BF252" s="27"/>
      <c r="BG252" s="27"/>
      <c r="BH252" s="27"/>
      <c r="BI252" s="27"/>
      <c r="BJ252" s="27"/>
      <c r="BK252" s="27"/>
      <c r="BL252" s="27"/>
      <c r="BM252" s="27"/>
      <c r="BN252" s="27"/>
      <c r="BO252" s="27"/>
      <c r="BP252" s="27"/>
      <c r="BQ252" s="27"/>
      <c r="BR252" s="27"/>
      <c r="BS252" s="27"/>
      <c r="BT252" s="27"/>
      <c r="BU252" s="27"/>
      <c r="BV252" s="27"/>
      <c r="BW252" s="27"/>
      <c r="BX252" s="27"/>
      <c r="BY252" s="27"/>
      <c r="BZ252" s="27"/>
      <c r="CA252" s="27"/>
      <c r="CB252" s="27"/>
    </row>
    <row r="253" spans="1:80" ht="15" customHeight="1">
      <c r="D253" s="121"/>
      <c r="G253" s="92"/>
      <c r="H253" s="92"/>
      <c r="I253" s="92"/>
      <c r="J253" s="92"/>
      <c r="K253" s="92"/>
      <c r="L253" s="92"/>
      <c r="M253" s="92"/>
      <c r="N253" s="92"/>
      <c r="O253" s="92"/>
      <c r="P253" s="92"/>
      <c r="Q253" s="92"/>
      <c r="R253" s="92"/>
      <c r="S253" s="92"/>
      <c r="T253" s="92"/>
      <c r="U253" s="92"/>
      <c r="V253" s="27"/>
      <c r="W253" s="27"/>
      <c r="X253" s="27"/>
      <c r="Y253" s="27"/>
      <c r="Z253" s="91"/>
      <c r="AA253" s="91"/>
      <c r="AB253" s="91"/>
      <c r="AC253" s="91"/>
      <c r="AD253" s="91"/>
      <c r="AE253" s="91"/>
      <c r="AF253" s="91"/>
      <c r="AG253" s="91"/>
      <c r="AH253" s="91"/>
      <c r="AI253" s="91"/>
      <c r="AJ253" s="91"/>
      <c r="AK253" s="27"/>
      <c r="AL253" s="27"/>
      <c r="AM253" s="27"/>
      <c r="AN253" s="27"/>
      <c r="AO253" s="27"/>
      <c r="AP253" s="27"/>
      <c r="AQ253" s="27"/>
      <c r="AR253" s="27"/>
      <c r="AS253" s="27"/>
      <c r="AT253" s="27"/>
      <c r="AU253" s="27"/>
      <c r="AV253" s="27"/>
      <c r="AW253" s="27"/>
      <c r="AX253" s="27"/>
      <c r="AY253" s="27"/>
      <c r="AZ253" s="27"/>
      <c r="BA253" s="27"/>
      <c r="BB253" s="27"/>
      <c r="BC253" s="27"/>
      <c r="BD253" s="27"/>
      <c r="BE253" s="27"/>
      <c r="BF253" s="27"/>
      <c r="BG253" s="27"/>
      <c r="BH253" s="27"/>
      <c r="BI253" s="27"/>
      <c r="BJ253" s="27"/>
      <c r="BK253" s="27"/>
      <c r="BL253" s="27"/>
      <c r="BM253" s="27"/>
      <c r="BN253" s="27"/>
      <c r="BO253" s="27"/>
      <c r="BP253" s="27"/>
      <c r="BQ253" s="27"/>
      <c r="BR253" s="27"/>
      <c r="BS253" s="27"/>
      <c r="BT253" s="27"/>
      <c r="BU253" s="27"/>
      <c r="BV253" s="27"/>
      <c r="BW253" s="27"/>
      <c r="BX253" s="27"/>
      <c r="BY253" s="27"/>
      <c r="BZ253" s="27"/>
      <c r="CA253" s="27"/>
      <c r="CB253" s="27"/>
    </row>
    <row r="254" spans="1:80" ht="15" customHeight="1">
      <c r="B254" s="92"/>
      <c r="C254" s="105">
        <f t="shared" ref="C254:C255" si="165">SUM(G254:S254)</f>
        <v>1247.0901114379362</v>
      </c>
      <c r="D254" s="121" t="s">
        <v>184</v>
      </c>
      <c r="E254" s="40" t="s">
        <v>112</v>
      </c>
      <c r="F254" s="27"/>
      <c r="G254" s="11">
        <f t="shared" ref="G254:S254" si="166">G251*G222</f>
        <v>0</v>
      </c>
      <c r="H254" s="11">
        <f t="shared" si="166"/>
        <v>0</v>
      </c>
      <c r="I254" s="11">
        <f t="shared" si="166"/>
        <v>17.01262079999999</v>
      </c>
      <c r="J254" s="11">
        <f t="shared" si="166"/>
        <v>47.720401343999995</v>
      </c>
      <c r="K254" s="11">
        <f t="shared" si="166"/>
        <v>229.07766640399996</v>
      </c>
      <c r="L254" s="11">
        <f t="shared" si="166"/>
        <v>276.167094968208</v>
      </c>
      <c r="M254" s="11">
        <f t="shared" si="166"/>
        <v>166.2625732669724</v>
      </c>
      <c r="N254" s="11">
        <f t="shared" si="166"/>
        <v>168.62130910562627</v>
      </c>
      <c r="O254" s="11">
        <f t="shared" si="166"/>
        <v>129.1315660212727</v>
      </c>
      <c r="P254" s="11">
        <f t="shared" si="166"/>
        <v>101.7769847703634</v>
      </c>
      <c r="Q254" s="11">
        <f t="shared" si="166"/>
        <v>111.31989475749366</v>
      </c>
      <c r="R254" s="11">
        <f t="shared" si="166"/>
        <v>3.6127351110692991E-14</v>
      </c>
      <c r="S254" s="11">
        <f t="shared" si="166"/>
        <v>0</v>
      </c>
      <c r="Z254" s="38"/>
      <c r="AA254" s="38"/>
      <c r="AB254" s="38"/>
      <c r="AC254" s="38"/>
      <c r="AD254" s="38"/>
      <c r="AE254" s="38"/>
      <c r="AF254" s="38"/>
      <c r="AG254" s="38"/>
      <c r="AH254" s="38"/>
      <c r="AI254" s="38"/>
      <c r="AJ254" s="38"/>
    </row>
    <row r="255" spans="1:80" ht="15" customHeight="1">
      <c r="B255" s="92"/>
      <c r="C255" s="105">
        <f t="shared" si="165"/>
        <v>1267.6311208838183</v>
      </c>
      <c r="D255" s="121" t="s">
        <v>176</v>
      </c>
      <c r="E255" s="40" t="s">
        <v>112</v>
      </c>
      <c r="F255" s="27"/>
      <c r="G255" s="11">
        <f t="shared" ref="G255:S255" si="167">G252*G222</f>
        <v>0</v>
      </c>
      <c r="H255" s="11">
        <f t="shared" si="167"/>
        <v>0</v>
      </c>
      <c r="I255" s="11">
        <f t="shared" si="167"/>
        <v>25.518931199999987</v>
      </c>
      <c r="J255" s="11">
        <f t="shared" si="167"/>
        <v>60.735056256</v>
      </c>
      <c r="K255" s="11">
        <f t="shared" si="167"/>
        <v>165.88382739600002</v>
      </c>
      <c r="L255" s="11">
        <f t="shared" si="167"/>
        <v>237.63215148427201</v>
      </c>
      <c r="M255" s="11">
        <f t="shared" si="167"/>
        <v>160.14247854548873</v>
      </c>
      <c r="N255" s="11">
        <f t="shared" si="167"/>
        <v>180.62670975392331</v>
      </c>
      <c r="O255" s="11">
        <f t="shared" si="167"/>
        <v>155.60298093347154</v>
      </c>
      <c r="P255" s="11">
        <f t="shared" si="167"/>
        <v>130.07981702018637</v>
      </c>
      <c r="Q255" s="11">
        <f t="shared" si="167"/>
        <v>151.40916829447636</v>
      </c>
      <c r="R255" s="11">
        <f t="shared" si="167"/>
        <v>4.9137777180519038E-14</v>
      </c>
      <c r="S255" s="11">
        <f t="shared" si="167"/>
        <v>0</v>
      </c>
      <c r="T255" s="27"/>
      <c r="U255" s="27"/>
      <c r="Z255" s="38"/>
      <c r="AA255" s="38"/>
      <c r="AB255" s="38"/>
      <c r="AC255" s="38"/>
      <c r="AD255" s="38"/>
      <c r="AE255" s="38"/>
      <c r="AF255" s="38"/>
      <c r="AG255" s="38"/>
      <c r="AH255" s="38"/>
      <c r="AI255" s="38"/>
      <c r="AJ255" s="38"/>
    </row>
    <row r="256" spans="1:80" ht="15" customHeight="1">
      <c r="C256" s="105">
        <f t="shared" ref="C256" si="168">SUM(G256:S256)</f>
        <v>1140.8680087954365</v>
      </c>
      <c r="D256" s="132" t="s">
        <v>354</v>
      </c>
      <c r="E256" s="40" t="s">
        <v>112</v>
      </c>
      <c r="G256" s="11">
        <f>G255*G$161</f>
        <v>0</v>
      </c>
      <c r="H256" s="11">
        <f t="shared" ref="H256:S256" si="169">H255*H$161</f>
        <v>0</v>
      </c>
      <c r="I256" s="11">
        <f t="shared" si="169"/>
        <v>22.967038079999988</v>
      </c>
      <c r="J256" s="11">
        <f t="shared" si="169"/>
        <v>54.661550630400001</v>
      </c>
      <c r="K256" s="11">
        <f t="shared" si="169"/>
        <v>149.29544465640001</v>
      </c>
      <c r="L256" s="11">
        <f t="shared" si="169"/>
        <v>213.86893633584481</v>
      </c>
      <c r="M256" s="11">
        <f t="shared" si="169"/>
        <v>144.12823069093986</v>
      </c>
      <c r="N256" s="11">
        <f t="shared" si="169"/>
        <v>162.56403877853097</v>
      </c>
      <c r="O256" s="11">
        <f t="shared" si="169"/>
        <v>140.0426828401244</v>
      </c>
      <c r="P256" s="11">
        <f t="shared" si="169"/>
        <v>117.07183531816773</v>
      </c>
      <c r="Q256" s="11">
        <f t="shared" si="169"/>
        <v>136.26825146502873</v>
      </c>
      <c r="R256" s="11">
        <f t="shared" si="169"/>
        <v>4.4223999462467137E-14</v>
      </c>
      <c r="S256" s="11">
        <f t="shared" si="169"/>
        <v>0</v>
      </c>
      <c r="V256" s="134"/>
      <c r="W256" s="100"/>
      <c r="X256" s="100"/>
      <c r="Y256" s="27"/>
      <c r="Z256" s="88"/>
      <c r="AA256" s="89"/>
      <c r="AB256" s="90"/>
      <c r="AC256" s="90"/>
      <c r="AD256" s="90"/>
      <c r="AE256" s="89"/>
      <c r="AF256" s="90"/>
      <c r="AG256" s="90"/>
      <c r="AH256" s="90"/>
      <c r="AI256" s="90"/>
      <c r="AJ256" s="91"/>
      <c r="AK256" s="27"/>
      <c r="AL256" s="27"/>
      <c r="AM256" s="27"/>
      <c r="AN256" s="27"/>
      <c r="AO256" s="27"/>
      <c r="AP256" s="27"/>
      <c r="AQ256" s="27"/>
      <c r="AR256" s="27"/>
      <c r="AS256" s="27"/>
      <c r="AT256" s="27"/>
      <c r="AU256" s="27"/>
      <c r="AV256" s="27"/>
      <c r="AW256" s="27"/>
      <c r="AX256" s="27"/>
      <c r="AY256" s="27"/>
      <c r="AZ256" s="27"/>
      <c r="BA256" s="27"/>
      <c r="BB256" s="27"/>
      <c r="BC256" s="27"/>
      <c r="BD256" s="27"/>
      <c r="BE256" s="27"/>
      <c r="BF256" s="27"/>
      <c r="BG256" s="27"/>
      <c r="BH256" s="27"/>
      <c r="BI256" s="27"/>
      <c r="BJ256" s="27"/>
      <c r="BK256" s="27"/>
      <c r="BL256" s="27"/>
      <c r="BM256" s="27"/>
      <c r="BN256" s="27"/>
      <c r="BO256" s="27"/>
      <c r="BP256" s="27"/>
      <c r="BQ256" s="27"/>
      <c r="BR256" s="27"/>
      <c r="BS256" s="27"/>
      <c r="BT256" s="27"/>
      <c r="BU256" s="27"/>
      <c r="BV256" s="27"/>
      <c r="BW256" s="27"/>
      <c r="BX256" s="27"/>
      <c r="BY256" s="27"/>
      <c r="BZ256" s="27"/>
      <c r="CA256" s="27"/>
      <c r="CB256" s="27"/>
    </row>
    <row r="257" spans="1:80" ht="15" customHeight="1">
      <c r="A257" s="107" t="b">
        <f>ROUND(C254+C256+C257-C222,5)=0</f>
        <v>1</v>
      </c>
      <c r="C257" s="105">
        <f>SUM(G257:S257)</f>
        <v>126.76311208838185</v>
      </c>
      <c r="D257" s="132" t="s">
        <v>355</v>
      </c>
      <c r="E257" s="40" t="s">
        <v>112</v>
      </c>
      <c r="G257" s="11">
        <f>G255*G$160</f>
        <v>0</v>
      </c>
      <c r="H257" s="11">
        <f t="shared" ref="H257:S257" si="170">H255*H$160</f>
        <v>0</v>
      </c>
      <c r="I257" s="11">
        <f t="shared" si="170"/>
        <v>2.551893119999999</v>
      </c>
      <c r="J257" s="11">
        <f t="shared" si="170"/>
        <v>6.0735056256000002</v>
      </c>
      <c r="K257" s="11">
        <f t="shared" si="170"/>
        <v>16.588382739600004</v>
      </c>
      <c r="L257" s="11">
        <f t="shared" si="170"/>
        <v>23.763215148427204</v>
      </c>
      <c r="M257" s="11">
        <f t="shared" si="170"/>
        <v>16.014247854548874</v>
      </c>
      <c r="N257" s="11">
        <f t="shared" si="170"/>
        <v>18.062670975392333</v>
      </c>
      <c r="O257" s="11">
        <f t="shared" si="170"/>
        <v>15.560298093347155</v>
      </c>
      <c r="P257" s="11">
        <f t="shared" si="170"/>
        <v>13.007981702018638</v>
      </c>
      <c r="Q257" s="11">
        <f t="shared" si="170"/>
        <v>15.140916829447637</v>
      </c>
      <c r="R257" s="11">
        <f t="shared" si="170"/>
        <v>4.9137777180519044E-15</v>
      </c>
      <c r="S257" s="11">
        <f t="shared" si="170"/>
        <v>0</v>
      </c>
      <c r="V257" s="134"/>
      <c r="W257" s="100"/>
      <c r="X257" s="100"/>
      <c r="Y257" s="27"/>
      <c r="Z257" s="88"/>
      <c r="AA257" s="89"/>
      <c r="AB257" s="90"/>
      <c r="AC257" s="90"/>
      <c r="AD257" s="90"/>
      <c r="AE257" s="89"/>
      <c r="AF257" s="90"/>
      <c r="AG257" s="90"/>
      <c r="AH257" s="90"/>
      <c r="AI257" s="90"/>
      <c r="AJ257" s="91"/>
      <c r="AK257" s="27"/>
      <c r="AL257" s="27"/>
      <c r="AM257" s="27"/>
      <c r="AN257" s="27"/>
      <c r="AO257" s="27"/>
      <c r="AP257" s="27"/>
      <c r="AQ257" s="27"/>
      <c r="AR257" s="27"/>
      <c r="AS257" s="27"/>
      <c r="AT257" s="27"/>
      <c r="AU257" s="27"/>
      <c r="AV257" s="27"/>
      <c r="AW257" s="27"/>
      <c r="AX257" s="27"/>
      <c r="AY257" s="27"/>
      <c r="AZ257" s="27"/>
      <c r="BA257" s="27"/>
      <c r="BB257" s="27"/>
      <c r="BC257" s="27"/>
      <c r="BD257" s="27"/>
      <c r="BE257" s="27"/>
      <c r="BF257" s="27"/>
      <c r="BG257" s="27"/>
      <c r="BH257" s="27"/>
      <c r="BI257" s="27"/>
      <c r="BJ257" s="27"/>
      <c r="BK257" s="27"/>
      <c r="BL257" s="27"/>
      <c r="BM257" s="27"/>
      <c r="BN257" s="27"/>
      <c r="BO257" s="27"/>
      <c r="BP257" s="27"/>
      <c r="BQ257" s="27"/>
      <c r="BR257" s="27"/>
      <c r="BS257" s="27"/>
      <c r="BT257" s="27"/>
      <c r="BU257" s="27"/>
      <c r="BV257" s="27"/>
      <c r="BW257" s="27"/>
      <c r="BX257" s="27"/>
      <c r="BY257" s="27"/>
      <c r="BZ257" s="27"/>
      <c r="CA257" s="27"/>
      <c r="CB257" s="27"/>
    </row>
    <row r="258" spans="1:80" ht="15" customHeight="1">
      <c r="B258" s="92"/>
      <c r="C258" s="105"/>
      <c r="D258" s="121"/>
      <c r="E258" s="40"/>
      <c r="F258" s="27"/>
      <c r="G258" s="11"/>
      <c r="H258" s="11"/>
      <c r="I258" s="11"/>
      <c r="J258" s="11"/>
      <c r="K258" s="11"/>
      <c r="L258" s="11"/>
      <c r="M258" s="11"/>
      <c r="N258" s="11"/>
      <c r="O258" s="11"/>
      <c r="P258" s="11"/>
      <c r="Q258" s="11"/>
      <c r="R258" s="11"/>
      <c r="S258" s="11"/>
      <c r="Z258" s="38"/>
      <c r="AA258" s="38"/>
      <c r="AB258" s="38"/>
      <c r="AC258" s="38"/>
      <c r="AD258" s="38"/>
      <c r="AE258" s="38"/>
      <c r="AF258" s="38"/>
      <c r="AG258" s="38"/>
      <c r="AH258" s="38"/>
      <c r="AI258" s="38"/>
      <c r="AJ258" s="38"/>
    </row>
    <row r="259" spans="1:80" ht="15" customHeight="1">
      <c r="B259" s="92"/>
      <c r="C259" s="147"/>
      <c r="D259" s="148" t="s">
        <v>185</v>
      </c>
      <c r="E259" s="63"/>
      <c r="F259" s="22"/>
      <c r="G259" s="124"/>
      <c r="H259" s="124"/>
      <c r="I259" s="124"/>
      <c r="J259" s="124"/>
      <c r="K259" s="124"/>
      <c r="L259" s="124"/>
      <c r="M259" s="124"/>
      <c r="N259" s="124"/>
      <c r="O259" s="124"/>
      <c r="P259" s="124"/>
      <c r="Q259" s="124"/>
      <c r="R259" s="124"/>
      <c r="S259" s="124"/>
      <c r="T259" s="22"/>
      <c r="U259" s="22"/>
      <c r="Z259" s="38"/>
      <c r="AA259" s="38"/>
      <c r="AB259" s="38"/>
      <c r="AC259" s="38"/>
      <c r="AD259" s="38"/>
      <c r="AE259" s="38"/>
      <c r="AF259" s="38"/>
      <c r="AG259" s="38"/>
      <c r="AH259" s="38"/>
      <c r="AI259" s="38"/>
      <c r="AJ259" s="38"/>
    </row>
    <row r="260" spans="1:80" ht="15" customHeight="1">
      <c r="B260" s="92"/>
      <c r="C260" s="105">
        <f t="shared" ref="C260:C261" si="171">SUM(G260:S260)</f>
        <v>250</v>
      </c>
      <c r="D260" s="121" t="s">
        <v>186</v>
      </c>
      <c r="E260" s="40" t="s">
        <v>112</v>
      </c>
      <c r="F260" s="27"/>
      <c r="G260" s="11">
        <f>G165</f>
        <v>250</v>
      </c>
      <c r="H260" s="11">
        <f t="shared" ref="H260:S260" si="172">H165</f>
        <v>0</v>
      </c>
      <c r="I260" s="11">
        <f t="shared" si="172"/>
        <v>0</v>
      </c>
      <c r="J260" s="11">
        <f t="shared" si="172"/>
        <v>0</v>
      </c>
      <c r="K260" s="11">
        <f t="shared" si="172"/>
        <v>0</v>
      </c>
      <c r="L260" s="11">
        <f t="shared" si="172"/>
        <v>0</v>
      </c>
      <c r="M260" s="11">
        <f t="shared" si="172"/>
        <v>0</v>
      </c>
      <c r="N260" s="11">
        <f t="shared" si="172"/>
        <v>0</v>
      </c>
      <c r="O260" s="11">
        <f t="shared" si="172"/>
        <v>0</v>
      </c>
      <c r="P260" s="11">
        <f t="shared" si="172"/>
        <v>0</v>
      </c>
      <c r="Q260" s="11">
        <f t="shared" si="172"/>
        <v>0</v>
      </c>
      <c r="R260" s="11">
        <f t="shared" si="172"/>
        <v>0</v>
      </c>
      <c r="S260" s="11">
        <f t="shared" si="172"/>
        <v>0</v>
      </c>
      <c r="Z260" s="38"/>
      <c r="AA260" s="38"/>
      <c r="AB260" s="38"/>
      <c r="AC260" s="38"/>
      <c r="AD260" s="38"/>
      <c r="AE260" s="38"/>
      <c r="AF260" s="38"/>
      <c r="AG260" s="38"/>
      <c r="AH260" s="38"/>
      <c r="AI260" s="38"/>
      <c r="AJ260" s="38"/>
    </row>
    <row r="261" spans="1:80" ht="15" customHeight="1">
      <c r="B261" s="92"/>
      <c r="C261" s="105">
        <f t="shared" si="171"/>
        <v>250</v>
      </c>
      <c r="D261" s="121" t="str">
        <f>"Expensing of exploration costs ("&amp;$F$38&amp;")"</f>
        <v>Expensing of exploration costs (deferred)</v>
      </c>
      <c r="E261" s="40" t="s">
        <v>112</v>
      </c>
      <c r="F261" s="27"/>
      <c r="G261" s="11">
        <f>IF($F$38="immediate",G260,IF(G89=0,0,IF(G89=1,SUM($G$260:G260),G260)))</f>
        <v>0</v>
      </c>
      <c r="H261" s="11">
        <f>IF($F$38="immediate",H260,IF(H89=0,0,IF(H89=1,SUM($G$260:H260),H260)))</f>
        <v>0</v>
      </c>
      <c r="I261" s="11">
        <f>IF($F$38="immediate",I260,IF(I89=0,0,IF(I89=1,SUM($G$260:I260),I260)))</f>
        <v>250</v>
      </c>
      <c r="J261" s="11">
        <f>IF($F$38="immediate",J260,IF(J89=0,0,IF(J89=1,SUM($G$260:J260),J260)))</f>
        <v>0</v>
      </c>
      <c r="K261" s="11">
        <f>IF($F$38="immediate",K260,IF(K89=0,0,IF(K89=1,SUM($G$260:K260),K260)))</f>
        <v>0</v>
      </c>
      <c r="L261" s="11">
        <f>IF($F$38="immediate",L260,IF(L89=0,0,IF(L89=1,SUM($G$260:L260),L260)))</f>
        <v>0</v>
      </c>
      <c r="M261" s="11">
        <f>IF($F$38="immediate",M260,IF(M89=0,0,IF(M89=1,SUM($G$260:M260),M260)))</f>
        <v>0</v>
      </c>
      <c r="N261" s="11">
        <f>IF($F$38="immediate",N260,IF(N89=0,0,IF(N89=1,SUM($G$260:N260),N260)))</f>
        <v>0</v>
      </c>
      <c r="O261" s="11">
        <f>IF($F$38="immediate",O260,IF(O89=0,0,IF(O89=1,SUM($G$260:O260),O260)))</f>
        <v>0</v>
      </c>
      <c r="P261" s="11">
        <f>IF($F$38="immediate",P260,IF(P89=0,0,IF(P89=1,SUM($G$260:P260),P260)))</f>
        <v>0</v>
      </c>
      <c r="Q261" s="11">
        <f>IF($F$38="immediate",Q260,IF(Q89=0,0,IF(Q89=1,SUM($G$260:Q260),Q260)))</f>
        <v>0</v>
      </c>
      <c r="R261" s="11">
        <f>IF($F$38="immediate",R260,IF(R89=0,0,IF(R89=1,SUM($G$260:R260),R260)))</f>
        <v>0</v>
      </c>
      <c r="S261" s="11">
        <f>IF($F$38="immediate",S260,IF(S89=0,0,IF(S89=1,SUM($G$260:S260),S260)))</f>
        <v>0</v>
      </c>
      <c r="Z261" s="38"/>
      <c r="AA261" s="38"/>
      <c r="AB261" s="38"/>
      <c r="AC261" s="38"/>
      <c r="AD261" s="38"/>
      <c r="AE261" s="38"/>
      <c r="AF261" s="38"/>
      <c r="AG261" s="38"/>
      <c r="AH261" s="38"/>
      <c r="AI261" s="38"/>
      <c r="AJ261" s="38"/>
    </row>
    <row r="262" spans="1:80" ht="15" customHeight="1">
      <c r="B262" s="92"/>
      <c r="C262" s="105"/>
      <c r="E262" s="40"/>
      <c r="F262" s="130"/>
      <c r="G262" s="11"/>
      <c r="H262" s="11"/>
      <c r="I262" s="11"/>
      <c r="J262" s="11"/>
      <c r="K262" s="11"/>
      <c r="L262" s="11"/>
      <c r="M262" s="11"/>
      <c r="N262" s="11"/>
      <c r="O262" s="11"/>
      <c r="P262" s="11"/>
      <c r="Q262" s="11"/>
      <c r="R262" s="11"/>
      <c r="S262" s="11"/>
      <c r="T262" s="27"/>
      <c r="U262" s="27"/>
      <c r="V262" s="27"/>
      <c r="W262" s="129"/>
      <c r="X262" s="27"/>
      <c r="Y262" s="27"/>
      <c r="Z262" s="88"/>
      <c r="AA262" s="89"/>
      <c r="AB262" s="90"/>
      <c r="AC262" s="90"/>
      <c r="AD262" s="90"/>
      <c r="AE262" s="89"/>
      <c r="AF262" s="90"/>
      <c r="AG262" s="90"/>
      <c r="AH262" s="90"/>
      <c r="AI262" s="90"/>
      <c r="AJ262" s="38"/>
    </row>
    <row r="263" spans="1:80" s="202" customFormat="1" ht="15" customHeight="1">
      <c r="A263" s="201"/>
      <c r="C263" s="213"/>
      <c r="D263" s="213" t="s">
        <v>387</v>
      </c>
      <c r="E263" s="213" t="s">
        <v>124</v>
      </c>
      <c r="F263" s="213"/>
      <c r="G263" s="246">
        <f>(MAX(G$89:$S89)&gt;1)*1</f>
        <v>1</v>
      </c>
      <c r="H263" s="246">
        <f>(MAX(H$89:$S89)&gt;1)*1</f>
        <v>1</v>
      </c>
      <c r="I263" s="246">
        <f>(MAX(I$89:$S89)&gt;1)*1</f>
        <v>1</v>
      </c>
      <c r="J263" s="246">
        <f>(MAX(J$89:$S89)&gt;1)*1</f>
        <v>1</v>
      </c>
      <c r="K263" s="246">
        <f>(MAX(K$89:$S89)&gt;1)*1</f>
        <v>1</v>
      </c>
      <c r="L263" s="246">
        <f>(MAX(L$89:$S89)&gt;1)*1</f>
        <v>1</v>
      </c>
      <c r="M263" s="246">
        <f>(MAX(M$89:$S89)&gt;1)*1</f>
        <v>1</v>
      </c>
      <c r="N263" s="246">
        <f>(MAX(N$89:$S89)&gt;1)*1</f>
        <v>1</v>
      </c>
      <c r="O263" s="246">
        <f>(MAX(O$89:$S89)&gt;1)*1</f>
        <v>1</v>
      </c>
      <c r="P263" s="246">
        <f>(MAX(P$89:$S89)&gt;1)*1</f>
        <v>1</v>
      </c>
      <c r="Q263" s="246">
        <f>(MAX(Q$89:$S89)&gt;1)*1</f>
        <v>1</v>
      </c>
      <c r="R263" s="246">
        <f>(MAX(R$89:$S89)&gt;1)*1</f>
        <v>0</v>
      </c>
      <c r="S263" s="246">
        <f>(MAX(S$89:$S89)&gt;1)*1</f>
        <v>0</v>
      </c>
      <c r="T263" s="213"/>
      <c r="U263" s="213"/>
    </row>
    <row r="264" spans="1:80" s="202" customFormat="1" ht="15" customHeight="1">
      <c r="A264" s="201"/>
      <c r="C264" s="213"/>
      <c r="D264" s="213"/>
      <c r="E264" s="213"/>
      <c r="F264" s="213"/>
      <c r="G264" s="246"/>
      <c r="H264" s="246"/>
      <c r="I264" s="246"/>
      <c r="J264" s="246"/>
      <c r="K264" s="246"/>
      <c r="L264" s="246"/>
      <c r="M264" s="246"/>
      <c r="N264" s="246"/>
      <c r="O264" s="246"/>
      <c r="P264" s="246"/>
      <c r="Q264" s="246"/>
      <c r="R264" s="246"/>
      <c r="S264" s="246"/>
      <c r="T264" s="213"/>
      <c r="U264" s="213"/>
    </row>
    <row r="265" spans="1:80" ht="15" customHeight="1">
      <c r="B265" s="92"/>
      <c r="C265" s="105">
        <f t="shared" ref="C265:C277" si="173">SUM(G265:S265)</f>
        <v>532.09282566326397</v>
      </c>
      <c r="D265" s="15" t="s">
        <v>344</v>
      </c>
      <c r="E265" s="40" t="s">
        <v>112</v>
      </c>
      <c r="F265" s="130"/>
      <c r="G265" s="11">
        <f>G166+G167</f>
        <v>0</v>
      </c>
      <c r="H265" s="11">
        <f t="shared" ref="H265:S265" si="174">H166+H167</f>
        <v>459</v>
      </c>
      <c r="I265" s="11">
        <f t="shared" si="174"/>
        <v>14.045400000000001</v>
      </c>
      <c r="J265" s="11">
        <f t="shared" si="174"/>
        <v>14.326307999999999</v>
      </c>
      <c r="K265" s="11">
        <f t="shared" si="174"/>
        <v>14.61283416</v>
      </c>
      <c r="L265" s="11">
        <f t="shared" si="174"/>
        <v>14.905090843200002</v>
      </c>
      <c r="M265" s="11">
        <f t="shared" si="174"/>
        <v>15.203192660064003</v>
      </c>
      <c r="N265" s="11">
        <f t="shared" si="174"/>
        <v>0</v>
      </c>
      <c r="O265" s="11">
        <f t="shared" si="174"/>
        <v>0</v>
      </c>
      <c r="P265" s="11">
        <f t="shared" si="174"/>
        <v>0</v>
      </c>
      <c r="Q265" s="11">
        <f t="shared" si="174"/>
        <v>0</v>
      </c>
      <c r="R265" s="11">
        <f t="shared" si="174"/>
        <v>0</v>
      </c>
      <c r="S265" s="11">
        <f t="shared" si="174"/>
        <v>0</v>
      </c>
      <c r="T265" s="27"/>
      <c r="U265" s="27"/>
      <c r="V265" s="27"/>
      <c r="W265" s="129"/>
      <c r="X265" s="27"/>
      <c r="Y265" s="27"/>
      <c r="Z265" s="88"/>
      <c r="AA265" s="89"/>
      <c r="AB265" s="90"/>
      <c r="AC265" s="90"/>
      <c r="AD265" s="90"/>
      <c r="AE265" s="89"/>
      <c r="AF265" s="90"/>
      <c r="AG265" s="90"/>
      <c r="AH265" s="90"/>
      <c r="AI265" s="90"/>
      <c r="AJ265" s="38"/>
    </row>
    <row r="266" spans="1:80" ht="15" customHeight="1">
      <c r="B266" s="92"/>
      <c r="C266" s="105">
        <f t="shared" si="173"/>
        <v>532.09282566326397</v>
      </c>
      <c r="D266" s="15" t="str">
        <f>"Development costs for depreciation ("&amp;$F$39&amp;")"</f>
        <v>Development costs for depreciation (deferred)</v>
      </c>
      <c r="E266" s="40" t="s">
        <v>112</v>
      </c>
      <c r="F266" s="130"/>
      <c r="G266" s="11">
        <f>IF($F$39="immediate",G265,IF(G89=0,0,IF(G89=1,SUM($G$265:G265),G265)))</f>
        <v>0</v>
      </c>
      <c r="H266" s="11">
        <f>IF($F$39="immediate",H265,IF(H89=0,0,IF(H89=1,SUM($G$265:H265),H265)))</f>
        <v>0</v>
      </c>
      <c r="I266" s="11">
        <f>IF($F$39="immediate",I265,IF(I89=0,0,IF(I89=1,SUM($G$265:I265),I265)))</f>
        <v>473.04539999999997</v>
      </c>
      <c r="J266" s="11">
        <f>IF($F$39="immediate",J265,IF(J89=0,0,IF(J89=1,SUM($G$265:J265),J265)))</f>
        <v>14.326307999999999</v>
      </c>
      <c r="K266" s="11">
        <f>IF($F$39="immediate",K265,IF(K89=0,0,IF(K89=1,SUM($G$265:K265),K265)))</f>
        <v>14.61283416</v>
      </c>
      <c r="L266" s="11">
        <f>IF($F$39="immediate",L265,IF(L89=0,0,IF(L89=1,SUM($G$265:L265),L265)))</f>
        <v>14.905090843200002</v>
      </c>
      <c r="M266" s="11">
        <f>IF($F$39="immediate",M265,IF(M89=0,0,IF(M89=1,SUM($G$265:M265),M265)))</f>
        <v>15.203192660064003</v>
      </c>
      <c r="N266" s="11">
        <f>IF($F$39="immediate",N265,IF(N89=0,0,IF(N89=1,SUM($G$265:N265),N265)))</f>
        <v>0</v>
      </c>
      <c r="O266" s="11">
        <f>IF($F$39="immediate",O265,IF(O89=0,0,IF(O89=1,SUM($G$265:O265),O265)))</f>
        <v>0</v>
      </c>
      <c r="P266" s="11">
        <f>IF($F$39="immediate",P265,IF(P89=0,0,IF(P89=1,SUM($G$265:P265),P265)))</f>
        <v>0</v>
      </c>
      <c r="Q266" s="11">
        <f>IF($F$39="immediate",Q265,IF(Q89=0,0,IF(Q89=1,SUM($G$265:Q265),Q265)))</f>
        <v>0</v>
      </c>
      <c r="R266" s="11">
        <f>IF($F$39="immediate",R265,IF(R89=0,0,IF(R89=1,SUM($G$265:R265),R265)))</f>
        <v>0</v>
      </c>
      <c r="S266" s="11">
        <f>IF($F$39="immediate",S265,IF(S89=0,0,IF(S89=1,SUM($G$265:S265),S265)))</f>
        <v>0</v>
      </c>
      <c r="T266" s="27"/>
      <c r="U266" s="27"/>
      <c r="V266" s="27"/>
      <c r="W266" s="129"/>
      <c r="X266" s="27"/>
      <c r="Y266" s="27"/>
      <c r="Z266" s="88"/>
      <c r="AA266" s="89"/>
      <c r="AB266" s="90"/>
      <c r="AC266" s="90"/>
      <c r="AD266" s="90"/>
      <c r="AE266" s="89"/>
      <c r="AF266" s="90"/>
      <c r="AG266" s="90"/>
      <c r="AH266" s="90"/>
      <c r="AI266" s="90"/>
      <c r="AJ266" s="38"/>
    </row>
    <row r="267" spans="1:80" ht="15" customHeight="1">
      <c r="B267" s="131">
        <f>IF($F$40=0,0,1/$F$40)</f>
        <v>0.1</v>
      </c>
      <c r="C267" s="105">
        <f t="shared" si="173"/>
        <v>53.209282566326408</v>
      </c>
      <c r="D267" s="132" t="s">
        <v>147</v>
      </c>
      <c r="E267" s="40" t="s">
        <v>112</v>
      </c>
      <c r="F267" s="130"/>
      <c r="G267" s="355">
        <f>G$266*$B267*G$263</f>
        <v>0</v>
      </c>
      <c r="H267" s="355">
        <f t="shared" ref="H267:S267" si="175">H$266*$B267*H$263</f>
        <v>0</v>
      </c>
      <c r="I267" s="355">
        <f t="shared" si="175"/>
        <v>47.304540000000003</v>
      </c>
      <c r="J267" s="355">
        <f t="shared" si="175"/>
        <v>1.4326308000000001</v>
      </c>
      <c r="K267" s="355">
        <f t="shared" si="175"/>
        <v>1.4612834160000001</v>
      </c>
      <c r="L267" s="355">
        <f t="shared" si="175"/>
        <v>1.4905090843200002</v>
      </c>
      <c r="M267" s="355">
        <f t="shared" si="175"/>
        <v>1.5203192660064004</v>
      </c>
      <c r="N267" s="355">
        <f t="shared" si="175"/>
        <v>0</v>
      </c>
      <c r="O267" s="355">
        <f t="shared" si="175"/>
        <v>0</v>
      </c>
      <c r="P267" s="355">
        <f t="shared" si="175"/>
        <v>0</v>
      </c>
      <c r="Q267" s="355">
        <f t="shared" si="175"/>
        <v>0</v>
      </c>
      <c r="R267" s="355">
        <f t="shared" si="175"/>
        <v>0</v>
      </c>
      <c r="S267" s="355">
        <f t="shared" si="175"/>
        <v>0</v>
      </c>
      <c r="T267" s="27"/>
      <c r="U267" s="27"/>
      <c r="V267" s="27"/>
      <c r="W267" s="129"/>
      <c r="X267" s="27"/>
      <c r="Y267" s="27"/>
      <c r="Z267" s="88"/>
      <c r="AA267" s="89"/>
      <c r="AB267" s="90"/>
      <c r="AC267" s="90"/>
      <c r="AD267" s="90"/>
      <c r="AE267" s="89"/>
      <c r="AF267" s="90"/>
      <c r="AG267" s="90"/>
      <c r="AH267" s="90"/>
      <c r="AI267" s="90"/>
      <c r="AJ267" s="38"/>
    </row>
    <row r="268" spans="1:80" ht="15" customHeight="1">
      <c r="B268" s="131">
        <f>IF($F$40=0,0,MIN(1/$F$40,1-SUM($B$267:B267)))</f>
        <v>0.1</v>
      </c>
      <c r="C268" s="105">
        <f t="shared" si="173"/>
        <v>53.209282566326408</v>
      </c>
      <c r="D268" s="132" t="s">
        <v>148</v>
      </c>
      <c r="E268" s="40" t="s">
        <v>112</v>
      </c>
      <c r="F268" s="130"/>
      <c r="G268" s="11"/>
      <c r="H268" s="355">
        <f>G$266*$B268*H$263</f>
        <v>0</v>
      </c>
      <c r="I268" s="355">
        <f t="shared" ref="I268:S268" si="176">H$266*$B268*I$263</f>
        <v>0</v>
      </c>
      <c r="J268" s="355">
        <f t="shared" si="176"/>
        <v>47.304540000000003</v>
      </c>
      <c r="K268" s="355">
        <f t="shared" si="176"/>
        <v>1.4326308000000001</v>
      </c>
      <c r="L268" s="355">
        <f t="shared" si="176"/>
        <v>1.4612834160000001</v>
      </c>
      <c r="M268" s="355">
        <f t="shared" si="176"/>
        <v>1.4905090843200002</v>
      </c>
      <c r="N268" s="355">
        <f t="shared" si="176"/>
        <v>1.5203192660064004</v>
      </c>
      <c r="O268" s="355">
        <f t="shared" si="176"/>
        <v>0</v>
      </c>
      <c r="P268" s="355">
        <f t="shared" si="176"/>
        <v>0</v>
      </c>
      <c r="Q268" s="355">
        <f t="shared" si="176"/>
        <v>0</v>
      </c>
      <c r="R268" s="355">
        <f t="shared" si="176"/>
        <v>0</v>
      </c>
      <c r="S268" s="355">
        <f t="shared" si="176"/>
        <v>0</v>
      </c>
      <c r="T268" s="27"/>
      <c r="U268" s="27"/>
      <c r="V268" s="27"/>
      <c r="W268" s="129"/>
      <c r="X268" s="27"/>
      <c r="Y268" s="27"/>
      <c r="Z268" s="88"/>
      <c r="AA268" s="89"/>
      <c r="AB268" s="90"/>
      <c r="AC268" s="90"/>
      <c r="AD268" s="90"/>
      <c r="AE268" s="89"/>
      <c r="AF268" s="90"/>
      <c r="AG268" s="90"/>
      <c r="AH268" s="90"/>
      <c r="AI268" s="90"/>
      <c r="AJ268" s="38"/>
    </row>
    <row r="269" spans="1:80" ht="15" customHeight="1">
      <c r="B269" s="131">
        <f>IF($F$40=0,0,MIN(1/$F$40,1-SUM($B$267:B268)))</f>
        <v>0.1</v>
      </c>
      <c r="C269" s="105">
        <f t="shared" si="173"/>
        <v>53.209282566326408</v>
      </c>
      <c r="D269" s="132" t="s">
        <v>149</v>
      </c>
      <c r="E269" s="40" t="s">
        <v>112</v>
      </c>
      <c r="F269" s="130"/>
      <c r="G269" s="11"/>
      <c r="H269" s="11"/>
      <c r="I269" s="355">
        <f>G$266*$B269*I$263</f>
        <v>0</v>
      </c>
      <c r="J269" s="355">
        <f t="shared" ref="J269:S269" si="177">H$266*$B269*J$263</f>
        <v>0</v>
      </c>
      <c r="K269" s="355">
        <f t="shared" si="177"/>
        <v>47.304540000000003</v>
      </c>
      <c r="L269" s="355">
        <f t="shared" si="177"/>
        <v>1.4326308000000001</v>
      </c>
      <c r="M269" s="355">
        <f t="shared" si="177"/>
        <v>1.4612834160000001</v>
      </c>
      <c r="N269" s="355">
        <f t="shared" si="177"/>
        <v>1.4905090843200002</v>
      </c>
      <c r="O269" s="355">
        <f t="shared" si="177"/>
        <v>1.5203192660064004</v>
      </c>
      <c r="P269" s="355">
        <f t="shared" si="177"/>
        <v>0</v>
      </c>
      <c r="Q269" s="355">
        <f t="shared" si="177"/>
        <v>0</v>
      </c>
      <c r="R269" s="355">
        <f t="shared" si="177"/>
        <v>0</v>
      </c>
      <c r="S269" s="355">
        <f t="shared" si="177"/>
        <v>0</v>
      </c>
      <c r="T269" s="27"/>
      <c r="U269" s="27"/>
      <c r="V269" s="27"/>
      <c r="W269" s="129"/>
      <c r="X269" s="27"/>
      <c r="Y269" s="27"/>
      <c r="Z269" s="88"/>
      <c r="AA269" s="89"/>
      <c r="AB269" s="90"/>
      <c r="AC269" s="90"/>
      <c r="AD269" s="90"/>
      <c r="AE269" s="89"/>
      <c r="AF269" s="90"/>
      <c r="AG269" s="90"/>
      <c r="AH269" s="90"/>
      <c r="AI269" s="90"/>
      <c r="AJ269" s="38"/>
    </row>
    <row r="270" spans="1:80" ht="15" customHeight="1">
      <c r="B270" s="131">
        <f>IF($F$40=0,0,MIN(1/$F$40,1-SUM($B$267:B269)))</f>
        <v>0.1</v>
      </c>
      <c r="C270" s="105">
        <f t="shared" si="173"/>
        <v>53.209282566326408</v>
      </c>
      <c r="D270" s="132" t="s">
        <v>150</v>
      </c>
      <c r="E270" s="40" t="s">
        <v>112</v>
      </c>
      <c r="F270" s="130"/>
      <c r="G270" s="11"/>
      <c r="H270" s="11"/>
      <c r="I270" s="11"/>
      <c r="J270" s="355">
        <f>G$266*$B270*J$263</f>
        <v>0</v>
      </c>
      <c r="K270" s="355">
        <f t="shared" ref="K270:S270" si="178">H$266*$B270*K$263</f>
        <v>0</v>
      </c>
      <c r="L270" s="355">
        <f t="shared" si="178"/>
        <v>47.304540000000003</v>
      </c>
      <c r="M270" s="355">
        <f t="shared" si="178"/>
        <v>1.4326308000000001</v>
      </c>
      <c r="N270" s="355">
        <f t="shared" si="178"/>
        <v>1.4612834160000001</v>
      </c>
      <c r="O270" s="355">
        <f t="shared" si="178"/>
        <v>1.4905090843200002</v>
      </c>
      <c r="P270" s="355">
        <f t="shared" si="178"/>
        <v>1.5203192660064004</v>
      </c>
      <c r="Q270" s="355">
        <f t="shared" si="178"/>
        <v>0</v>
      </c>
      <c r="R270" s="355">
        <f t="shared" si="178"/>
        <v>0</v>
      </c>
      <c r="S270" s="355">
        <f t="shared" si="178"/>
        <v>0</v>
      </c>
      <c r="T270" s="27"/>
      <c r="U270" s="27"/>
      <c r="V270" s="27"/>
      <c r="W270" s="129"/>
      <c r="X270" s="27"/>
      <c r="Y270" s="27"/>
      <c r="Z270" s="88"/>
      <c r="AA270" s="89"/>
      <c r="AB270" s="90"/>
      <c r="AC270" s="90"/>
      <c r="AD270" s="90"/>
      <c r="AE270" s="89"/>
      <c r="AF270" s="90"/>
      <c r="AG270" s="90"/>
      <c r="AH270" s="90"/>
      <c r="AI270" s="90"/>
      <c r="AJ270" s="38"/>
    </row>
    <row r="271" spans="1:80" ht="15" customHeight="1">
      <c r="B271" s="131">
        <f>IF($F$40=0,0,MIN(1/$F$40,1-SUM($B$267:B270)))</f>
        <v>0.1</v>
      </c>
      <c r="C271" s="105">
        <f t="shared" si="173"/>
        <v>53.209282566326408</v>
      </c>
      <c r="D271" s="132" t="s">
        <v>151</v>
      </c>
      <c r="E271" s="40" t="s">
        <v>112</v>
      </c>
      <c r="F271" s="130"/>
      <c r="G271" s="11"/>
      <c r="H271" s="11"/>
      <c r="I271" s="11"/>
      <c r="J271" s="11"/>
      <c r="K271" s="355">
        <f>G$266*$B271*K$263</f>
        <v>0</v>
      </c>
      <c r="L271" s="355">
        <f t="shared" ref="L271:S271" si="179">H$266*$B271*L$263</f>
        <v>0</v>
      </c>
      <c r="M271" s="355">
        <f t="shared" si="179"/>
        <v>47.304540000000003</v>
      </c>
      <c r="N271" s="355">
        <f t="shared" si="179"/>
        <v>1.4326308000000001</v>
      </c>
      <c r="O271" s="355">
        <f t="shared" si="179"/>
        <v>1.4612834160000001</v>
      </c>
      <c r="P271" s="355">
        <f t="shared" si="179"/>
        <v>1.4905090843200002</v>
      </c>
      <c r="Q271" s="355">
        <f t="shared" si="179"/>
        <v>1.5203192660064004</v>
      </c>
      <c r="R271" s="355">
        <f t="shared" si="179"/>
        <v>0</v>
      </c>
      <c r="S271" s="355">
        <f t="shared" si="179"/>
        <v>0</v>
      </c>
      <c r="T271" s="27"/>
      <c r="U271" s="27"/>
      <c r="V271" s="27"/>
      <c r="W271" s="129"/>
      <c r="X271" s="27"/>
      <c r="Y271" s="27"/>
      <c r="Z271" s="88"/>
      <c r="AA271" s="89"/>
      <c r="AB271" s="90"/>
      <c r="AC271" s="90"/>
      <c r="AD271" s="90"/>
      <c r="AE271" s="89"/>
      <c r="AF271" s="90"/>
      <c r="AG271" s="90"/>
      <c r="AH271" s="90"/>
      <c r="AI271" s="90"/>
      <c r="AJ271" s="38"/>
    </row>
    <row r="272" spans="1:80" ht="15" customHeight="1">
      <c r="B272" s="131">
        <f>IF($F$40=0,0,MIN(1/$F$40,1-SUM($B$267:B271)))</f>
        <v>0.1</v>
      </c>
      <c r="C272" s="105">
        <f t="shared" si="173"/>
        <v>51.688963300320005</v>
      </c>
      <c r="D272" s="132" t="s">
        <v>152</v>
      </c>
      <c r="E272" s="40" t="s">
        <v>112</v>
      </c>
      <c r="F272" s="130"/>
      <c r="G272" s="11"/>
      <c r="H272" s="11"/>
      <c r="I272" s="11"/>
      <c r="J272" s="11"/>
      <c r="K272" s="11"/>
      <c r="L272" s="355">
        <f>G$266*$B272*L$263</f>
        <v>0</v>
      </c>
      <c r="M272" s="355">
        <f t="shared" ref="M272:S272" si="180">H$266*$B272*M$263</f>
        <v>0</v>
      </c>
      <c r="N272" s="355">
        <f t="shared" si="180"/>
        <v>47.304540000000003</v>
      </c>
      <c r="O272" s="355">
        <f t="shared" si="180"/>
        <v>1.4326308000000001</v>
      </c>
      <c r="P272" s="355">
        <f t="shared" si="180"/>
        <v>1.4612834160000001</v>
      </c>
      <c r="Q272" s="355">
        <f t="shared" si="180"/>
        <v>1.4905090843200002</v>
      </c>
      <c r="R272" s="355">
        <f t="shared" si="180"/>
        <v>0</v>
      </c>
      <c r="S272" s="355">
        <f t="shared" si="180"/>
        <v>0</v>
      </c>
      <c r="T272" s="27"/>
      <c r="U272" s="27"/>
      <c r="V272" s="27"/>
      <c r="W272" s="129"/>
      <c r="X272" s="27"/>
      <c r="Y272" s="27"/>
      <c r="Z272" s="88"/>
      <c r="AA272" s="89"/>
      <c r="AB272" s="90"/>
      <c r="AC272" s="90"/>
      <c r="AD272" s="90"/>
      <c r="AE272" s="89"/>
      <c r="AF272" s="90"/>
      <c r="AG272" s="90"/>
      <c r="AH272" s="90"/>
      <c r="AI272" s="90"/>
      <c r="AJ272" s="38"/>
    </row>
    <row r="273" spans="1:36" ht="15" customHeight="1">
      <c r="B273" s="131">
        <f>IF($F$40=0,0,MIN(1/$F$40,1-SUM($B$267:B272)))</f>
        <v>0.1</v>
      </c>
      <c r="C273" s="105">
        <f t="shared" si="173"/>
        <v>50.198454216000002</v>
      </c>
      <c r="D273" s="132" t="s">
        <v>153</v>
      </c>
      <c r="E273" s="40" t="s">
        <v>112</v>
      </c>
      <c r="F273" s="130"/>
      <c r="G273" s="11"/>
      <c r="H273" s="11"/>
      <c r="I273" s="11"/>
      <c r="J273" s="11"/>
      <c r="K273" s="11"/>
      <c r="L273" s="11"/>
      <c r="M273" s="355">
        <f>G$266*$B273*M$263</f>
        <v>0</v>
      </c>
      <c r="N273" s="355">
        <f t="shared" ref="N273:S273" si="181">H$266*$B273*N$263</f>
        <v>0</v>
      </c>
      <c r="O273" s="355">
        <f t="shared" si="181"/>
        <v>47.304540000000003</v>
      </c>
      <c r="P273" s="355">
        <f t="shared" si="181"/>
        <v>1.4326308000000001</v>
      </c>
      <c r="Q273" s="355">
        <f t="shared" si="181"/>
        <v>1.4612834160000001</v>
      </c>
      <c r="R273" s="355">
        <f t="shared" si="181"/>
        <v>0</v>
      </c>
      <c r="S273" s="355">
        <f t="shared" si="181"/>
        <v>0</v>
      </c>
      <c r="T273" s="27"/>
      <c r="U273" s="27"/>
      <c r="V273" s="27"/>
      <c r="W273" s="129"/>
      <c r="X273" s="27"/>
      <c r="Y273" s="27"/>
      <c r="Z273" s="88"/>
      <c r="AA273" s="89"/>
      <c r="AB273" s="90"/>
      <c r="AC273" s="90"/>
      <c r="AD273" s="90"/>
      <c r="AE273" s="89"/>
      <c r="AF273" s="90"/>
      <c r="AG273" s="90"/>
      <c r="AH273" s="90"/>
      <c r="AI273" s="90"/>
      <c r="AJ273" s="38"/>
    </row>
    <row r="274" spans="1:36" ht="15" customHeight="1">
      <c r="B274" s="131">
        <f>IF($F$40=0,0,MIN(1/$F$40,1-SUM($B$267:B273)))</f>
        <v>0.1</v>
      </c>
      <c r="C274" s="105">
        <f t="shared" si="173"/>
        <v>48.737170800000001</v>
      </c>
      <c r="D274" s="132" t="s">
        <v>154</v>
      </c>
      <c r="E274" s="40" t="s">
        <v>112</v>
      </c>
      <c r="F274" s="130"/>
      <c r="G274" s="11"/>
      <c r="H274" s="11"/>
      <c r="I274" s="11"/>
      <c r="J274" s="11"/>
      <c r="K274" s="11"/>
      <c r="L274" s="11"/>
      <c r="M274" s="11"/>
      <c r="N274" s="355">
        <f>G$266*$B274*N$263</f>
        <v>0</v>
      </c>
      <c r="O274" s="355">
        <f t="shared" ref="O274:S274" si="182">H$266*$B274*O$263</f>
        <v>0</v>
      </c>
      <c r="P274" s="355">
        <f t="shared" si="182"/>
        <v>47.304540000000003</v>
      </c>
      <c r="Q274" s="355">
        <f t="shared" si="182"/>
        <v>1.4326308000000001</v>
      </c>
      <c r="R274" s="355">
        <f t="shared" si="182"/>
        <v>0</v>
      </c>
      <c r="S274" s="355">
        <f t="shared" si="182"/>
        <v>0</v>
      </c>
      <c r="T274" s="27"/>
      <c r="U274" s="27"/>
      <c r="V274" s="27"/>
      <c r="W274" s="129"/>
      <c r="X274" s="27"/>
      <c r="Y274" s="27"/>
      <c r="Z274" s="88"/>
      <c r="AA274" s="89"/>
      <c r="AB274" s="90"/>
      <c r="AC274" s="90"/>
      <c r="AD274" s="90"/>
      <c r="AE274" s="89"/>
      <c r="AF274" s="90"/>
      <c r="AG274" s="90"/>
      <c r="AH274" s="90"/>
      <c r="AI274" s="90"/>
      <c r="AJ274" s="38"/>
    </row>
    <row r="275" spans="1:36" ht="15" customHeight="1">
      <c r="B275" s="131">
        <f>IF($F$40=0,0,MIN(1/$F$40,1-SUM($B$267:B274)))</f>
        <v>0.1</v>
      </c>
      <c r="C275" s="105">
        <f t="shared" si="173"/>
        <v>47.304540000000003</v>
      </c>
      <c r="D275" s="132" t="s">
        <v>155</v>
      </c>
      <c r="E275" s="40" t="s">
        <v>112</v>
      </c>
      <c r="F275" s="130"/>
      <c r="G275" s="11"/>
      <c r="H275" s="11"/>
      <c r="I275" s="11"/>
      <c r="J275" s="11"/>
      <c r="K275" s="11"/>
      <c r="L275" s="11"/>
      <c r="M275" s="11"/>
      <c r="N275" s="11"/>
      <c r="O275" s="355">
        <f>G$266*$B275*O$263</f>
        <v>0</v>
      </c>
      <c r="P275" s="355">
        <f t="shared" ref="P275:S275" si="183">H$266*$B275*P$263</f>
        <v>0</v>
      </c>
      <c r="Q275" s="355">
        <f t="shared" si="183"/>
        <v>47.304540000000003</v>
      </c>
      <c r="R275" s="355">
        <f t="shared" si="183"/>
        <v>0</v>
      </c>
      <c r="S275" s="355">
        <f t="shared" si="183"/>
        <v>0</v>
      </c>
      <c r="T275" s="27"/>
      <c r="U275" s="27"/>
      <c r="V275" s="27"/>
      <c r="W275" s="129"/>
      <c r="X275" s="27"/>
      <c r="Y275" s="27"/>
      <c r="Z275" s="88"/>
      <c r="AA275" s="89"/>
      <c r="AB275" s="90"/>
      <c r="AC275" s="90"/>
      <c r="AD275" s="90"/>
      <c r="AE275" s="89"/>
      <c r="AF275" s="90"/>
      <c r="AG275" s="90"/>
      <c r="AH275" s="90"/>
      <c r="AI275" s="90"/>
      <c r="AJ275" s="38"/>
    </row>
    <row r="276" spans="1:36" ht="15" customHeight="1">
      <c r="B276" s="131">
        <f>IF($F$40=0,0,MIN(1/$F$40,1-SUM($B$267:B275)))</f>
        <v>0.1</v>
      </c>
      <c r="C276" s="105">
        <f t="shared" si="173"/>
        <v>0</v>
      </c>
      <c r="D276" s="132" t="s">
        <v>156</v>
      </c>
      <c r="E276" s="40" t="s">
        <v>112</v>
      </c>
      <c r="F276" s="130"/>
      <c r="G276" s="11"/>
      <c r="H276" s="11"/>
      <c r="I276" s="11"/>
      <c r="J276" s="11"/>
      <c r="K276" s="11"/>
      <c r="L276" s="11"/>
      <c r="M276" s="11"/>
      <c r="N276" s="11"/>
      <c r="O276" s="11"/>
      <c r="P276" s="355">
        <f>G$266*$B276*P$263</f>
        <v>0</v>
      </c>
      <c r="Q276" s="355">
        <f t="shared" ref="Q276:S276" si="184">H$266*$B276*Q$263</f>
        <v>0</v>
      </c>
      <c r="R276" s="355">
        <f t="shared" si="184"/>
        <v>0</v>
      </c>
      <c r="S276" s="355">
        <f t="shared" si="184"/>
        <v>0</v>
      </c>
      <c r="T276" s="27"/>
      <c r="U276" s="27"/>
      <c r="V276" s="27"/>
      <c r="W276" s="129"/>
      <c r="X276" s="27"/>
      <c r="Y276" s="27"/>
      <c r="Z276" s="88"/>
      <c r="AA276" s="89"/>
      <c r="AB276" s="90"/>
      <c r="AC276" s="90"/>
      <c r="AD276" s="90"/>
      <c r="AE276" s="89"/>
      <c r="AF276" s="90"/>
      <c r="AG276" s="90"/>
      <c r="AH276" s="90"/>
      <c r="AI276" s="90"/>
      <c r="AJ276" s="38"/>
    </row>
    <row r="277" spans="1:36" ht="15" customHeight="1">
      <c r="A277" s="107" t="b">
        <f>ROUND(C265-C277-C281,5)=0</f>
        <v>1</v>
      </c>
      <c r="B277" s="92"/>
      <c r="C277" s="105">
        <f t="shared" si="173"/>
        <v>463.97554114795201</v>
      </c>
      <c r="D277" s="73" t="s">
        <v>157</v>
      </c>
      <c r="E277" s="40" t="s">
        <v>112</v>
      </c>
      <c r="F277" s="130"/>
      <c r="G277" s="11">
        <f>SUM(G267:G276)</f>
        <v>0</v>
      </c>
      <c r="H277" s="11">
        <f t="shared" ref="H277:S277" si="185">SUM(H267:H276)</f>
        <v>0</v>
      </c>
      <c r="I277" s="11">
        <f t="shared" si="185"/>
        <v>47.304540000000003</v>
      </c>
      <c r="J277" s="11">
        <f t="shared" si="185"/>
        <v>48.737170800000001</v>
      </c>
      <c r="K277" s="11">
        <f t="shared" si="185"/>
        <v>50.198454216000002</v>
      </c>
      <c r="L277" s="11">
        <f t="shared" si="185"/>
        <v>51.688963300320005</v>
      </c>
      <c r="M277" s="11">
        <f t="shared" si="185"/>
        <v>53.209282566326408</v>
      </c>
      <c r="N277" s="11">
        <f t="shared" si="185"/>
        <v>53.209282566326408</v>
      </c>
      <c r="O277" s="11">
        <f t="shared" si="185"/>
        <v>53.209282566326408</v>
      </c>
      <c r="P277" s="11">
        <f t="shared" si="185"/>
        <v>53.209282566326408</v>
      </c>
      <c r="Q277" s="11">
        <f t="shared" si="185"/>
        <v>53.209282566326408</v>
      </c>
      <c r="R277" s="11">
        <f t="shared" si="185"/>
        <v>0</v>
      </c>
      <c r="S277" s="11">
        <f t="shared" si="185"/>
        <v>0</v>
      </c>
      <c r="T277" s="27"/>
      <c r="U277" s="27"/>
      <c r="V277" s="27"/>
      <c r="W277" s="129"/>
      <c r="X277" s="27"/>
      <c r="Y277" s="27"/>
      <c r="Z277" s="88"/>
      <c r="AA277" s="89"/>
      <c r="AB277" s="90"/>
      <c r="AC277" s="90"/>
      <c r="AD277" s="90"/>
      <c r="AE277" s="89"/>
      <c r="AF277" s="90"/>
      <c r="AG277" s="90"/>
      <c r="AH277" s="90"/>
      <c r="AI277" s="90"/>
      <c r="AJ277" s="38"/>
    </row>
    <row r="278" spans="1:36" ht="15" customHeight="1">
      <c r="B278" s="92"/>
      <c r="C278" s="105"/>
      <c r="D278" s="73"/>
      <c r="E278" s="40"/>
      <c r="F278" s="130"/>
      <c r="G278" s="11"/>
      <c r="H278" s="11"/>
      <c r="I278" s="11"/>
      <c r="J278" s="11"/>
      <c r="K278" s="11"/>
      <c r="L278" s="11"/>
      <c r="M278" s="11"/>
      <c r="N278" s="11"/>
      <c r="O278" s="11"/>
      <c r="P278" s="11"/>
      <c r="Q278" s="11"/>
      <c r="R278" s="11"/>
      <c r="S278" s="11"/>
      <c r="T278" s="27"/>
      <c r="U278" s="27"/>
      <c r="V278" s="27"/>
      <c r="W278" s="129"/>
      <c r="X278" s="27"/>
      <c r="Y278" s="27"/>
      <c r="Z278" s="88"/>
      <c r="AA278" s="89"/>
      <c r="AB278" s="90"/>
      <c r="AC278" s="90"/>
      <c r="AD278" s="90"/>
      <c r="AE278" s="89"/>
      <c r="AF278" s="90"/>
      <c r="AG278" s="90"/>
      <c r="AH278" s="90"/>
      <c r="AI278" s="90"/>
      <c r="AJ278" s="38"/>
    </row>
    <row r="279" spans="1:36" ht="15" customHeight="1">
      <c r="B279" s="92"/>
      <c r="C279" s="105">
        <f>INDEX(G279:S279,,MATCH($C$89,$G$89:$S$89,0))</f>
        <v>532.09282566326397</v>
      </c>
      <c r="D279" s="15" t="s">
        <v>381</v>
      </c>
      <c r="E279" s="40" t="s">
        <v>112</v>
      </c>
      <c r="F279" s="130"/>
      <c r="G279" s="11">
        <f>(F279+G265+F281)*G263</f>
        <v>0</v>
      </c>
      <c r="H279" s="11">
        <f t="shared" ref="H279:S279" si="186">(G279+H265+G281)*H263</f>
        <v>459</v>
      </c>
      <c r="I279" s="11">
        <f t="shared" si="186"/>
        <v>473.04539999999997</v>
      </c>
      <c r="J279" s="11">
        <f t="shared" si="186"/>
        <v>487.37170799999996</v>
      </c>
      <c r="K279" s="11">
        <f t="shared" si="186"/>
        <v>501.98454215999993</v>
      </c>
      <c r="L279" s="11">
        <f t="shared" si="186"/>
        <v>516.88963300319995</v>
      </c>
      <c r="M279" s="11">
        <f t="shared" si="186"/>
        <v>532.09282566326397</v>
      </c>
      <c r="N279" s="11">
        <f t="shared" si="186"/>
        <v>532.09282566326397</v>
      </c>
      <c r="O279" s="11">
        <f t="shared" si="186"/>
        <v>532.09282566326397</v>
      </c>
      <c r="P279" s="11">
        <f t="shared" si="186"/>
        <v>532.09282566326397</v>
      </c>
      <c r="Q279" s="11">
        <f t="shared" si="186"/>
        <v>532.09282566326397</v>
      </c>
      <c r="R279" s="11">
        <f t="shared" si="186"/>
        <v>0</v>
      </c>
      <c r="S279" s="11">
        <f t="shared" si="186"/>
        <v>0</v>
      </c>
      <c r="T279" s="27"/>
      <c r="U279" s="27"/>
      <c r="V279" s="27"/>
      <c r="W279" s="129"/>
      <c r="X279" s="27"/>
      <c r="Y279" s="27"/>
      <c r="Z279" s="88"/>
      <c r="AA279" s="89"/>
      <c r="AB279" s="90"/>
      <c r="AC279" s="90"/>
      <c r="AD279" s="90"/>
      <c r="AE279" s="89"/>
      <c r="AF279" s="90"/>
      <c r="AG279" s="90"/>
      <c r="AH279" s="90"/>
      <c r="AI279" s="90"/>
      <c r="AJ279" s="38"/>
    </row>
    <row r="280" spans="1:36" ht="15" customHeight="1">
      <c r="B280" s="92"/>
      <c r="C280" s="105">
        <f>INDEX(G280:S280,,MATCH($C$89,$G$89:$S$89,0))</f>
        <v>463.97554114795201</v>
      </c>
      <c r="D280" s="73" t="s">
        <v>382</v>
      </c>
      <c r="E280" s="40" t="s">
        <v>112</v>
      </c>
      <c r="F280" s="130"/>
      <c r="G280" s="11">
        <f>(F280+G277)*G263</f>
        <v>0</v>
      </c>
      <c r="H280" s="11">
        <f t="shared" ref="H280:S280" si="187">(G280+H277)*H263</f>
        <v>0</v>
      </c>
      <c r="I280" s="11">
        <f t="shared" si="187"/>
        <v>47.304540000000003</v>
      </c>
      <c r="J280" s="11">
        <f t="shared" si="187"/>
        <v>96.041710800000004</v>
      </c>
      <c r="K280" s="11">
        <f t="shared" si="187"/>
        <v>146.24016501599999</v>
      </c>
      <c r="L280" s="11">
        <f t="shared" si="187"/>
        <v>197.92912831632</v>
      </c>
      <c r="M280" s="11">
        <f t="shared" si="187"/>
        <v>251.13841088264641</v>
      </c>
      <c r="N280" s="11">
        <f t="shared" si="187"/>
        <v>304.34769344897279</v>
      </c>
      <c r="O280" s="11">
        <f t="shared" si="187"/>
        <v>357.5569760152992</v>
      </c>
      <c r="P280" s="11">
        <f t="shared" si="187"/>
        <v>410.76625858162561</v>
      </c>
      <c r="Q280" s="11">
        <f t="shared" si="187"/>
        <v>463.97554114795201</v>
      </c>
      <c r="R280" s="11">
        <f t="shared" si="187"/>
        <v>0</v>
      </c>
      <c r="S280" s="11">
        <f t="shared" si="187"/>
        <v>0</v>
      </c>
      <c r="T280" s="27"/>
      <c r="U280" s="27"/>
      <c r="V280" s="27"/>
      <c r="W280" s="129"/>
      <c r="X280" s="27"/>
      <c r="Y280" s="27"/>
      <c r="Z280" s="88"/>
      <c r="AA280" s="89"/>
      <c r="AB280" s="90"/>
      <c r="AC280" s="90"/>
      <c r="AD280" s="90"/>
      <c r="AE280" s="89"/>
      <c r="AF280" s="90"/>
      <c r="AG280" s="90"/>
      <c r="AH280" s="90"/>
      <c r="AI280" s="90"/>
      <c r="AJ280" s="38"/>
    </row>
    <row r="281" spans="1:36" ht="15" customHeight="1">
      <c r="A281" s="107" t="b">
        <f>ROUND(C279-C280-C281,5)=0</f>
        <v>1</v>
      </c>
      <c r="B281" s="92"/>
      <c r="C281" s="105">
        <f>SUM(G281:S281)</f>
        <v>68.117284515311951</v>
      </c>
      <c r="D281" s="493" t="s">
        <v>388</v>
      </c>
      <c r="E281" s="40" t="s">
        <v>112</v>
      </c>
      <c r="F281" s="141"/>
      <c r="G281" s="121">
        <f>(G279-G280)*(G90=1)</f>
        <v>0</v>
      </c>
      <c r="H281" s="121">
        <f t="shared" ref="H281:S281" si="188">(H279-H280)*(H90=1)</f>
        <v>0</v>
      </c>
      <c r="I281" s="121">
        <f t="shared" si="188"/>
        <v>0</v>
      </c>
      <c r="J281" s="121">
        <f t="shared" si="188"/>
        <v>0</v>
      </c>
      <c r="K281" s="121">
        <f t="shared" si="188"/>
        <v>0</v>
      </c>
      <c r="L281" s="121">
        <f t="shared" si="188"/>
        <v>0</v>
      </c>
      <c r="M281" s="121">
        <f t="shared" si="188"/>
        <v>0</v>
      </c>
      <c r="N281" s="121">
        <f t="shared" si="188"/>
        <v>0</v>
      </c>
      <c r="O281" s="121">
        <f t="shared" si="188"/>
        <v>0</v>
      </c>
      <c r="P281" s="121">
        <f t="shared" si="188"/>
        <v>0</v>
      </c>
      <c r="Q281" s="121">
        <f t="shared" si="188"/>
        <v>68.117284515311951</v>
      </c>
      <c r="R281" s="121">
        <f t="shared" si="188"/>
        <v>0</v>
      </c>
      <c r="S281" s="121">
        <f t="shared" si="188"/>
        <v>0</v>
      </c>
      <c r="T281" s="27"/>
      <c r="U281" s="27"/>
      <c r="V281" s="27"/>
      <c r="W281" s="129"/>
      <c r="X281" s="27"/>
      <c r="Y281" s="27"/>
      <c r="Z281" s="88"/>
      <c r="AA281" s="89"/>
      <c r="AB281" s="90"/>
      <c r="AC281" s="90"/>
      <c r="AD281" s="90"/>
      <c r="AE281" s="89"/>
      <c r="AF281" s="90"/>
      <c r="AG281" s="90"/>
      <c r="AH281" s="90"/>
      <c r="AI281" s="90"/>
      <c r="AJ281" s="38"/>
    </row>
    <row r="282" spans="1:36" ht="15" customHeight="1">
      <c r="A282" s="92"/>
      <c r="B282" s="92"/>
      <c r="C282" s="105">
        <f>SUM(G282:S282)</f>
        <v>7.5685871683679942</v>
      </c>
      <c r="D282" s="493" t="s">
        <v>389</v>
      </c>
      <c r="E282" s="40" t="s">
        <v>112</v>
      </c>
      <c r="F282" s="141"/>
      <c r="G282" s="121">
        <f>G281*$F$42/(1-$F$42)</f>
        <v>0</v>
      </c>
      <c r="H282" s="121">
        <f t="shared" ref="H282:S282" si="189">H281*$F$42/(1-$F$42)</f>
        <v>0</v>
      </c>
      <c r="I282" s="121">
        <f t="shared" si="189"/>
        <v>0</v>
      </c>
      <c r="J282" s="121">
        <f t="shared" si="189"/>
        <v>0</v>
      </c>
      <c r="K282" s="121">
        <f t="shared" si="189"/>
        <v>0</v>
      </c>
      <c r="L282" s="121">
        <f t="shared" si="189"/>
        <v>0</v>
      </c>
      <c r="M282" s="121">
        <f t="shared" si="189"/>
        <v>0</v>
      </c>
      <c r="N282" s="121">
        <f t="shared" si="189"/>
        <v>0</v>
      </c>
      <c r="O282" s="121">
        <f t="shared" si="189"/>
        <v>0</v>
      </c>
      <c r="P282" s="121">
        <f t="shared" si="189"/>
        <v>0</v>
      </c>
      <c r="Q282" s="121">
        <f t="shared" si="189"/>
        <v>7.5685871683679942</v>
      </c>
      <c r="R282" s="121">
        <f t="shared" si="189"/>
        <v>0</v>
      </c>
      <c r="S282" s="121">
        <f t="shared" si="189"/>
        <v>0</v>
      </c>
      <c r="T282" s="27"/>
      <c r="U282" s="27"/>
      <c r="V282" s="27"/>
      <c r="W282" s="129"/>
      <c r="X282" s="27"/>
      <c r="Y282" s="27"/>
      <c r="Z282" s="88"/>
      <c r="AA282" s="89"/>
      <c r="AB282" s="90"/>
      <c r="AC282" s="90"/>
      <c r="AD282" s="90"/>
      <c r="AE282" s="89"/>
      <c r="AF282" s="90"/>
      <c r="AG282" s="90"/>
      <c r="AH282" s="90"/>
      <c r="AI282" s="90"/>
      <c r="AJ282" s="38"/>
    </row>
    <row r="283" spans="1:36" ht="12.75" customHeight="1">
      <c r="A283" s="15"/>
      <c r="B283" s="92"/>
      <c r="C283" s="105"/>
      <c r="D283" s="121"/>
      <c r="E283" s="40"/>
      <c r="F283" s="27"/>
      <c r="G283" s="11"/>
      <c r="H283" s="11"/>
      <c r="I283" s="11"/>
      <c r="J283" s="11"/>
      <c r="K283" s="11"/>
      <c r="L283" s="11"/>
      <c r="M283" s="11"/>
      <c r="N283" s="11"/>
      <c r="O283" s="11"/>
      <c r="P283" s="11"/>
      <c r="Q283" s="11"/>
      <c r="R283" s="11"/>
      <c r="S283" s="11"/>
      <c r="Z283" s="38"/>
      <c r="AA283" s="38"/>
      <c r="AB283" s="38"/>
      <c r="AC283" s="38"/>
      <c r="AD283" s="38"/>
      <c r="AE283" s="38"/>
      <c r="AF283" s="38"/>
      <c r="AG283" s="38"/>
      <c r="AH283" s="38"/>
      <c r="AI283" s="38"/>
      <c r="AJ283" s="38"/>
    </row>
    <row r="284" spans="1:36" ht="15" customHeight="1">
      <c r="B284" s="92"/>
      <c r="C284" s="105"/>
      <c r="D284" s="149" t="s">
        <v>187</v>
      </c>
      <c r="E284" s="40"/>
      <c r="F284" s="27"/>
      <c r="G284" s="11"/>
      <c r="H284" s="11"/>
      <c r="I284" s="11"/>
      <c r="J284" s="11"/>
      <c r="K284" s="11"/>
      <c r="L284" s="11"/>
      <c r="M284" s="11"/>
      <c r="N284" s="11"/>
      <c r="O284" s="11"/>
      <c r="P284" s="11"/>
      <c r="Q284" s="11"/>
      <c r="R284" s="11"/>
      <c r="S284" s="11"/>
      <c r="Z284" s="38"/>
      <c r="AA284" s="38"/>
      <c r="AB284" s="38"/>
      <c r="AC284" s="38"/>
      <c r="AD284" s="38"/>
      <c r="AE284" s="38"/>
      <c r="AF284" s="38"/>
      <c r="AG284" s="38"/>
      <c r="AH284" s="38"/>
      <c r="AI284" s="38"/>
      <c r="AJ284" s="38"/>
    </row>
    <row r="285" spans="1:36" ht="15" customHeight="1">
      <c r="B285" s="92"/>
      <c r="C285" s="105">
        <f t="shared" ref="C285:C295" si="190">SUM(G285:S285)</f>
        <v>4577.4352540611835</v>
      </c>
      <c r="D285" s="84" t="s">
        <v>188</v>
      </c>
      <c r="E285" s="40" t="s">
        <v>112</v>
      </c>
      <c r="F285" s="150"/>
      <c r="G285" s="11">
        <f>G219</f>
        <v>0</v>
      </c>
      <c r="H285" s="11">
        <f t="shared" ref="H285:S285" si="191">H219</f>
        <v>0</v>
      </c>
      <c r="I285" s="11">
        <f t="shared" si="191"/>
        <v>153.11358720000001</v>
      </c>
      <c r="J285" s="11">
        <f t="shared" si="191"/>
        <v>390.43964736000004</v>
      </c>
      <c r="K285" s="11">
        <f t="shared" si="191"/>
        <v>1137.966306732</v>
      </c>
      <c r="L285" s="11">
        <f t="shared" si="191"/>
        <v>756.22090553279997</v>
      </c>
      <c r="M285" s="11">
        <f t="shared" si="191"/>
        <v>700.6458788782511</v>
      </c>
      <c r="N285" s="11">
        <f t="shared" si="191"/>
        <v>497.1156902421298</v>
      </c>
      <c r="O285" s="11">
        <f t="shared" si="191"/>
        <v>405.87305602876131</v>
      </c>
      <c r="P285" s="11">
        <f t="shared" si="191"/>
        <v>331.63034339153882</v>
      </c>
      <c r="Q285" s="11">
        <f t="shared" si="191"/>
        <v>204.4298386957025</v>
      </c>
      <c r="R285" s="11">
        <f t="shared" si="191"/>
        <v>-7.6738615462090825E-14</v>
      </c>
      <c r="S285" s="11">
        <f t="shared" si="191"/>
        <v>0</v>
      </c>
      <c r="Z285" s="38"/>
      <c r="AA285" s="38"/>
      <c r="AB285" s="38"/>
      <c r="AC285" s="38"/>
      <c r="AD285" s="38"/>
      <c r="AE285" s="38"/>
      <c r="AF285" s="38"/>
      <c r="AG285" s="38"/>
      <c r="AH285" s="38"/>
      <c r="AI285" s="38"/>
      <c r="AJ285" s="38"/>
    </row>
    <row r="286" spans="1:36" ht="15" customHeight="1">
      <c r="B286" s="92"/>
      <c r="C286" s="105">
        <f t="shared" si="190"/>
        <v>1140.8680087954365</v>
      </c>
      <c r="D286" s="84" t="s">
        <v>189</v>
      </c>
      <c r="E286" s="40" t="s">
        <v>112</v>
      </c>
      <c r="F286" s="150"/>
      <c r="G286" s="11">
        <f>G256</f>
        <v>0</v>
      </c>
      <c r="H286" s="11">
        <f t="shared" ref="H286:S286" si="192">H256</f>
        <v>0</v>
      </c>
      <c r="I286" s="11">
        <f t="shared" si="192"/>
        <v>22.967038079999988</v>
      </c>
      <c r="J286" s="11">
        <f t="shared" si="192"/>
        <v>54.661550630400001</v>
      </c>
      <c r="K286" s="11">
        <f t="shared" si="192"/>
        <v>149.29544465640001</v>
      </c>
      <c r="L286" s="11">
        <f t="shared" si="192"/>
        <v>213.86893633584481</v>
      </c>
      <c r="M286" s="11">
        <f t="shared" si="192"/>
        <v>144.12823069093986</v>
      </c>
      <c r="N286" s="11">
        <f t="shared" si="192"/>
        <v>162.56403877853097</v>
      </c>
      <c r="O286" s="11">
        <f t="shared" si="192"/>
        <v>140.0426828401244</v>
      </c>
      <c r="P286" s="11">
        <f t="shared" si="192"/>
        <v>117.07183531816773</v>
      </c>
      <c r="Q286" s="11">
        <f t="shared" si="192"/>
        <v>136.26825146502873</v>
      </c>
      <c r="R286" s="11">
        <f t="shared" si="192"/>
        <v>4.4223999462467137E-14</v>
      </c>
      <c r="S286" s="11">
        <f t="shared" si="192"/>
        <v>0</v>
      </c>
      <c r="Z286" s="38"/>
      <c r="AA286" s="38"/>
      <c r="AB286" s="38"/>
      <c r="AC286" s="38"/>
      <c r="AD286" s="38"/>
      <c r="AE286" s="38"/>
      <c r="AF286" s="38"/>
      <c r="AG286" s="38"/>
      <c r="AH286" s="38"/>
      <c r="AI286" s="38"/>
      <c r="AJ286" s="38"/>
    </row>
    <row r="287" spans="1:36" ht="15" customHeight="1">
      <c r="B287" s="92"/>
      <c r="C287" s="105">
        <f t="shared" si="190"/>
        <v>250</v>
      </c>
      <c r="D287" s="84" t="s">
        <v>88</v>
      </c>
      <c r="E287" s="40" t="s">
        <v>112</v>
      </c>
      <c r="F287" s="150"/>
      <c r="G287" s="11">
        <f>G261</f>
        <v>0</v>
      </c>
      <c r="H287" s="11">
        <f t="shared" ref="H287:S287" si="193">H261</f>
        <v>0</v>
      </c>
      <c r="I287" s="11">
        <f t="shared" si="193"/>
        <v>250</v>
      </c>
      <c r="J287" s="11">
        <f t="shared" si="193"/>
        <v>0</v>
      </c>
      <c r="K287" s="11">
        <f t="shared" si="193"/>
        <v>0</v>
      </c>
      <c r="L287" s="11">
        <f t="shared" si="193"/>
        <v>0</v>
      </c>
      <c r="M287" s="11">
        <f t="shared" si="193"/>
        <v>0</v>
      </c>
      <c r="N287" s="11">
        <f t="shared" si="193"/>
        <v>0</v>
      </c>
      <c r="O287" s="11">
        <f t="shared" si="193"/>
        <v>0</v>
      </c>
      <c r="P287" s="11">
        <f t="shared" si="193"/>
        <v>0</v>
      </c>
      <c r="Q287" s="11">
        <f t="shared" si="193"/>
        <v>0</v>
      </c>
      <c r="R287" s="11">
        <f t="shared" si="193"/>
        <v>0</v>
      </c>
      <c r="S287" s="11">
        <f t="shared" si="193"/>
        <v>0</v>
      </c>
      <c r="Z287" s="38"/>
      <c r="AA287" s="38"/>
      <c r="AB287" s="38"/>
      <c r="AC287" s="38"/>
      <c r="AD287" s="38"/>
      <c r="AE287" s="38"/>
      <c r="AF287" s="38"/>
      <c r="AG287" s="38"/>
      <c r="AH287" s="38"/>
      <c r="AI287" s="38"/>
      <c r="AJ287" s="38"/>
    </row>
    <row r="288" spans="1:36" ht="15" customHeight="1">
      <c r="B288" s="92"/>
      <c r="C288" s="105">
        <f t="shared" si="190"/>
        <v>463.97554114795201</v>
      </c>
      <c r="D288" s="84" t="s">
        <v>345</v>
      </c>
      <c r="E288" s="40" t="s">
        <v>112</v>
      </c>
      <c r="F288" s="150"/>
      <c r="G288" s="11">
        <f>G277</f>
        <v>0</v>
      </c>
      <c r="H288" s="11">
        <f t="shared" ref="H288:S288" si="194">H277</f>
        <v>0</v>
      </c>
      <c r="I288" s="11">
        <f t="shared" si="194"/>
        <v>47.304540000000003</v>
      </c>
      <c r="J288" s="11">
        <f t="shared" si="194"/>
        <v>48.737170800000001</v>
      </c>
      <c r="K288" s="11">
        <f t="shared" si="194"/>
        <v>50.198454216000002</v>
      </c>
      <c r="L288" s="11">
        <f t="shared" si="194"/>
        <v>51.688963300320005</v>
      </c>
      <c r="M288" s="11">
        <f t="shared" si="194"/>
        <v>53.209282566326408</v>
      </c>
      <c r="N288" s="11">
        <f t="shared" si="194"/>
        <v>53.209282566326408</v>
      </c>
      <c r="O288" s="11">
        <f t="shared" si="194"/>
        <v>53.209282566326408</v>
      </c>
      <c r="P288" s="11">
        <f t="shared" si="194"/>
        <v>53.209282566326408</v>
      </c>
      <c r="Q288" s="11">
        <f t="shared" si="194"/>
        <v>53.209282566326408</v>
      </c>
      <c r="R288" s="11">
        <f t="shared" si="194"/>
        <v>0</v>
      </c>
      <c r="S288" s="11">
        <f t="shared" si="194"/>
        <v>0</v>
      </c>
      <c r="Z288" s="38"/>
      <c r="AA288" s="38"/>
      <c r="AB288" s="38"/>
      <c r="AC288" s="38"/>
      <c r="AD288" s="38"/>
      <c r="AE288" s="38"/>
      <c r="AF288" s="38"/>
      <c r="AG288" s="38"/>
      <c r="AH288" s="38"/>
      <c r="AI288" s="38"/>
      <c r="AJ288" s="38"/>
    </row>
    <row r="289" spans="2:36" ht="15" customHeight="1">
      <c r="B289" s="92"/>
      <c r="C289" s="105">
        <f t="shared" si="190"/>
        <v>3664.6523374021936</v>
      </c>
      <c r="D289" s="84" t="s">
        <v>90</v>
      </c>
      <c r="E289" s="40" t="s">
        <v>112</v>
      </c>
      <c r="F289" s="150"/>
      <c r="G289" s="11">
        <f>G168</f>
        <v>0</v>
      </c>
      <c r="H289" s="11">
        <f t="shared" ref="H289:S290" si="195">H168</f>
        <v>0</v>
      </c>
      <c r="I289" s="11">
        <f t="shared" si="195"/>
        <v>102.53142</v>
      </c>
      <c r="J289" s="11">
        <f t="shared" si="195"/>
        <v>261.45512099999996</v>
      </c>
      <c r="K289" s="11">
        <f t="shared" si="195"/>
        <v>800.05267026000001</v>
      </c>
      <c r="L289" s="11">
        <f t="shared" si="195"/>
        <v>652.84297893216001</v>
      </c>
      <c r="M289" s="11">
        <f t="shared" si="195"/>
        <v>532.71987080864267</v>
      </c>
      <c r="N289" s="11">
        <f t="shared" si="195"/>
        <v>434.69941457985232</v>
      </c>
      <c r="O289" s="11">
        <f t="shared" si="195"/>
        <v>354.71472229715948</v>
      </c>
      <c r="P289" s="11">
        <f t="shared" si="195"/>
        <v>289.44721339448211</v>
      </c>
      <c r="Q289" s="11">
        <f t="shared" si="195"/>
        <v>236.18892612989745</v>
      </c>
      <c r="R289" s="11">
        <f t="shared" si="195"/>
        <v>0</v>
      </c>
      <c r="S289" s="11">
        <f t="shared" si="195"/>
        <v>0</v>
      </c>
      <c r="Z289" s="38"/>
      <c r="AA289" s="38"/>
      <c r="AB289" s="38"/>
      <c r="AC289" s="38"/>
      <c r="AD289" s="38"/>
      <c r="AE289" s="38"/>
      <c r="AF289" s="38"/>
      <c r="AG289" s="38"/>
      <c r="AH289" s="38"/>
      <c r="AI289" s="38"/>
      <c r="AJ289" s="38"/>
    </row>
    <row r="290" spans="2:36" ht="15" customHeight="1">
      <c r="B290" s="92"/>
      <c r="C290" s="105">
        <f t="shared" si="190"/>
        <v>223.80737551103735</v>
      </c>
      <c r="D290" s="82" t="s">
        <v>137</v>
      </c>
      <c r="E290" s="40" t="s">
        <v>112</v>
      </c>
      <c r="F290" s="150"/>
      <c r="G290" s="11">
        <f>G169</f>
        <v>0</v>
      </c>
      <c r="H290" s="11">
        <f t="shared" si="195"/>
        <v>0</v>
      </c>
      <c r="I290" s="11">
        <f t="shared" si="195"/>
        <v>0</v>
      </c>
      <c r="J290" s="11">
        <f t="shared" si="195"/>
        <v>0</v>
      </c>
      <c r="K290" s="11">
        <f t="shared" si="195"/>
        <v>0</v>
      </c>
      <c r="L290" s="11">
        <f t="shared" si="195"/>
        <v>0</v>
      </c>
      <c r="M290" s="11">
        <f t="shared" si="195"/>
        <v>61.507442936955727</v>
      </c>
      <c r="N290" s="11">
        <f t="shared" si="195"/>
        <v>50.606790529624668</v>
      </c>
      <c r="O290" s="11">
        <f t="shared" si="195"/>
        <v>42.214110198949001</v>
      </c>
      <c r="P290" s="11">
        <f t="shared" si="195"/>
        <v>36.161473296403841</v>
      </c>
      <c r="Q290" s="11">
        <f t="shared" si="195"/>
        <v>33.317558549104191</v>
      </c>
      <c r="R290" s="11">
        <f t="shared" si="195"/>
        <v>-7.6738615462090825E-14</v>
      </c>
      <c r="S290" s="11">
        <f t="shared" si="195"/>
        <v>0</v>
      </c>
      <c r="Z290" s="38"/>
      <c r="AA290" s="38"/>
      <c r="AB290" s="38"/>
      <c r="AC290" s="38"/>
      <c r="AD290" s="38"/>
      <c r="AE290" s="38"/>
      <c r="AF290" s="38"/>
      <c r="AG290" s="38"/>
      <c r="AH290" s="38"/>
      <c r="AI290" s="38"/>
      <c r="AJ290" s="38"/>
    </row>
    <row r="291" spans="2:36" ht="15" customHeight="1">
      <c r="B291" s="92"/>
      <c r="C291" s="105">
        <f t="shared" si="190"/>
        <v>71.560055989967438</v>
      </c>
      <c r="D291" s="82" t="s">
        <v>190</v>
      </c>
      <c r="E291" s="40" t="s">
        <v>112</v>
      </c>
      <c r="F291" s="150"/>
      <c r="G291" s="11">
        <f>G301</f>
        <v>0</v>
      </c>
      <c r="H291" s="11">
        <f t="shared" ref="H291:S291" si="196">H301</f>
        <v>0</v>
      </c>
      <c r="I291" s="11">
        <f t="shared" si="196"/>
        <v>22.812300000000054</v>
      </c>
      <c r="J291" s="11">
        <f t="shared" si="196"/>
        <v>18.853360504942511</v>
      </c>
      <c r="K291" s="11">
        <f t="shared" si="196"/>
        <v>14.613336305735881</v>
      </c>
      <c r="L291" s="11">
        <f t="shared" si="196"/>
        <v>10.072270388385581</v>
      </c>
      <c r="M291" s="11">
        <f t="shared" si="196"/>
        <v>5.208788790903407</v>
      </c>
      <c r="N291" s="11">
        <f t="shared" si="196"/>
        <v>0</v>
      </c>
      <c r="O291" s="11">
        <f t="shared" si="196"/>
        <v>0</v>
      </c>
      <c r="P291" s="11">
        <f t="shared" si="196"/>
        <v>0</v>
      </c>
      <c r="Q291" s="11">
        <f t="shared" si="196"/>
        <v>0</v>
      </c>
      <c r="R291" s="11">
        <f t="shared" si="196"/>
        <v>0</v>
      </c>
      <c r="S291" s="11">
        <f t="shared" si="196"/>
        <v>0</v>
      </c>
      <c r="Z291" s="38"/>
      <c r="AA291" s="38"/>
      <c r="AB291" s="38"/>
      <c r="AC291" s="38"/>
      <c r="AD291" s="38"/>
      <c r="AE291" s="38"/>
      <c r="AF291" s="38"/>
      <c r="AG291" s="38"/>
      <c r="AH291" s="38"/>
      <c r="AI291" s="38"/>
      <c r="AJ291" s="38"/>
    </row>
    <row r="292" spans="2:36" ht="15" customHeight="1">
      <c r="B292" s="92"/>
      <c r="C292" s="105">
        <f t="shared" si="190"/>
        <v>1044.3079528054691</v>
      </c>
      <c r="D292" s="84" t="s">
        <v>191</v>
      </c>
      <c r="E292" s="40" t="s">
        <v>112</v>
      </c>
      <c r="F292" s="150"/>
      <c r="G292" s="11">
        <f>G285+G286-SUM(G287:G291)</f>
        <v>0</v>
      </c>
      <c r="H292" s="11">
        <f t="shared" ref="H292:S292" si="197">H285+H286-SUM(H287:H291)</f>
        <v>0</v>
      </c>
      <c r="I292" s="11">
        <f t="shared" si="197"/>
        <v>-246.56763472000006</v>
      </c>
      <c r="J292" s="11">
        <f t="shared" si="197"/>
        <v>116.05554568545756</v>
      </c>
      <c r="K292" s="11">
        <f t="shared" si="197"/>
        <v>422.39729060666411</v>
      </c>
      <c r="L292" s="11">
        <f t="shared" si="197"/>
        <v>255.48562924777912</v>
      </c>
      <c r="M292" s="11">
        <f t="shared" si="197"/>
        <v>192.12872446636277</v>
      </c>
      <c r="N292" s="11">
        <f t="shared" si="197"/>
        <v>121.16424134485737</v>
      </c>
      <c r="O292" s="11">
        <f t="shared" si="197"/>
        <v>95.777623806450777</v>
      </c>
      <c r="P292" s="11">
        <f t="shared" si="197"/>
        <v>69.884209452494247</v>
      </c>
      <c r="Q292" s="11">
        <f t="shared" si="197"/>
        <v>17.982322915403188</v>
      </c>
      <c r="R292" s="11">
        <f t="shared" si="197"/>
        <v>4.4223999462467137E-14</v>
      </c>
      <c r="S292" s="11">
        <f t="shared" si="197"/>
        <v>0</v>
      </c>
      <c r="Z292" s="38"/>
      <c r="AA292" s="38"/>
      <c r="AB292" s="38"/>
      <c r="AC292" s="38"/>
      <c r="AD292" s="38"/>
      <c r="AE292" s="38"/>
      <c r="AF292" s="38"/>
      <c r="AG292" s="38"/>
      <c r="AH292" s="38"/>
      <c r="AI292" s="38"/>
      <c r="AJ292" s="38"/>
    </row>
    <row r="293" spans="2:36" ht="15" customHeight="1">
      <c r="B293" s="92"/>
      <c r="C293" s="105">
        <f t="shared" si="190"/>
        <v>-377.07972375454256</v>
      </c>
      <c r="D293" s="106" t="s">
        <v>192</v>
      </c>
      <c r="E293" s="40" t="s">
        <v>112</v>
      </c>
      <c r="F293" s="150"/>
      <c r="G293" s="11">
        <f>F294*(F294&lt;0)</f>
        <v>0</v>
      </c>
      <c r="H293" s="11">
        <f t="shared" ref="H293:S293" si="198">G294*(G294&lt;0)</f>
        <v>0</v>
      </c>
      <c r="I293" s="11">
        <f t="shared" si="198"/>
        <v>0</v>
      </c>
      <c r="J293" s="11">
        <f t="shared" si="198"/>
        <v>-246.56763472000006</v>
      </c>
      <c r="K293" s="11">
        <f t="shared" si="198"/>
        <v>-130.5120890345425</v>
      </c>
      <c r="L293" s="11">
        <f t="shared" si="198"/>
        <v>0</v>
      </c>
      <c r="M293" s="11">
        <f t="shared" si="198"/>
        <v>0</v>
      </c>
      <c r="N293" s="11">
        <f t="shared" si="198"/>
        <v>0</v>
      </c>
      <c r="O293" s="11">
        <f t="shared" si="198"/>
        <v>0</v>
      </c>
      <c r="P293" s="11">
        <f t="shared" si="198"/>
        <v>0</v>
      </c>
      <c r="Q293" s="11">
        <f t="shared" si="198"/>
        <v>0</v>
      </c>
      <c r="R293" s="11">
        <f t="shared" si="198"/>
        <v>0</v>
      </c>
      <c r="S293" s="11">
        <f t="shared" si="198"/>
        <v>0</v>
      </c>
      <c r="Z293" s="38"/>
      <c r="AA293" s="38"/>
      <c r="AB293" s="38"/>
      <c r="AC293" s="38"/>
      <c r="AD293" s="38"/>
      <c r="AE293" s="38"/>
      <c r="AF293" s="38"/>
      <c r="AG293" s="38"/>
      <c r="AH293" s="38"/>
      <c r="AI293" s="38"/>
      <c r="AJ293" s="38"/>
    </row>
    <row r="294" spans="2:36" ht="15" customHeight="1">
      <c r="B294" s="92"/>
      <c r="C294" s="105">
        <f t="shared" si="190"/>
        <v>667.22822905092653</v>
      </c>
      <c r="D294" s="84" t="s">
        <v>193</v>
      </c>
      <c r="E294" s="40" t="s">
        <v>112</v>
      </c>
      <c r="F294" s="150"/>
      <c r="G294" s="11">
        <f>SUM(G292:G293)</f>
        <v>0</v>
      </c>
      <c r="H294" s="11">
        <f t="shared" ref="H294:S294" si="199">SUM(H292:H293)</f>
        <v>0</v>
      </c>
      <c r="I294" s="11">
        <f t="shared" si="199"/>
        <v>-246.56763472000006</v>
      </c>
      <c r="J294" s="11">
        <f t="shared" si="199"/>
        <v>-130.5120890345425</v>
      </c>
      <c r="K294" s="11">
        <f t="shared" si="199"/>
        <v>291.88520157212162</v>
      </c>
      <c r="L294" s="11">
        <f t="shared" si="199"/>
        <v>255.48562924777912</v>
      </c>
      <c r="M294" s="11">
        <f t="shared" si="199"/>
        <v>192.12872446636277</v>
      </c>
      <c r="N294" s="11">
        <f t="shared" si="199"/>
        <v>121.16424134485737</v>
      </c>
      <c r="O294" s="11">
        <f t="shared" si="199"/>
        <v>95.777623806450777</v>
      </c>
      <c r="P294" s="11">
        <f t="shared" si="199"/>
        <v>69.884209452494247</v>
      </c>
      <c r="Q294" s="11">
        <f t="shared" si="199"/>
        <v>17.982322915403188</v>
      </c>
      <c r="R294" s="11">
        <f t="shared" si="199"/>
        <v>4.4223999462467137E-14</v>
      </c>
      <c r="S294" s="11">
        <f t="shared" si="199"/>
        <v>0</v>
      </c>
      <c r="Z294" s="38"/>
      <c r="AA294" s="38"/>
      <c r="AB294" s="38"/>
      <c r="AC294" s="38"/>
      <c r="AD294" s="38"/>
      <c r="AE294" s="38"/>
      <c r="AF294" s="38"/>
      <c r="AG294" s="38"/>
      <c r="AH294" s="38"/>
      <c r="AI294" s="38"/>
      <c r="AJ294" s="38"/>
    </row>
    <row r="295" spans="2:36" ht="15" customHeight="1">
      <c r="B295" s="92"/>
      <c r="C295" s="105">
        <f t="shared" si="190"/>
        <v>208.86159056109386</v>
      </c>
      <c r="D295" s="84" t="s">
        <v>194</v>
      </c>
      <c r="E295" s="40" t="s">
        <v>112</v>
      </c>
      <c r="F295" s="150"/>
      <c r="G295" s="11">
        <f>G294*(G294&gt;0)*$F$37</f>
        <v>0</v>
      </c>
      <c r="H295" s="11">
        <f t="shared" ref="H295:S295" si="200">H294*(H294&gt;0)*$F$37</f>
        <v>0</v>
      </c>
      <c r="I295" s="11">
        <f t="shared" si="200"/>
        <v>0</v>
      </c>
      <c r="J295" s="11">
        <f t="shared" si="200"/>
        <v>0</v>
      </c>
      <c r="K295" s="11">
        <f t="shared" si="200"/>
        <v>58.377040314424328</v>
      </c>
      <c r="L295" s="11">
        <f t="shared" si="200"/>
        <v>51.097125849555823</v>
      </c>
      <c r="M295" s="11">
        <f t="shared" si="200"/>
        <v>38.425744893272558</v>
      </c>
      <c r="N295" s="11">
        <f t="shared" si="200"/>
        <v>24.232848268971477</v>
      </c>
      <c r="O295" s="11">
        <f t="shared" si="200"/>
        <v>19.155524761290156</v>
      </c>
      <c r="P295" s="11">
        <f t="shared" si="200"/>
        <v>13.97684189049885</v>
      </c>
      <c r="Q295" s="11">
        <f t="shared" si="200"/>
        <v>3.5964645830806377</v>
      </c>
      <c r="R295" s="11">
        <f t="shared" si="200"/>
        <v>8.8447998924934273E-15</v>
      </c>
      <c r="S295" s="11">
        <f t="shared" si="200"/>
        <v>0</v>
      </c>
      <c r="Z295" s="38"/>
      <c r="AA295" s="38"/>
      <c r="AB295" s="38"/>
      <c r="AC295" s="38"/>
      <c r="AD295" s="38"/>
      <c r="AE295" s="38"/>
      <c r="AF295" s="38"/>
      <c r="AG295" s="38"/>
      <c r="AH295" s="38"/>
      <c r="AI295" s="38"/>
      <c r="AJ295" s="38"/>
    </row>
    <row r="296" spans="2:36" ht="15" customHeight="1">
      <c r="B296" s="92"/>
      <c r="C296" s="151"/>
      <c r="D296" s="152"/>
      <c r="E296" s="153"/>
      <c r="F296" s="154"/>
      <c r="G296" s="155"/>
      <c r="H296" s="155"/>
      <c r="I296" s="155"/>
      <c r="J296" s="155"/>
      <c r="K296" s="155"/>
      <c r="L296" s="155"/>
      <c r="M296" s="155"/>
      <c r="N296" s="155"/>
      <c r="O296" s="155"/>
      <c r="P296" s="155"/>
      <c r="Q296" s="155"/>
      <c r="R296" s="155"/>
      <c r="S296" s="155"/>
      <c r="T296" s="71"/>
      <c r="U296" s="71"/>
      <c r="Z296" s="38"/>
      <c r="AA296" s="38"/>
      <c r="AB296" s="38"/>
      <c r="AC296" s="38"/>
      <c r="AD296" s="38"/>
      <c r="AE296" s="38"/>
      <c r="AF296" s="38"/>
      <c r="AG296" s="38"/>
      <c r="AH296" s="38"/>
      <c r="AI296" s="38"/>
      <c r="AJ296" s="38"/>
    </row>
    <row r="297" spans="2:36" ht="15" customHeight="1" outlineLevel="1">
      <c r="B297" s="92"/>
      <c r="C297" s="105"/>
      <c r="D297" s="156" t="s">
        <v>195</v>
      </c>
      <c r="E297" s="40"/>
      <c r="F297" s="150"/>
      <c r="G297" s="11"/>
      <c r="H297" s="11"/>
      <c r="I297" s="11"/>
      <c r="J297" s="11"/>
      <c r="K297" s="11"/>
      <c r="L297" s="11"/>
      <c r="M297" s="11"/>
      <c r="N297" s="11"/>
      <c r="O297" s="11"/>
      <c r="P297" s="11"/>
      <c r="Q297" s="11"/>
      <c r="R297" s="11"/>
      <c r="S297" s="11"/>
      <c r="Z297" s="38"/>
      <c r="AA297" s="38"/>
      <c r="AB297" s="38"/>
      <c r="AC297" s="38"/>
      <c r="AD297" s="38"/>
      <c r="AE297" s="38"/>
      <c r="AF297" s="38"/>
      <c r="AG297" s="38"/>
      <c r="AH297" s="38"/>
      <c r="AI297" s="38"/>
      <c r="AJ297" s="38"/>
    </row>
    <row r="298" spans="2:36" ht="15" customHeight="1" outlineLevel="1">
      <c r="B298" s="92"/>
      <c r="C298" s="105">
        <f t="shared" ref="C298:C301" si="201">SUM(G298:S298)</f>
        <v>321.29999999999995</v>
      </c>
      <c r="D298" s="84" t="s">
        <v>196</v>
      </c>
      <c r="E298" s="40" t="s">
        <v>112</v>
      </c>
      <c r="F298" s="150"/>
      <c r="G298" s="11">
        <f t="shared" ref="G298:S298" si="202">G166*$F$46*(G89=0)</f>
        <v>0</v>
      </c>
      <c r="H298" s="11">
        <f t="shared" si="202"/>
        <v>321.29999999999995</v>
      </c>
      <c r="I298" s="11">
        <f t="shared" si="202"/>
        <v>0</v>
      </c>
      <c r="J298" s="11">
        <f t="shared" si="202"/>
        <v>0</v>
      </c>
      <c r="K298" s="11">
        <f t="shared" si="202"/>
        <v>0</v>
      </c>
      <c r="L298" s="11">
        <f t="shared" si="202"/>
        <v>0</v>
      </c>
      <c r="M298" s="11">
        <f t="shared" si="202"/>
        <v>0</v>
      </c>
      <c r="N298" s="11">
        <f t="shared" si="202"/>
        <v>0</v>
      </c>
      <c r="O298" s="11">
        <f t="shared" si="202"/>
        <v>0</v>
      </c>
      <c r="P298" s="11">
        <f t="shared" si="202"/>
        <v>0</v>
      </c>
      <c r="Q298" s="11">
        <f t="shared" si="202"/>
        <v>0</v>
      </c>
      <c r="R298" s="11">
        <f t="shared" si="202"/>
        <v>0</v>
      </c>
      <c r="S298" s="11">
        <f t="shared" si="202"/>
        <v>0</v>
      </c>
      <c r="Z298" s="38"/>
      <c r="AA298" s="38"/>
      <c r="AB298" s="38"/>
      <c r="AC298" s="38"/>
      <c r="AD298" s="38"/>
      <c r="AE298" s="38"/>
      <c r="AF298" s="38"/>
      <c r="AG298" s="38"/>
      <c r="AH298" s="38"/>
      <c r="AI298" s="38"/>
      <c r="AJ298" s="38"/>
    </row>
    <row r="299" spans="2:36" ht="15" customHeight="1" outlineLevel="1">
      <c r="B299" s="92"/>
      <c r="C299" s="105">
        <f t="shared" si="201"/>
        <v>392.86005598996746</v>
      </c>
      <c r="D299" s="84" t="s">
        <v>197</v>
      </c>
      <c r="E299" s="40" t="s">
        <v>112</v>
      </c>
      <c r="F299" s="150"/>
      <c r="G299" s="11">
        <f t="shared" ref="G299:S299" si="203">PMT((1+$F$48)*(1+$F$53)-1,$F$47,$C$298)*AND(G89&gt;0,G89&lt;=$F$47)*-1</f>
        <v>0</v>
      </c>
      <c r="H299" s="11">
        <f t="shared" si="203"/>
        <v>0</v>
      </c>
      <c r="I299" s="11">
        <f t="shared" si="203"/>
        <v>78.57201119799349</v>
      </c>
      <c r="J299" s="11">
        <f t="shared" si="203"/>
        <v>78.57201119799349</v>
      </c>
      <c r="K299" s="11">
        <f t="shared" si="203"/>
        <v>78.57201119799349</v>
      </c>
      <c r="L299" s="11">
        <f t="shared" si="203"/>
        <v>78.57201119799349</v>
      </c>
      <c r="M299" s="11">
        <f t="shared" si="203"/>
        <v>78.57201119799349</v>
      </c>
      <c r="N299" s="11">
        <f t="shared" si="203"/>
        <v>0</v>
      </c>
      <c r="O299" s="11">
        <f t="shared" si="203"/>
        <v>0</v>
      </c>
      <c r="P299" s="11">
        <f t="shared" si="203"/>
        <v>0</v>
      </c>
      <c r="Q299" s="11">
        <f t="shared" si="203"/>
        <v>0</v>
      </c>
      <c r="R299" s="11">
        <f t="shared" si="203"/>
        <v>0</v>
      </c>
      <c r="S299" s="11">
        <f t="shared" si="203"/>
        <v>0</v>
      </c>
      <c r="Z299" s="38"/>
      <c r="AA299" s="38"/>
      <c r="AB299" s="38"/>
      <c r="AC299" s="38"/>
      <c r="AD299" s="38"/>
      <c r="AE299" s="38"/>
      <c r="AF299" s="38"/>
      <c r="AG299" s="38"/>
      <c r="AH299" s="38"/>
      <c r="AI299" s="38"/>
      <c r="AJ299" s="38"/>
    </row>
    <row r="300" spans="2:36" ht="15" customHeight="1">
      <c r="B300" s="92"/>
      <c r="C300" s="105">
        <f t="shared" si="201"/>
        <v>71.560055989967523</v>
      </c>
      <c r="D300" s="84" t="s">
        <v>198</v>
      </c>
      <c r="E300" s="40" t="s">
        <v>112</v>
      </c>
      <c r="F300" s="150"/>
      <c r="G300" s="11">
        <f>G299-G298</f>
        <v>0</v>
      </c>
      <c r="H300" s="11">
        <f t="shared" ref="H300:S300" si="204">H299-H298</f>
        <v>-321.29999999999995</v>
      </c>
      <c r="I300" s="11">
        <f t="shared" si="204"/>
        <v>78.57201119799349</v>
      </c>
      <c r="J300" s="11">
        <f t="shared" si="204"/>
        <v>78.57201119799349</v>
      </c>
      <c r="K300" s="11">
        <f t="shared" si="204"/>
        <v>78.57201119799349</v>
      </c>
      <c r="L300" s="11">
        <f t="shared" si="204"/>
        <v>78.57201119799349</v>
      </c>
      <c r="M300" s="11">
        <f t="shared" si="204"/>
        <v>78.57201119799349</v>
      </c>
      <c r="N300" s="11">
        <f t="shared" si="204"/>
        <v>0</v>
      </c>
      <c r="O300" s="11">
        <f t="shared" si="204"/>
        <v>0</v>
      </c>
      <c r="P300" s="11">
        <f t="shared" si="204"/>
        <v>0</v>
      </c>
      <c r="Q300" s="11">
        <f t="shared" si="204"/>
        <v>0</v>
      </c>
      <c r="R300" s="11">
        <f t="shared" si="204"/>
        <v>0</v>
      </c>
      <c r="S300" s="11">
        <f t="shared" si="204"/>
        <v>0</v>
      </c>
      <c r="Z300" s="38"/>
      <c r="AA300" s="38"/>
      <c r="AB300" s="38"/>
      <c r="AC300" s="38"/>
      <c r="AD300" s="38"/>
      <c r="AE300" s="38"/>
      <c r="AF300" s="38"/>
      <c r="AG300" s="38"/>
      <c r="AH300" s="38"/>
      <c r="AI300" s="38"/>
      <c r="AJ300" s="38"/>
    </row>
    <row r="301" spans="2:36" ht="15" customHeight="1" outlineLevel="1">
      <c r="B301" s="92"/>
      <c r="C301" s="105">
        <f t="shared" si="201"/>
        <v>71.560055989967438</v>
      </c>
      <c r="D301" s="84" t="s">
        <v>190</v>
      </c>
      <c r="E301" s="40" t="s">
        <v>112</v>
      </c>
      <c r="F301" s="150"/>
      <c r="G301" s="11">
        <f t="shared" ref="G301:S301" si="205">IF(AND(G89&gt;0,G89&lt;=$F$47),-1*IPMT((1+$F$48)*(1+$F$53)-1,G89,$F$47,$C$298),0)</f>
        <v>0</v>
      </c>
      <c r="H301" s="11">
        <f t="shared" si="205"/>
        <v>0</v>
      </c>
      <c r="I301" s="11">
        <f t="shared" si="205"/>
        <v>22.812300000000054</v>
      </c>
      <c r="J301" s="11">
        <f t="shared" si="205"/>
        <v>18.853360504942511</v>
      </c>
      <c r="K301" s="11">
        <f t="shared" si="205"/>
        <v>14.613336305735881</v>
      </c>
      <c r="L301" s="11">
        <f t="shared" si="205"/>
        <v>10.072270388385581</v>
      </c>
      <c r="M301" s="11">
        <f t="shared" si="205"/>
        <v>5.208788790903407</v>
      </c>
      <c r="N301" s="11">
        <f t="shared" si="205"/>
        <v>0</v>
      </c>
      <c r="O301" s="11">
        <f t="shared" si="205"/>
        <v>0</v>
      </c>
      <c r="P301" s="11">
        <f t="shared" si="205"/>
        <v>0</v>
      </c>
      <c r="Q301" s="11">
        <f t="shared" si="205"/>
        <v>0</v>
      </c>
      <c r="R301" s="11">
        <f t="shared" si="205"/>
        <v>0</v>
      </c>
      <c r="S301" s="11">
        <f t="shared" si="205"/>
        <v>0</v>
      </c>
      <c r="Z301" s="38"/>
      <c r="AA301" s="38"/>
      <c r="AB301" s="38"/>
      <c r="AC301" s="38"/>
      <c r="AD301" s="38"/>
      <c r="AE301" s="38"/>
      <c r="AF301" s="38"/>
      <c r="AG301" s="38"/>
      <c r="AH301" s="38"/>
      <c r="AI301" s="38"/>
      <c r="AJ301" s="38"/>
    </row>
    <row r="302" spans="2:36" ht="15" customHeight="1" outlineLevel="1">
      <c r="B302" s="92"/>
      <c r="C302" s="151"/>
      <c r="D302" s="152"/>
      <c r="E302" s="153"/>
      <c r="F302" s="154"/>
      <c r="G302" s="155"/>
      <c r="H302" s="155"/>
      <c r="I302" s="155"/>
      <c r="J302" s="155"/>
      <c r="K302" s="155"/>
      <c r="L302" s="155"/>
      <c r="M302" s="155"/>
      <c r="N302" s="155"/>
      <c r="O302" s="155"/>
      <c r="P302" s="155"/>
      <c r="Q302" s="155"/>
      <c r="R302" s="155"/>
      <c r="S302" s="155"/>
      <c r="T302" s="71"/>
      <c r="U302" s="71"/>
      <c r="Z302" s="38"/>
      <c r="AA302" s="38"/>
      <c r="AB302" s="38"/>
      <c r="AC302" s="38"/>
      <c r="AD302" s="38"/>
      <c r="AE302" s="38"/>
      <c r="AF302" s="38"/>
      <c r="AG302" s="38"/>
      <c r="AH302" s="38"/>
      <c r="AI302" s="38"/>
      <c r="AJ302" s="38"/>
    </row>
    <row r="303" spans="2:36" ht="15" customHeight="1" outlineLevel="1">
      <c r="B303" s="92"/>
      <c r="C303" s="105"/>
      <c r="D303" s="156" t="s">
        <v>67</v>
      </c>
      <c r="E303" s="40"/>
      <c r="F303" s="150"/>
      <c r="G303" s="11"/>
      <c r="H303" s="11"/>
      <c r="I303" s="11"/>
      <c r="J303" s="11"/>
      <c r="K303" s="11"/>
      <c r="L303" s="11"/>
      <c r="M303" s="11"/>
      <c r="N303" s="11"/>
      <c r="O303" s="11"/>
      <c r="P303" s="11"/>
      <c r="Q303" s="11"/>
      <c r="R303" s="11"/>
      <c r="S303" s="11"/>
      <c r="Z303" s="38"/>
      <c r="AA303" s="38"/>
      <c r="AB303" s="38"/>
      <c r="AC303" s="38"/>
      <c r="AD303" s="38"/>
      <c r="AE303" s="38"/>
      <c r="AF303" s="38"/>
      <c r="AG303" s="38"/>
      <c r="AH303" s="38"/>
      <c r="AI303" s="38"/>
      <c r="AJ303" s="38"/>
    </row>
    <row r="304" spans="2:36" ht="15" customHeight="1" outlineLevel="1">
      <c r="B304" s="92"/>
      <c r="C304" s="105">
        <f>SUM(G304:S304)</f>
        <v>4577.4352540611835</v>
      </c>
      <c r="D304" s="84" t="s">
        <v>188</v>
      </c>
      <c r="E304" s="40" t="s">
        <v>112</v>
      </c>
      <c r="F304" s="150"/>
      <c r="G304" s="11">
        <f>G219</f>
        <v>0</v>
      </c>
      <c r="H304" s="11">
        <f t="shared" ref="H304:S304" si="206">H219</f>
        <v>0</v>
      </c>
      <c r="I304" s="11">
        <f t="shared" si="206"/>
        <v>153.11358720000001</v>
      </c>
      <c r="J304" s="11">
        <f t="shared" si="206"/>
        <v>390.43964736000004</v>
      </c>
      <c r="K304" s="11">
        <f t="shared" si="206"/>
        <v>1137.966306732</v>
      </c>
      <c r="L304" s="11">
        <f t="shared" si="206"/>
        <v>756.22090553279997</v>
      </c>
      <c r="M304" s="11">
        <f t="shared" si="206"/>
        <v>700.6458788782511</v>
      </c>
      <c r="N304" s="11">
        <f t="shared" si="206"/>
        <v>497.1156902421298</v>
      </c>
      <c r="O304" s="11">
        <f t="shared" si="206"/>
        <v>405.87305602876131</v>
      </c>
      <c r="P304" s="11">
        <f t="shared" si="206"/>
        <v>331.63034339153882</v>
      </c>
      <c r="Q304" s="11">
        <f t="shared" si="206"/>
        <v>204.4298386957025</v>
      </c>
      <c r="R304" s="11">
        <f t="shared" si="206"/>
        <v>-7.6738615462090825E-14</v>
      </c>
      <c r="S304" s="11">
        <f t="shared" si="206"/>
        <v>0</v>
      </c>
      <c r="Z304" s="38"/>
      <c r="AA304" s="38"/>
      <c r="AB304" s="38"/>
      <c r="AC304" s="38"/>
      <c r="AD304" s="38"/>
      <c r="AE304" s="38"/>
      <c r="AF304" s="38"/>
      <c r="AG304" s="38"/>
      <c r="AH304" s="38"/>
      <c r="AI304" s="38"/>
      <c r="AJ304" s="38"/>
    </row>
    <row r="305" spans="1:36" ht="15" customHeight="1" outlineLevel="1">
      <c r="B305" s="92"/>
      <c r="C305" s="105">
        <f t="shared" ref="C305:C321" si="207">SUM(G305:S305)</f>
        <v>1140.8680087954365</v>
      </c>
      <c r="D305" s="84" t="s">
        <v>189</v>
      </c>
      <c r="E305" s="40" t="s">
        <v>112</v>
      </c>
      <c r="F305" s="150"/>
      <c r="G305" s="11">
        <f>G256</f>
        <v>0</v>
      </c>
      <c r="H305" s="11">
        <f t="shared" ref="H305:S305" si="208">H256</f>
        <v>0</v>
      </c>
      <c r="I305" s="11">
        <f t="shared" si="208"/>
        <v>22.967038079999988</v>
      </c>
      <c r="J305" s="11">
        <f t="shared" si="208"/>
        <v>54.661550630400001</v>
      </c>
      <c r="K305" s="11">
        <f t="shared" si="208"/>
        <v>149.29544465640001</v>
      </c>
      <c r="L305" s="11">
        <f t="shared" si="208"/>
        <v>213.86893633584481</v>
      </c>
      <c r="M305" s="11">
        <f t="shared" si="208"/>
        <v>144.12823069093986</v>
      </c>
      <c r="N305" s="11">
        <f t="shared" si="208"/>
        <v>162.56403877853097</v>
      </c>
      <c r="O305" s="11">
        <f t="shared" si="208"/>
        <v>140.0426828401244</v>
      </c>
      <c r="P305" s="11">
        <f t="shared" si="208"/>
        <v>117.07183531816773</v>
      </c>
      <c r="Q305" s="11">
        <f t="shared" si="208"/>
        <v>136.26825146502873</v>
      </c>
      <c r="R305" s="11">
        <f t="shared" si="208"/>
        <v>4.4223999462467137E-14</v>
      </c>
      <c r="S305" s="11">
        <f t="shared" si="208"/>
        <v>0</v>
      </c>
      <c r="Z305" s="38"/>
      <c r="AA305" s="38"/>
      <c r="AB305" s="38"/>
      <c r="AC305" s="38"/>
      <c r="AD305" s="38"/>
      <c r="AE305" s="38"/>
      <c r="AF305" s="38"/>
      <c r="AG305" s="38"/>
      <c r="AH305" s="38"/>
      <c r="AI305" s="38"/>
      <c r="AJ305" s="38"/>
    </row>
    <row r="306" spans="1:36" s="202" customFormat="1" ht="15" customHeight="1">
      <c r="A306" s="201"/>
      <c r="C306" s="248">
        <f>SUM(G306:U306)</f>
        <v>68.117284515311951</v>
      </c>
      <c r="D306" s="213" t="s">
        <v>390</v>
      </c>
      <c r="E306" s="237" t="s">
        <v>112</v>
      </c>
      <c r="F306" s="213"/>
      <c r="G306" s="248">
        <f>G281</f>
        <v>0</v>
      </c>
      <c r="H306" s="248">
        <f t="shared" ref="H306:S306" si="209">H281</f>
        <v>0</v>
      </c>
      <c r="I306" s="248">
        <f t="shared" si="209"/>
        <v>0</v>
      </c>
      <c r="J306" s="248">
        <f t="shared" si="209"/>
        <v>0</v>
      </c>
      <c r="K306" s="248">
        <f t="shared" si="209"/>
        <v>0</v>
      </c>
      <c r="L306" s="248">
        <f t="shared" si="209"/>
        <v>0</v>
      </c>
      <c r="M306" s="248">
        <f t="shared" si="209"/>
        <v>0</v>
      </c>
      <c r="N306" s="248">
        <f t="shared" si="209"/>
        <v>0</v>
      </c>
      <c r="O306" s="248">
        <f t="shared" si="209"/>
        <v>0</v>
      </c>
      <c r="P306" s="248">
        <f t="shared" si="209"/>
        <v>0</v>
      </c>
      <c r="Q306" s="248">
        <f t="shared" si="209"/>
        <v>68.117284515311951</v>
      </c>
      <c r="R306" s="248">
        <f t="shared" si="209"/>
        <v>0</v>
      </c>
      <c r="S306" s="248">
        <f t="shared" si="209"/>
        <v>0</v>
      </c>
      <c r="T306" s="248"/>
      <c r="U306" s="248"/>
    </row>
    <row r="307" spans="1:36" ht="15" customHeight="1" outlineLevel="1">
      <c r="B307" s="92"/>
      <c r="C307" s="105">
        <f t="shared" si="207"/>
        <v>250</v>
      </c>
      <c r="D307" s="91" t="s">
        <v>186</v>
      </c>
      <c r="E307" s="40" t="s">
        <v>112</v>
      </c>
      <c r="F307" s="150"/>
      <c r="G307" s="11">
        <f>G165</f>
        <v>250</v>
      </c>
      <c r="H307" s="11">
        <f t="shared" ref="H307:S307" si="210">H165</f>
        <v>0</v>
      </c>
      <c r="I307" s="11">
        <f t="shared" si="210"/>
        <v>0</v>
      </c>
      <c r="J307" s="11">
        <f t="shared" si="210"/>
        <v>0</v>
      </c>
      <c r="K307" s="11">
        <f t="shared" si="210"/>
        <v>0</v>
      </c>
      <c r="L307" s="11">
        <f t="shared" si="210"/>
        <v>0</v>
      </c>
      <c r="M307" s="11">
        <f t="shared" si="210"/>
        <v>0</v>
      </c>
      <c r="N307" s="11">
        <f t="shared" si="210"/>
        <v>0</v>
      </c>
      <c r="O307" s="11">
        <f t="shared" si="210"/>
        <v>0</v>
      </c>
      <c r="P307" s="11">
        <f t="shared" si="210"/>
        <v>0</v>
      </c>
      <c r="Q307" s="11">
        <f t="shared" si="210"/>
        <v>0</v>
      </c>
      <c r="R307" s="11">
        <f t="shared" si="210"/>
        <v>0</v>
      </c>
      <c r="S307" s="11">
        <f t="shared" si="210"/>
        <v>0</v>
      </c>
      <c r="Z307" s="38"/>
      <c r="AA307" s="38"/>
      <c r="AB307" s="38"/>
      <c r="AC307" s="38"/>
      <c r="AD307" s="38"/>
      <c r="AE307" s="38"/>
      <c r="AF307" s="38"/>
      <c r="AG307" s="38"/>
      <c r="AH307" s="38"/>
      <c r="AI307" s="38"/>
      <c r="AJ307" s="38"/>
    </row>
    <row r="308" spans="1:36" ht="15" customHeight="1" outlineLevel="1">
      <c r="B308" s="92"/>
      <c r="C308" s="105">
        <f t="shared" si="207"/>
        <v>459</v>
      </c>
      <c r="D308" s="91" t="s">
        <v>199</v>
      </c>
      <c r="E308" s="40" t="s">
        <v>112</v>
      </c>
      <c r="F308" s="150"/>
      <c r="G308" s="11">
        <f>G166</f>
        <v>0</v>
      </c>
      <c r="H308" s="11">
        <f t="shared" ref="H308:S308" si="211">H166</f>
        <v>459</v>
      </c>
      <c r="I308" s="11">
        <f t="shared" si="211"/>
        <v>0</v>
      </c>
      <c r="J308" s="11">
        <f t="shared" si="211"/>
        <v>0</v>
      </c>
      <c r="K308" s="11">
        <f t="shared" si="211"/>
        <v>0</v>
      </c>
      <c r="L308" s="11">
        <f t="shared" si="211"/>
        <v>0</v>
      </c>
      <c r="M308" s="11">
        <f t="shared" si="211"/>
        <v>0</v>
      </c>
      <c r="N308" s="11">
        <f t="shared" si="211"/>
        <v>0</v>
      </c>
      <c r="O308" s="11">
        <f t="shared" si="211"/>
        <v>0</v>
      </c>
      <c r="P308" s="11">
        <f t="shared" si="211"/>
        <v>0</v>
      </c>
      <c r="Q308" s="11">
        <f t="shared" si="211"/>
        <v>0</v>
      </c>
      <c r="R308" s="11">
        <f t="shared" si="211"/>
        <v>0</v>
      </c>
      <c r="S308" s="11">
        <f t="shared" si="211"/>
        <v>0</v>
      </c>
      <c r="Z308" s="38"/>
      <c r="AA308" s="38"/>
      <c r="AB308" s="38"/>
      <c r="AC308" s="38"/>
      <c r="AD308" s="38"/>
      <c r="AE308" s="38"/>
      <c r="AF308" s="38"/>
      <c r="AG308" s="38"/>
      <c r="AH308" s="38"/>
      <c r="AI308" s="38"/>
      <c r="AJ308" s="38"/>
    </row>
    <row r="309" spans="1:36" ht="15" customHeight="1" outlineLevel="1">
      <c r="B309" s="92"/>
      <c r="C309" s="105">
        <f t="shared" si="207"/>
        <v>73.092825663263994</v>
      </c>
      <c r="D309" s="91" t="s">
        <v>269</v>
      </c>
      <c r="E309" s="40" t="s">
        <v>112</v>
      </c>
      <c r="F309" s="150"/>
      <c r="G309" s="11">
        <f>G167</f>
        <v>0</v>
      </c>
      <c r="H309" s="11">
        <f t="shared" ref="H309:S309" si="212">H167</f>
        <v>0</v>
      </c>
      <c r="I309" s="11">
        <f t="shared" si="212"/>
        <v>14.045400000000001</v>
      </c>
      <c r="J309" s="11">
        <f t="shared" si="212"/>
        <v>14.326307999999999</v>
      </c>
      <c r="K309" s="11">
        <f t="shared" si="212"/>
        <v>14.61283416</v>
      </c>
      <c r="L309" s="11">
        <f t="shared" si="212"/>
        <v>14.905090843200002</v>
      </c>
      <c r="M309" s="11">
        <f t="shared" si="212"/>
        <v>15.203192660064003</v>
      </c>
      <c r="N309" s="11">
        <f t="shared" si="212"/>
        <v>0</v>
      </c>
      <c r="O309" s="11">
        <f t="shared" si="212"/>
        <v>0</v>
      </c>
      <c r="P309" s="11">
        <f t="shared" si="212"/>
        <v>0</v>
      </c>
      <c r="Q309" s="11">
        <f t="shared" si="212"/>
        <v>0</v>
      </c>
      <c r="R309" s="11">
        <f t="shared" si="212"/>
        <v>0</v>
      </c>
      <c r="S309" s="11">
        <f t="shared" si="212"/>
        <v>0</v>
      </c>
      <c r="Z309" s="38"/>
      <c r="AA309" s="38"/>
      <c r="AB309" s="38"/>
      <c r="AC309" s="38"/>
      <c r="AD309" s="38"/>
      <c r="AE309" s="38"/>
      <c r="AF309" s="38"/>
      <c r="AG309" s="38"/>
      <c r="AH309" s="38"/>
      <c r="AI309" s="38"/>
      <c r="AJ309" s="38"/>
    </row>
    <row r="310" spans="1:36" ht="15" customHeight="1" outlineLevel="1">
      <c r="B310" s="92"/>
      <c r="C310" s="105">
        <f t="shared" si="207"/>
        <v>3664.6523374021936</v>
      </c>
      <c r="D310" s="82" t="s">
        <v>90</v>
      </c>
      <c r="E310" s="40" t="s">
        <v>112</v>
      </c>
      <c r="F310" s="150"/>
      <c r="G310" s="11">
        <f t="shared" ref="G310:S312" si="213">G168</f>
        <v>0</v>
      </c>
      <c r="H310" s="11">
        <f t="shared" si="213"/>
        <v>0</v>
      </c>
      <c r="I310" s="11">
        <f t="shared" si="213"/>
        <v>102.53142</v>
      </c>
      <c r="J310" s="11">
        <f t="shared" si="213"/>
        <v>261.45512099999996</v>
      </c>
      <c r="K310" s="11">
        <f t="shared" si="213"/>
        <v>800.05267026000001</v>
      </c>
      <c r="L310" s="11">
        <f t="shared" si="213"/>
        <v>652.84297893216001</v>
      </c>
      <c r="M310" s="11">
        <f t="shared" si="213"/>
        <v>532.71987080864267</v>
      </c>
      <c r="N310" s="11">
        <f t="shared" si="213"/>
        <v>434.69941457985232</v>
      </c>
      <c r="O310" s="11">
        <f t="shared" si="213"/>
        <v>354.71472229715948</v>
      </c>
      <c r="P310" s="11">
        <f t="shared" si="213"/>
        <v>289.44721339448211</v>
      </c>
      <c r="Q310" s="11">
        <f t="shared" si="213"/>
        <v>236.18892612989745</v>
      </c>
      <c r="R310" s="11">
        <f t="shared" si="213"/>
        <v>0</v>
      </c>
      <c r="S310" s="11">
        <f t="shared" si="213"/>
        <v>0</v>
      </c>
      <c r="Z310" s="38"/>
      <c r="AA310" s="38"/>
      <c r="AB310" s="38"/>
      <c r="AC310" s="38"/>
      <c r="AD310" s="38"/>
      <c r="AE310" s="38"/>
      <c r="AF310" s="38"/>
      <c r="AG310" s="38"/>
      <c r="AH310" s="38"/>
      <c r="AI310" s="38"/>
      <c r="AJ310" s="38"/>
    </row>
    <row r="311" spans="1:36" ht="15" customHeight="1" outlineLevel="1">
      <c r="B311" s="92"/>
      <c r="C311" s="105">
        <f t="shared" si="207"/>
        <v>223.80737551103735</v>
      </c>
      <c r="D311" s="82" t="s">
        <v>137</v>
      </c>
      <c r="E311" s="40" t="s">
        <v>112</v>
      </c>
      <c r="F311" s="150"/>
      <c r="G311" s="11">
        <f t="shared" si="213"/>
        <v>0</v>
      </c>
      <c r="H311" s="11">
        <f t="shared" si="213"/>
        <v>0</v>
      </c>
      <c r="I311" s="11">
        <f t="shared" si="213"/>
        <v>0</v>
      </c>
      <c r="J311" s="11">
        <f t="shared" si="213"/>
        <v>0</v>
      </c>
      <c r="K311" s="11">
        <f t="shared" si="213"/>
        <v>0</v>
      </c>
      <c r="L311" s="11">
        <f t="shared" si="213"/>
        <v>0</v>
      </c>
      <c r="M311" s="11">
        <f t="shared" si="213"/>
        <v>61.507442936955727</v>
      </c>
      <c r="N311" s="11">
        <f t="shared" si="213"/>
        <v>50.606790529624668</v>
      </c>
      <c r="O311" s="11">
        <f t="shared" si="213"/>
        <v>42.214110198949001</v>
      </c>
      <c r="P311" s="11">
        <f t="shared" si="213"/>
        <v>36.161473296403841</v>
      </c>
      <c r="Q311" s="11">
        <f t="shared" si="213"/>
        <v>33.317558549104191</v>
      </c>
      <c r="R311" s="11">
        <f t="shared" si="213"/>
        <v>-7.6738615462090825E-14</v>
      </c>
      <c r="S311" s="11">
        <f t="shared" si="213"/>
        <v>0</v>
      </c>
      <c r="Z311" s="38"/>
      <c r="AA311" s="38"/>
      <c r="AB311" s="38"/>
      <c r="AC311" s="38"/>
      <c r="AD311" s="38"/>
      <c r="AE311" s="38"/>
      <c r="AF311" s="38"/>
      <c r="AG311" s="38"/>
      <c r="AH311" s="38"/>
      <c r="AI311" s="38"/>
      <c r="AJ311" s="38"/>
    </row>
    <row r="312" spans="1:36" ht="15" customHeight="1" outlineLevel="1">
      <c r="B312" s="92"/>
      <c r="C312" s="105">
        <f t="shared" si="207"/>
        <v>45</v>
      </c>
      <c r="D312" s="82" t="s">
        <v>134</v>
      </c>
      <c r="E312" s="40" t="s">
        <v>112</v>
      </c>
      <c r="F312" s="150"/>
      <c r="G312" s="11">
        <f t="shared" si="213"/>
        <v>0</v>
      </c>
      <c r="H312" s="11">
        <f t="shared" si="213"/>
        <v>0</v>
      </c>
      <c r="I312" s="11">
        <f t="shared" si="213"/>
        <v>45</v>
      </c>
      <c r="J312" s="11">
        <f t="shared" si="213"/>
        <v>0</v>
      </c>
      <c r="K312" s="11">
        <f t="shared" si="213"/>
        <v>0</v>
      </c>
      <c r="L312" s="11">
        <f t="shared" si="213"/>
        <v>0</v>
      </c>
      <c r="M312" s="11">
        <f t="shared" si="213"/>
        <v>0</v>
      </c>
      <c r="N312" s="11">
        <f t="shared" si="213"/>
        <v>0</v>
      </c>
      <c r="O312" s="11">
        <f t="shared" si="213"/>
        <v>0</v>
      </c>
      <c r="P312" s="11">
        <f t="shared" si="213"/>
        <v>0</v>
      </c>
      <c r="Q312" s="11">
        <f t="shared" si="213"/>
        <v>0</v>
      </c>
      <c r="R312" s="11">
        <f t="shared" si="213"/>
        <v>0</v>
      </c>
      <c r="S312" s="11">
        <f t="shared" si="213"/>
        <v>0</v>
      </c>
      <c r="Z312" s="38"/>
      <c r="AA312" s="38"/>
      <c r="AB312" s="38"/>
      <c r="AC312" s="38"/>
      <c r="AD312" s="38"/>
      <c r="AE312" s="38"/>
      <c r="AF312" s="38"/>
      <c r="AG312" s="38"/>
      <c r="AH312" s="38"/>
      <c r="AI312" s="38"/>
      <c r="AJ312" s="38"/>
    </row>
    <row r="313" spans="1:36" ht="15" customHeight="1" outlineLevel="1">
      <c r="B313" s="92"/>
      <c r="C313" s="105">
        <f t="shared" si="207"/>
        <v>71.560055989967523</v>
      </c>
      <c r="D313" s="84" t="s">
        <v>198</v>
      </c>
      <c r="E313" s="40" t="s">
        <v>112</v>
      </c>
      <c r="F313" s="150"/>
      <c r="G313" s="11">
        <f>G300</f>
        <v>0</v>
      </c>
      <c r="H313" s="11">
        <f t="shared" ref="H313:S313" si="214">H300</f>
        <v>-321.29999999999995</v>
      </c>
      <c r="I313" s="11">
        <f t="shared" si="214"/>
        <v>78.57201119799349</v>
      </c>
      <c r="J313" s="11">
        <f t="shared" si="214"/>
        <v>78.57201119799349</v>
      </c>
      <c r="K313" s="11">
        <f t="shared" si="214"/>
        <v>78.57201119799349</v>
      </c>
      <c r="L313" s="11">
        <f t="shared" si="214"/>
        <v>78.57201119799349</v>
      </c>
      <c r="M313" s="11">
        <f t="shared" si="214"/>
        <v>78.57201119799349</v>
      </c>
      <c r="N313" s="11">
        <f t="shared" si="214"/>
        <v>0</v>
      </c>
      <c r="O313" s="11">
        <f t="shared" si="214"/>
        <v>0</v>
      </c>
      <c r="P313" s="11">
        <f t="shared" si="214"/>
        <v>0</v>
      </c>
      <c r="Q313" s="11">
        <f t="shared" si="214"/>
        <v>0</v>
      </c>
      <c r="R313" s="11">
        <f t="shared" si="214"/>
        <v>0</v>
      </c>
      <c r="S313" s="11">
        <f t="shared" si="214"/>
        <v>0</v>
      </c>
      <c r="Z313" s="38"/>
      <c r="AA313" s="38"/>
      <c r="AB313" s="38"/>
      <c r="AC313" s="38"/>
      <c r="AD313" s="38"/>
      <c r="AE313" s="38"/>
      <c r="AF313" s="38"/>
      <c r="AG313" s="38"/>
      <c r="AH313" s="38"/>
      <c r="AI313" s="38"/>
      <c r="AJ313" s="38"/>
    </row>
    <row r="314" spans="1:36" ht="15" customHeight="1" outlineLevel="1">
      <c r="B314" s="92"/>
      <c r="C314" s="105">
        <f t="shared" si="207"/>
        <v>208.86159056109386</v>
      </c>
      <c r="D314" s="84" t="s">
        <v>187</v>
      </c>
      <c r="E314" s="40" t="s">
        <v>112</v>
      </c>
      <c r="F314" s="150"/>
      <c r="G314" s="11">
        <f>G295</f>
        <v>0</v>
      </c>
      <c r="H314" s="11">
        <f t="shared" ref="H314:S314" si="215">H295</f>
        <v>0</v>
      </c>
      <c r="I314" s="11">
        <f t="shared" si="215"/>
        <v>0</v>
      </c>
      <c r="J314" s="11">
        <f t="shared" si="215"/>
        <v>0</v>
      </c>
      <c r="K314" s="11">
        <f t="shared" si="215"/>
        <v>58.377040314424328</v>
      </c>
      <c r="L314" s="11">
        <f t="shared" si="215"/>
        <v>51.097125849555823</v>
      </c>
      <c r="M314" s="11">
        <f t="shared" si="215"/>
        <v>38.425744893272558</v>
      </c>
      <c r="N314" s="11">
        <f t="shared" si="215"/>
        <v>24.232848268971477</v>
      </c>
      <c r="O314" s="11">
        <f t="shared" si="215"/>
        <v>19.155524761290156</v>
      </c>
      <c r="P314" s="11">
        <f t="shared" si="215"/>
        <v>13.97684189049885</v>
      </c>
      <c r="Q314" s="11">
        <f t="shared" si="215"/>
        <v>3.5964645830806377</v>
      </c>
      <c r="R314" s="11">
        <f t="shared" si="215"/>
        <v>8.8447998924934273E-15</v>
      </c>
      <c r="S314" s="11">
        <f t="shared" si="215"/>
        <v>0</v>
      </c>
      <c r="Z314" s="38"/>
      <c r="AA314" s="38"/>
      <c r="AB314" s="38"/>
      <c r="AC314" s="38"/>
      <c r="AD314" s="38"/>
      <c r="AE314" s="38"/>
      <c r="AF314" s="38"/>
      <c r="AG314" s="38"/>
      <c r="AH314" s="38"/>
      <c r="AI314" s="38"/>
      <c r="AJ314" s="38"/>
    </row>
    <row r="315" spans="1:36" ht="15" customHeight="1" outlineLevel="1">
      <c r="B315" s="92"/>
      <c r="C315" s="105">
        <f t="shared" si="207"/>
        <v>790.44636224437511</v>
      </c>
      <c r="D315" s="84" t="s">
        <v>200</v>
      </c>
      <c r="E315" s="40" t="s">
        <v>112</v>
      </c>
      <c r="F315" s="150"/>
      <c r="G315" s="11">
        <f>G304+G305+G306-SUM(G307:G314)</f>
        <v>-250</v>
      </c>
      <c r="H315" s="11">
        <f t="shared" ref="H315:S315" si="216">H304+H305+H306-SUM(H307:H314)</f>
        <v>-137.70000000000005</v>
      </c>
      <c r="I315" s="11">
        <f t="shared" si="216"/>
        <v>-64.06820591799351</v>
      </c>
      <c r="J315" s="11">
        <f t="shared" si="216"/>
        <v>90.74775779240656</v>
      </c>
      <c r="K315" s="11">
        <f t="shared" si="216"/>
        <v>335.64719545598211</v>
      </c>
      <c r="L315" s="11">
        <f t="shared" si="216"/>
        <v>172.67263504573543</v>
      </c>
      <c r="M315" s="11">
        <f t="shared" si="216"/>
        <v>118.34584707226259</v>
      </c>
      <c r="N315" s="11">
        <f t="shared" si="216"/>
        <v>150.14067564221227</v>
      </c>
      <c r="O315" s="11">
        <f t="shared" si="216"/>
        <v>129.83138161148702</v>
      </c>
      <c r="P315" s="11">
        <f t="shared" si="216"/>
        <v>109.11665012832174</v>
      </c>
      <c r="Q315" s="11">
        <f t="shared" si="216"/>
        <v>135.71242541396089</v>
      </c>
      <c r="R315" s="11">
        <f t="shared" si="216"/>
        <v>3.5379199569973709E-14</v>
      </c>
      <c r="S315" s="11">
        <f t="shared" si="216"/>
        <v>0</v>
      </c>
      <c r="Z315" s="38"/>
      <c r="AA315" s="38"/>
      <c r="AB315" s="38"/>
      <c r="AC315" s="38"/>
      <c r="AD315" s="38"/>
      <c r="AE315" s="38"/>
      <c r="AF315" s="38"/>
      <c r="AG315" s="38"/>
      <c r="AH315" s="38"/>
      <c r="AI315" s="38"/>
      <c r="AJ315" s="38"/>
    </row>
    <row r="316" spans="1:36" ht="15" customHeight="1" outlineLevel="1">
      <c r="B316" s="92"/>
      <c r="C316" s="105">
        <f t="shared" si="207"/>
        <v>2924.5589204675757</v>
      </c>
      <c r="D316" s="84" t="s">
        <v>201</v>
      </c>
      <c r="E316" s="40" t="s">
        <v>112</v>
      </c>
      <c r="F316" s="150"/>
      <c r="G316" s="11">
        <f>SUM($G$315:G315)</f>
        <v>-250</v>
      </c>
      <c r="H316" s="11">
        <f>SUM($G$315:H315)</f>
        <v>-387.70000000000005</v>
      </c>
      <c r="I316" s="11">
        <f>SUM($G$315:I315)</f>
        <v>-451.76820591799355</v>
      </c>
      <c r="J316" s="11">
        <f>SUM($G$315:J315)</f>
        <v>-361.020448125587</v>
      </c>
      <c r="K316" s="11">
        <f>SUM($G$315:K315)</f>
        <v>-25.373252669604881</v>
      </c>
      <c r="L316" s="11">
        <f>SUM($G$315:L315)</f>
        <v>147.29938237613055</v>
      </c>
      <c r="M316" s="11">
        <f>SUM($G$315:M315)</f>
        <v>265.64522944839314</v>
      </c>
      <c r="N316" s="11">
        <f>SUM($G$315:N315)</f>
        <v>415.78590509060541</v>
      </c>
      <c r="O316" s="11">
        <f>SUM($G$315:O315)</f>
        <v>545.61728670209243</v>
      </c>
      <c r="P316" s="11">
        <f>SUM($G$315:P315)</f>
        <v>654.73393683041422</v>
      </c>
      <c r="Q316" s="11">
        <f>SUM($G$315:Q315)</f>
        <v>790.44636224437511</v>
      </c>
      <c r="R316" s="11">
        <f>SUM($G$315:R315)</f>
        <v>790.44636224437511</v>
      </c>
      <c r="S316" s="11">
        <f>SUM($G$315:S315)</f>
        <v>790.44636224437511</v>
      </c>
      <c r="Z316" s="38"/>
      <c r="AA316" s="38"/>
      <c r="AB316" s="38"/>
      <c r="AC316" s="38"/>
      <c r="AD316" s="38"/>
      <c r="AE316" s="38"/>
      <c r="AF316" s="38"/>
      <c r="AG316" s="38"/>
      <c r="AH316" s="38"/>
      <c r="AI316" s="38"/>
      <c r="AJ316" s="38"/>
    </row>
    <row r="317" spans="1:36" ht="15" customHeight="1" outlineLevel="1">
      <c r="B317" s="92"/>
      <c r="C317" s="105"/>
      <c r="D317" s="84"/>
      <c r="E317" s="40"/>
      <c r="F317" s="150"/>
      <c r="G317" s="11"/>
      <c r="H317" s="11"/>
      <c r="I317" s="11"/>
      <c r="J317" s="11"/>
      <c r="K317" s="11"/>
      <c r="L317" s="11"/>
      <c r="M317" s="11"/>
      <c r="N317" s="11"/>
      <c r="O317" s="11"/>
      <c r="P317" s="11"/>
      <c r="Q317" s="11"/>
      <c r="R317" s="11"/>
      <c r="S317" s="11"/>
      <c r="Z317" s="38"/>
      <c r="AA317" s="38"/>
      <c r="AB317" s="38"/>
      <c r="AC317" s="38"/>
      <c r="AD317" s="38"/>
      <c r="AE317" s="38"/>
      <c r="AF317" s="38"/>
      <c r="AG317" s="38"/>
      <c r="AH317" s="38"/>
      <c r="AI317" s="38"/>
      <c r="AJ317" s="38"/>
    </row>
    <row r="318" spans="1:36" ht="15" customHeight="1" outlineLevel="1">
      <c r="B318" s="92"/>
      <c r="C318" s="105">
        <f t="shared" si="207"/>
        <v>790.44636224437511</v>
      </c>
      <c r="D318" s="84" t="s">
        <v>202</v>
      </c>
      <c r="E318" s="40" t="s">
        <v>112</v>
      </c>
      <c r="F318" s="150"/>
      <c r="G318" s="11">
        <f>IF(G316&lt;0,0,MAX(0,MIN(G316,G315)))</f>
        <v>0</v>
      </c>
      <c r="H318" s="11">
        <f t="shared" ref="H318:S318" si="217">IF(H316&lt;0,0,MAX(0,MIN(H316,H315)))</f>
        <v>0</v>
      </c>
      <c r="I318" s="11">
        <f t="shared" si="217"/>
        <v>0</v>
      </c>
      <c r="J318" s="11">
        <f t="shared" si="217"/>
        <v>0</v>
      </c>
      <c r="K318" s="11">
        <f t="shared" si="217"/>
        <v>0</v>
      </c>
      <c r="L318" s="11">
        <f t="shared" si="217"/>
        <v>147.29938237613055</v>
      </c>
      <c r="M318" s="11">
        <f t="shared" si="217"/>
        <v>118.34584707226259</v>
      </c>
      <c r="N318" s="11">
        <f t="shared" si="217"/>
        <v>150.14067564221227</v>
      </c>
      <c r="O318" s="11">
        <f t="shared" si="217"/>
        <v>129.83138161148702</v>
      </c>
      <c r="P318" s="11">
        <f t="shared" si="217"/>
        <v>109.11665012832174</v>
      </c>
      <c r="Q318" s="11">
        <f t="shared" si="217"/>
        <v>135.71242541396089</v>
      </c>
      <c r="R318" s="11">
        <f t="shared" si="217"/>
        <v>3.5379199569973709E-14</v>
      </c>
      <c r="S318" s="11">
        <f t="shared" si="217"/>
        <v>0</v>
      </c>
      <c r="Z318" s="38"/>
      <c r="AA318" s="38"/>
      <c r="AB318" s="38"/>
      <c r="AC318" s="38"/>
      <c r="AD318" s="38"/>
      <c r="AE318" s="38"/>
      <c r="AF318" s="38"/>
      <c r="AG318" s="38"/>
      <c r="AH318" s="38"/>
      <c r="AI318" s="38"/>
      <c r="AJ318" s="38"/>
    </row>
    <row r="319" spans="1:36" ht="15" customHeight="1" outlineLevel="1">
      <c r="B319" s="92"/>
      <c r="C319" s="105">
        <f t="shared" si="207"/>
        <v>39.522318112218755</v>
      </c>
      <c r="D319" s="84" t="s">
        <v>67</v>
      </c>
      <c r="E319" s="40" t="s">
        <v>112</v>
      </c>
      <c r="F319" s="150"/>
      <c r="G319" s="11">
        <f>G318*$F$41</f>
        <v>0</v>
      </c>
      <c r="H319" s="11">
        <f t="shared" ref="H319:S319" si="218">H318*$F$41</f>
        <v>0</v>
      </c>
      <c r="I319" s="11">
        <f t="shared" si="218"/>
        <v>0</v>
      </c>
      <c r="J319" s="11">
        <f t="shared" si="218"/>
        <v>0</v>
      </c>
      <c r="K319" s="11">
        <f t="shared" si="218"/>
        <v>0</v>
      </c>
      <c r="L319" s="11">
        <f t="shared" si="218"/>
        <v>7.3649691188065276</v>
      </c>
      <c r="M319" s="11">
        <f t="shared" si="218"/>
        <v>5.9172923536131297</v>
      </c>
      <c r="N319" s="11">
        <f t="shared" si="218"/>
        <v>7.5070337821106143</v>
      </c>
      <c r="O319" s="11">
        <f t="shared" si="218"/>
        <v>6.4915690805743509</v>
      </c>
      <c r="P319" s="11">
        <f t="shared" si="218"/>
        <v>5.4558325064160869</v>
      </c>
      <c r="Q319" s="11">
        <f t="shared" si="218"/>
        <v>6.7856212706980443</v>
      </c>
      <c r="R319" s="11">
        <f t="shared" si="218"/>
        <v>1.7689599784986855E-15</v>
      </c>
      <c r="S319" s="11">
        <f t="shared" si="218"/>
        <v>0</v>
      </c>
      <c r="Z319" s="38"/>
      <c r="AA319" s="38"/>
      <c r="AB319" s="38"/>
      <c r="AC319" s="38"/>
      <c r="AD319" s="38"/>
      <c r="AE319" s="38"/>
      <c r="AF319" s="38"/>
      <c r="AG319" s="38"/>
      <c r="AH319" s="38"/>
      <c r="AI319" s="38"/>
      <c r="AJ319" s="38"/>
    </row>
    <row r="320" spans="1:36" ht="15" customHeight="1" outlineLevel="1">
      <c r="B320" s="92"/>
      <c r="C320" s="105"/>
      <c r="D320" s="84"/>
      <c r="E320" s="40"/>
      <c r="F320" s="150"/>
      <c r="G320" s="11"/>
      <c r="H320" s="11"/>
      <c r="I320" s="11"/>
      <c r="J320" s="11"/>
      <c r="K320" s="11"/>
      <c r="L320" s="11"/>
      <c r="M320" s="11"/>
      <c r="N320" s="11"/>
      <c r="O320" s="11"/>
      <c r="P320" s="11"/>
      <c r="Q320" s="11"/>
      <c r="R320" s="11"/>
      <c r="S320" s="11"/>
      <c r="Z320" s="38"/>
      <c r="AA320" s="38"/>
      <c r="AB320" s="38"/>
      <c r="AC320" s="38"/>
      <c r="AD320" s="38"/>
      <c r="AE320" s="38"/>
      <c r="AF320" s="38"/>
      <c r="AG320" s="38"/>
      <c r="AH320" s="38"/>
      <c r="AI320" s="38"/>
      <c r="AJ320" s="38"/>
    </row>
    <row r="321" spans="1:36" s="27" customFormat="1" ht="15" customHeight="1" outlineLevel="1">
      <c r="A321" s="77"/>
      <c r="B321" s="57"/>
      <c r="C321" s="105">
        <f t="shared" si="207"/>
        <v>750.92404413215627</v>
      </c>
      <c r="D321" s="84" t="s">
        <v>203</v>
      </c>
      <c r="E321" s="40" t="s">
        <v>112</v>
      </c>
      <c r="F321" s="150"/>
      <c r="G321" s="11">
        <f>G315-G319</f>
        <v>-250</v>
      </c>
      <c r="H321" s="11">
        <f t="shared" ref="H321:S321" si="219">H315-H319</f>
        <v>-137.70000000000005</v>
      </c>
      <c r="I321" s="11">
        <f t="shared" si="219"/>
        <v>-64.06820591799351</v>
      </c>
      <c r="J321" s="11">
        <f t="shared" si="219"/>
        <v>90.74775779240656</v>
      </c>
      <c r="K321" s="11">
        <f t="shared" si="219"/>
        <v>335.64719545598211</v>
      </c>
      <c r="L321" s="11">
        <f t="shared" si="219"/>
        <v>165.30766592692891</v>
      </c>
      <c r="M321" s="11">
        <f t="shared" si="219"/>
        <v>112.42855471864945</v>
      </c>
      <c r="N321" s="11">
        <f t="shared" si="219"/>
        <v>142.63364186010165</v>
      </c>
      <c r="O321" s="11">
        <f t="shared" si="219"/>
        <v>123.33981253091267</v>
      </c>
      <c r="P321" s="11">
        <f t="shared" si="219"/>
        <v>103.66081762190565</v>
      </c>
      <c r="Q321" s="11">
        <f t="shared" si="219"/>
        <v>128.92680414326284</v>
      </c>
      <c r="R321" s="11">
        <f t="shared" si="219"/>
        <v>3.3610239591475022E-14</v>
      </c>
      <c r="S321" s="11">
        <f t="shared" si="219"/>
        <v>0</v>
      </c>
      <c r="Z321" s="91"/>
      <c r="AA321" s="91"/>
      <c r="AB321" s="91"/>
      <c r="AC321" s="91"/>
      <c r="AD321" s="91"/>
      <c r="AE321" s="91"/>
      <c r="AF321" s="91"/>
      <c r="AG321" s="91"/>
      <c r="AH321" s="91"/>
      <c r="AI321" s="91"/>
      <c r="AJ321" s="91"/>
    </row>
    <row r="322" spans="1:36" s="27" customFormat="1" ht="15" customHeight="1" outlineLevel="1">
      <c r="A322" s="77"/>
      <c r="B322" s="57"/>
      <c r="C322" s="105"/>
      <c r="D322" s="84"/>
      <c r="E322" s="40"/>
      <c r="F322" s="150"/>
      <c r="G322" s="11"/>
      <c r="H322" s="11"/>
      <c r="I322" s="11"/>
      <c r="J322" s="11"/>
      <c r="K322" s="11"/>
      <c r="L322" s="11"/>
      <c r="M322" s="11"/>
      <c r="N322" s="11"/>
      <c r="O322" s="11"/>
      <c r="P322" s="11"/>
      <c r="Q322" s="11"/>
      <c r="R322" s="11"/>
      <c r="S322" s="11"/>
      <c r="Z322" s="91"/>
      <c r="AA322" s="91"/>
      <c r="AB322" s="91"/>
      <c r="AC322" s="91"/>
      <c r="AD322" s="91"/>
      <c r="AE322" s="91"/>
      <c r="AF322" s="91"/>
      <c r="AG322" s="91"/>
      <c r="AH322" s="91"/>
      <c r="AI322" s="91"/>
      <c r="AJ322" s="91"/>
    </row>
    <row r="323" spans="1:36" ht="15" customHeight="1" outlineLevel="1">
      <c r="B323" s="92"/>
      <c r="C323" s="147"/>
      <c r="D323" s="157" t="s">
        <v>204</v>
      </c>
      <c r="E323" s="63"/>
      <c r="F323" s="158"/>
      <c r="G323" s="124"/>
      <c r="H323" s="124"/>
      <c r="I323" s="124"/>
      <c r="J323" s="124"/>
      <c r="K323" s="124"/>
      <c r="L323" s="124"/>
      <c r="M323" s="124"/>
      <c r="N323" s="124"/>
      <c r="O323" s="124"/>
      <c r="P323" s="124"/>
      <c r="Q323" s="124"/>
      <c r="R323" s="124"/>
      <c r="S323" s="124"/>
      <c r="T323" s="22"/>
      <c r="U323" s="22"/>
      <c r="Z323" s="38"/>
      <c r="AA323" s="38"/>
      <c r="AB323" s="38"/>
      <c r="AC323" s="38"/>
      <c r="AD323" s="38"/>
      <c r="AE323" s="38"/>
      <c r="AF323" s="38"/>
      <c r="AG323" s="38"/>
      <c r="AH323" s="38"/>
      <c r="AI323" s="38"/>
      <c r="AJ323" s="38"/>
    </row>
    <row r="324" spans="1:36" ht="15" customHeight="1" outlineLevel="1">
      <c r="B324" s="92"/>
      <c r="C324" s="105">
        <f t="shared" ref="C324:C333" si="220">SUM(G324:S324)</f>
        <v>508.6039171179093</v>
      </c>
      <c r="D324" s="84" t="s">
        <v>161</v>
      </c>
      <c r="E324" s="40" t="s">
        <v>112</v>
      </c>
      <c r="F324" s="150"/>
      <c r="G324" s="11">
        <f>G220</f>
        <v>0</v>
      </c>
      <c r="H324" s="11">
        <f t="shared" ref="H324:S324" si="221">H220</f>
        <v>0</v>
      </c>
      <c r="I324" s="11">
        <f t="shared" si="221"/>
        <v>17.012620800000004</v>
      </c>
      <c r="J324" s="11">
        <f t="shared" si="221"/>
        <v>43.382183040000001</v>
      </c>
      <c r="K324" s="11">
        <f t="shared" si="221"/>
        <v>126.440700748</v>
      </c>
      <c r="L324" s="11">
        <f t="shared" si="221"/>
        <v>84.024545059200008</v>
      </c>
      <c r="M324" s="11">
        <f t="shared" si="221"/>
        <v>77.849542097583466</v>
      </c>
      <c r="N324" s="11">
        <f t="shared" si="221"/>
        <v>55.23507669356998</v>
      </c>
      <c r="O324" s="11">
        <f t="shared" si="221"/>
        <v>45.097006225417921</v>
      </c>
      <c r="P324" s="11">
        <f t="shared" si="221"/>
        <v>36.847815932393203</v>
      </c>
      <c r="Q324" s="11">
        <f t="shared" si="221"/>
        <v>22.714426521744723</v>
      </c>
      <c r="R324" s="11">
        <f t="shared" si="221"/>
        <v>-8.5265128291212035E-15</v>
      </c>
      <c r="S324" s="11">
        <f t="shared" si="221"/>
        <v>0</v>
      </c>
      <c r="Z324" s="38"/>
      <c r="AA324" s="38"/>
      <c r="AB324" s="38"/>
      <c r="AC324" s="38"/>
      <c r="AD324" s="38"/>
      <c r="AE324" s="38"/>
      <c r="AF324" s="38"/>
      <c r="AG324" s="38"/>
      <c r="AH324" s="38"/>
      <c r="AI324" s="38"/>
      <c r="AJ324" s="38"/>
    </row>
    <row r="325" spans="1:36" ht="15" customHeight="1" outlineLevel="1">
      <c r="B325" s="92"/>
      <c r="C325" s="105">
        <f t="shared" si="220"/>
        <v>126.76311208838185</v>
      </c>
      <c r="D325" s="84" t="s">
        <v>162</v>
      </c>
      <c r="E325" s="40" t="s">
        <v>112</v>
      </c>
      <c r="F325" s="150"/>
      <c r="G325" s="11">
        <f>G257</f>
        <v>0</v>
      </c>
      <c r="H325" s="11">
        <f t="shared" ref="H325:S325" si="222">H257</f>
        <v>0</v>
      </c>
      <c r="I325" s="11">
        <f t="shared" si="222"/>
        <v>2.551893119999999</v>
      </c>
      <c r="J325" s="11">
        <f t="shared" si="222"/>
        <v>6.0735056256000002</v>
      </c>
      <c r="K325" s="11">
        <f t="shared" si="222"/>
        <v>16.588382739600004</v>
      </c>
      <c r="L325" s="11">
        <f t="shared" si="222"/>
        <v>23.763215148427204</v>
      </c>
      <c r="M325" s="11">
        <f t="shared" si="222"/>
        <v>16.014247854548874</v>
      </c>
      <c r="N325" s="11">
        <f t="shared" si="222"/>
        <v>18.062670975392333</v>
      </c>
      <c r="O325" s="11">
        <f t="shared" si="222"/>
        <v>15.560298093347155</v>
      </c>
      <c r="P325" s="11">
        <f t="shared" si="222"/>
        <v>13.007981702018638</v>
      </c>
      <c r="Q325" s="11">
        <f t="shared" si="222"/>
        <v>15.140916829447637</v>
      </c>
      <c r="R325" s="11">
        <f t="shared" si="222"/>
        <v>4.9137777180519044E-15</v>
      </c>
      <c r="S325" s="11">
        <f t="shared" si="222"/>
        <v>0</v>
      </c>
      <c r="Z325" s="38"/>
      <c r="AA325" s="38"/>
      <c r="AB325" s="38"/>
      <c r="AC325" s="38"/>
      <c r="AD325" s="38"/>
      <c r="AE325" s="38"/>
      <c r="AF325" s="38"/>
      <c r="AG325" s="38"/>
      <c r="AH325" s="38"/>
      <c r="AI325" s="38"/>
      <c r="AJ325" s="38"/>
    </row>
    <row r="326" spans="1:36" ht="15" customHeight="1" outlineLevel="1">
      <c r="B326" s="92"/>
      <c r="C326" s="105">
        <f t="shared" si="220"/>
        <v>7.5685871683679942</v>
      </c>
      <c r="D326" s="213" t="s">
        <v>391</v>
      </c>
      <c r="E326" s="40" t="s">
        <v>112</v>
      </c>
      <c r="F326" s="150"/>
      <c r="G326" s="11">
        <f>G282</f>
        <v>0</v>
      </c>
      <c r="H326" s="11">
        <f t="shared" ref="H326:S326" si="223">H282</f>
        <v>0</v>
      </c>
      <c r="I326" s="11">
        <f t="shared" si="223"/>
        <v>0</v>
      </c>
      <c r="J326" s="11">
        <f t="shared" si="223"/>
        <v>0</v>
      </c>
      <c r="K326" s="11">
        <f t="shared" si="223"/>
        <v>0</v>
      </c>
      <c r="L326" s="11">
        <f t="shared" si="223"/>
        <v>0</v>
      </c>
      <c r="M326" s="11">
        <f t="shared" si="223"/>
        <v>0</v>
      </c>
      <c r="N326" s="11">
        <f t="shared" si="223"/>
        <v>0</v>
      </c>
      <c r="O326" s="11">
        <f t="shared" si="223"/>
        <v>0</v>
      </c>
      <c r="P326" s="11">
        <f t="shared" si="223"/>
        <v>0</v>
      </c>
      <c r="Q326" s="11">
        <f t="shared" si="223"/>
        <v>7.5685871683679942</v>
      </c>
      <c r="R326" s="11">
        <f t="shared" si="223"/>
        <v>0</v>
      </c>
      <c r="S326" s="11">
        <f t="shared" si="223"/>
        <v>0</v>
      </c>
      <c r="Z326" s="38"/>
      <c r="AA326" s="38"/>
      <c r="AB326" s="38"/>
      <c r="AC326" s="38"/>
      <c r="AD326" s="38"/>
      <c r="AE326" s="38"/>
      <c r="AF326" s="38"/>
      <c r="AG326" s="38"/>
      <c r="AH326" s="38"/>
      <c r="AI326" s="38"/>
      <c r="AJ326" s="38"/>
    </row>
    <row r="327" spans="1:36" ht="15" customHeight="1" outlineLevel="1">
      <c r="B327" s="92"/>
      <c r="C327" s="105">
        <f t="shared" si="220"/>
        <v>0</v>
      </c>
      <c r="D327" s="91" t="s">
        <v>186</v>
      </c>
      <c r="E327" s="40" t="s">
        <v>112</v>
      </c>
      <c r="F327" s="150"/>
      <c r="G327" s="11">
        <f>G175</f>
        <v>0</v>
      </c>
      <c r="H327" s="11">
        <f t="shared" ref="H327:S327" si="224">H175</f>
        <v>0</v>
      </c>
      <c r="I327" s="11">
        <f t="shared" si="224"/>
        <v>0</v>
      </c>
      <c r="J327" s="11">
        <f t="shared" si="224"/>
        <v>0</v>
      </c>
      <c r="K327" s="11">
        <f t="shared" si="224"/>
        <v>0</v>
      </c>
      <c r="L327" s="11">
        <f t="shared" si="224"/>
        <v>0</v>
      </c>
      <c r="M327" s="11">
        <f t="shared" si="224"/>
        <v>0</v>
      </c>
      <c r="N327" s="11">
        <f t="shared" si="224"/>
        <v>0</v>
      </c>
      <c r="O327" s="11">
        <f t="shared" si="224"/>
        <v>0</v>
      </c>
      <c r="P327" s="11">
        <f t="shared" si="224"/>
        <v>0</v>
      </c>
      <c r="Q327" s="11">
        <f t="shared" si="224"/>
        <v>0</v>
      </c>
      <c r="R327" s="11">
        <f t="shared" si="224"/>
        <v>0</v>
      </c>
      <c r="S327" s="11">
        <f t="shared" si="224"/>
        <v>0</v>
      </c>
      <c r="Z327" s="38"/>
      <c r="AA327" s="38"/>
      <c r="AB327" s="38"/>
      <c r="AC327" s="38"/>
      <c r="AD327" s="38"/>
      <c r="AE327" s="38"/>
      <c r="AF327" s="38"/>
      <c r="AG327" s="38"/>
      <c r="AH327" s="38"/>
      <c r="AI327" s="38"/>
      <c r="AJ327" s="38"/>
    </row>
    <row r="328" spans="1:36" ht="15" customHeight="1" outlineLevel="1">
      <c r="B328" s="92"/>
      <c r="C328" s="105">
        <f t="shared" si="220"/>
        <v>51</v>
      </c>
      <c r="D328" s="91" t="s">
        <v>199</v>
      </c>
      <c r="E328" s="40" t="s">
        <v>112</v>
      </c>
      <c r="F328" s="150"/>
      <c r="G328" s="11">
        <f>G176</f>
        <v>0</v>
      </c>
      <c r="H328" s="11">
        <f t="shared" ref="H328:S328" si="225">H176</f>
        <v>51</v>
      </c>
      <c r="I328" s="11">
        <f t="shared" si="225"/>
        <v>0</v>
      </c>
      <c r="J328" s="11">
        <f t="shared" si="225"/>
        <v>0</v>
      </c>
      <c r="K328" s="11">
        <f t="shared" si="225"/>
        <v>0</v>
      </c>
      <c r="L328" s="11">
        <f t="shared" si="225"/>
        <v>0</v>
      </c>
      <c r="M328" s="11">
        <f t="shared" si="225"/>
        <v>0</v>
      </c>
      <c r="N328" s="11">
        <f t="shared" si="225"/>
        <v>0</v>
      </c>
      <c r="O328" s="11">
        <f t="shared" si="225"/>
        <v>0</v>
      </c>
      <c r="P328" s="11">
        <f t="shared" si="225"/>
        <v>0</v>
      </c>
      <c r="Q328" s="11">
        <f t="shared" si="225"/>
        <v>0</v>
      </c>
      <c r="R328" s="11">
        <f t="shared" si="225"/>
        <v>0</v>
      </c>
      <c r="S328" s="11">
        <f t="shared" si="225"/>
        <v>0</v>
      </c>
      <c r="Z328" s="38"/>
      <c r="AA328" s="38"/>
      <c r="AB328" s="38"/>
      <c r="AC328" s="38"/>
      <c r="AD328" s="38"/>
      <c r="AE328" s="38"/>
      <c r="AF328" s="38"/>
      <c r="AG328" s="38"/>
      <c r="AH328" s="38"/>
      <c r="AI328" s="38"/>
      <c r="AJ328" s="38"/>
    </row>
    <row r="329" spans="1:36" ht="15" customHeight="1" outlineLevel="1">
      <c r="B329" s="92"/>
      <c r="C329" s="105">
        <f t="shared" ref="C329" si="226">SUM(G329:S329)</f>
        <v>8.121425073695999</v>
      </c>
      <c r="D329" s="91" t="s">
        <v>269</v>
      </c>
      <c r="E329" s="40" t="s">
        <v>112</v>
      </c>
      <c r="F329" s="150"/>
      <c r="G329" s="11">
        <f>G177</f>
        <v>0</v>
      </c>
      <c r="H329" s="11">
        <f t="shared" ref="H329:S329" si="227">H177</f>
        <v>0</v>
      </c>
      <c r="I329" s="11">
        <f t="shared" si="227"/>
        <v>1.5606</v>
      </c>
      <c r="J329" s="11">
        <f t="shared" si="227"/>
        <v>1.591812</v>
      </c>
      <c r="K329" s="11">
        <f t="shared" si="227"/>
        <v>1.6236482400000001</v>
      </c>
      <c r="L329" s="11">
        <f t="shared" si="227"/>
        <v>1.6561212048000002</v>
      </c>
      <c r="M329" s="11">
        <f t="shared" si="227"/>
        <v>1.6892436288960004</v>
      </c>
      <c r="N329" s="11">
        <f t="shared" si="227"/>
        <v>0</v>
      </c>
      <c r="O329" s="11">
        <f t="shared" si="227"/>
        <v>0</v>
      </c>
      <c r="P329" s="11">
        <f t="shared" si="227"/>
        <v>0</v>
      </c>
      <c r="Q329" s="11">
        <f t="shared" si="227"/>
        <v>0</v>
      </c>
      <c r="R329" s="11">
        <f t="shared" si="227"/>
        <v>0</v>
      </c>
      <c r="S329" s="11">
        <f t="shared" si="227"/>
        <v>0</v>
      </c>
      <c r="Z329" s="38"/>
      <c r="AA329" s="38"/>
      <c r="AB329" s="38"/>
      <c r="AC329" s="38"/>
      <c r="AD329" s="38"/>
      <c r="AE329" s="38"/>
      <c r="AF329" s="38"/>
      <c r="AG329" s="38"/>
      <c r="AH329" s="38"/>
      <c r="AI329" s="38"/>
      <c r="AJ329" s="38"/>
    </row>
    <row r="330" spans="1:36" ht="15" customHeight="1" outlineLevel="1">
      <c r="B330" s="92"/>
      <c r="C330" s="105">
        <f t="shared" si="220"/>
        <v>407.18359304468822</v>
      </c>
      <c r="D330" s="82" t="s">
        <v>90</v>
      </c>
      <c r="E330" s="40" t="s">
        <v>112</v>
      </c>
      <c r="F330" s="150"/>
      <c r="G330" s="11">
        <f>G178</f>
        <v>0</v>
      </c>
      <c r="H330" s="11">
        <f t="shared" ref="H330:S330" si="228">H178</f>
        <v>0</v>
      </c>
      <c r="I330" s="11">
        <f t="shared" si="228"/>
        <v>11.392380000000001</v>
      </c>
      <c r="J330" s="11">
        <f t="shared" si="228"/>
        <v>29.050568999999996</v>
      </c>
      <c r="K330" s="11">
        <f t="shared" si="228"/>
        <v>88.894741140000008</v>
      </c>
      <c r="L330" s="11">
        <f t="shared" si="228"/>
        <v>72.538108770240001</v>
      </c>
      <c r="M330" s="11">
        <f t="shared" si="228"/>
        <v>59.191096756515847</v>
      </c>
      <c r="N330" s="11">
        <f t="shared" si="228"/>
        <v>48.299934953316921</v>
      </c>
      <c r="O330" s="11">
        <f t="shared" si="228"/>
        <v>39.41274692190661</v>
      </c>
      <c r="P330" s="11">
        <f t="shared" si="228"/>
        <v>32.160801488275794</v>
      </c>
      <c r="Q330" s="11">
        <f t="shared" si="228"/>
        <v>26.24321401443305</v>
      </c>
      <c r="R330" s="11">
        <f t="shared" si="228"/>
        <v>0</v>
      </c>
      <c r="S330" s="11">
        <f t="shared" si="228"/>
        <v>0</v>
      </c>
      <c r="Z330" s="38"/>
      <c r="AA330" s="38"/>
      <c r="AB330" s="38"/>
      <c r="AC330" s="38"/>
      <c r="AD330" s="38"/>
      <c r="AE330" s="38"/>
      <c r="AF330" s="38"/>
      <c r="AG330" s="38"/>
      <c r="AH330" s="38"/>
      <c r="AI330" s="38"/>
      <c r="AJ330" s="38"/>
    </row>
    <row r="331" spans="1:36" ht="15" customHeight="1" outlineLevel="1">
      <c r="B331" s="92"/>
      <c r="C331" s="105">
        <f t="shared" si="220"/>
        <v>24.867486167893041</v>
      </c>
      <c r="D331" s="82" t="s">
        <v>137</v>
      </c>
      <c r="E331" s="40" t="s">
        <v>112</v>
      </c>
      <c r="F331" s="150"/>
      <c r="G331" s="11">
        <f t="shared" ref="G331:S332" si="229">G179</f>
        <v>0</v>
      </c>
      <c r="H331" s="11">
        <f t="shared" si="229"/>
        <v>0</v>
      </c>
      <c r="I331" s="11">
        <f t="shared" si="229"/>
        <v>0</v>
      </c>
      <c r="J331" s="11">
        <f t="shared" si="229"/>
        <v>0</v>
      </c>
      <c r="K331" s="11">
        <f t="shared" si="229"/>
        <v>0</v>
      </c>
      <c r="L331" s="11">
        <f t="shared" si="229"/>
        <v>0</v>
      </c>
      <c r="M331" s="11">
        <f t="shared" si="229"/>
        <v>6.8341603263284147</v>
      </c>
      <c r="N331" s="11">
        <f t="shared" si="229"/>
        <v>5.6229767255138521</v>
      </c>
      <c r="O331" s="11">
        <f t="shared" si="229"/>
        <v>4.6904566887721115</v>
      </c>
      <c r="P331" s="11">
        <f t="shared" si="229"/>
        <v>4.0179414773782041</v>
      </c>
      <c r="Q331" s="11">
        <f t="shared" si="229"/>
        <v>3.7019509499004659</v>
      </c>
      <c r="R331" s="11">
        <f t="shared" si="229"/>
        <v>-8.5265128291212035E-15</v>
      </c>
      <c r="S331" s="11">
        <f t="shared" si="229"/>
        <v>0</v>
      </c>
      <c r="Z331" s="38"/>
      <c r="AA331" s="38"/>
      <c r="AB331" s="38"/>
      <c r="AC331" s="38"/>
      <c r="AD331" s="38"/>
      <c r="AE331" s="38"/>
      <c r="AF331" s="38"/>
      <c r="AG331" s="38"/>
      <c r="AH331" s="38"/>
      <c r="AI331" s="38"/>
      <c r="AJ331" s="38"/>
    </row>
    <row r="332" spans="1:36" ht="15" customHeight="1" outlineLevel="1">
      <c r="B332" s="92"/>
      <c r="C332" s="105">
        <f t="shared" si="220"/>
        <v>5</v>
      </c>
      <c r="D332" s="82" t="s">
        <v>134</v>
      </c>
      <c r="E332" s="40" t="s">
        <v>112</v>
      </c>
      <c r="F332" s="150"/>
      <c r="G332" s="11">
        <f t="shared" si="229"/>
        <v>0</v>
      </c>
      <c r="H332" s="11">
        <f t="shared" si="229"/>
        <v>0</v>
      </c>
      <c r="I332" s="11">
        <f t="shared" si="229"/>
        <v>5</v>
      </c>
      <c r="J332" s="11">
        <f t="shared" si="229"/>
        <v>0</v>
      </c>
      <c r="K332" s="11">
        <f t="shared" si="229"/>
        <v>0</v>
      </c>
      <c r="L332" s="11">
        <f t="shared" si="229"/>
        <v>0</v>
      </c>
      <c r="M332" s="11">
        <f t="shared" si="229"/>
        <v>0</v>
      </c>
      <c r="N332" s="11">
        <f t="shared" si="229"/>
        <v>0</v>
      </c>
      <c r="O332" s="11">
        <f t="shared" si="229"/>
        <v>0</v>
      </c>
      <c r="P332" s="11">
        <f t="shared" si="229"/>
        <v>0</v>
      </c>
      <c r="Q332" s="11">
        <f t="shared" si="229"/>
        <v>0</v>
      </c>
      <c r="R332" s="11">
        <f t="shared" si="229"/>
        <v>0</v>
      </c>
      <c r="S332" s="11">
        <f t="shared" si="229"/>
        <v>0</v>
      </c>
      <c r="Z332" s="38"/>
      <c r="AA332" s="38"/>
      <c r="AB332" s="38"/>
      <c r="AC332" s="38"/>
      <c r="AD332" s="38"/>
      <c r="AE332" s="38"/>
      <c r="AF332" s="38"/>
      <c r="AG332" s="38"/>
      <c r="AH332" s="38"/>
      <c r="AI332" s="38"/>
      <c r="AJ332" s="38"/>
    </row>
    <row r="333" spans="1:36" ht="15" customHeight="1" outlineLevel="1">
      <c r="B333" s="92"/>
      <c r="C333" s="105">
        <f t="shared" si="220"/>
        <v>146.76311208838189</v>
      </c>
      <c r="D333" s="38" t="s">
        <v>138</v>
      </c>
      <c r="E333" s="40" t="s">
        <v>112</v>
      </c>
      <c r="F333" s="150"/>
      <c r="G333" s="11">
        <f>G324+G325+G326-SUM(G327:G332)</f>
        <v>0</v>
      </c>
      <c r="H333" s="11">
        <f t="shared" ref="H333:S333" si="230">H324+H325+H326-SUM(H327:H332)</f>
        <v>-51</v>
      </c>
      <c r="I333" s="11">
        <f t="shared" si="230"/>
        <v>1.611533920000003</v>
      </c>
      <c r="J333" s="11">
        <f t="shared" si="230"/>
        <v>18.813307665600004</v>
      </c>
      <c r="K333" s="11">
        <f t="shared" si="230"/>
        <v>52.510694107599988</v>
      </c>
      <c r="L333" s="11">
        <f t="shared" si="230"/>
        <v>33.593530232587213</v>
      </c>
      <c r="M333" s="11">
        <f t="shared" si="230"/>
        <v>26.149289240392079</v>
      </c>
      <c r="N333" s="11">
        <f t="shared" si="230"/>
        <v>19.374835990131544</v>
      </c>
      <c r="O333" s="11">
        <f t="shared" si="230"/>
        <v>16.554100708086359</v>
      </c>
      <c r="P333" s="11">
        <f t="shared" si="230"/>
        <v>13.677054668757847</v>
      </c>
      <c r="Q333" s="11">
        <f t="shared" si="230"/>
        <v>15.478765555226843</v>
      </c>
      <c r="R333" s="11">
        <f t="shared" si="230"/>
        <v>4.9137777180519044E-15</v>
      </c>
      <c r="S333" s="11">
        <f t="shared" si="230"/>
        <v>0</v>
      </c>
      <c r="Z333" s="38"/>
      <c r="AA333" s="38"/>
      <c r="AB333" s="38"/>
      <c r="AC333" s="38"/>
      <c r="AD333" s="38"/>
      <c r="AE333" s="38"/>
      <c r="AF333" s="38"/>
      <c r="AG333" s="38"/>
      <c r="AH333" s="38"/>
      <c r="AI333" s="38"/>
      <c r="AJ333" s="38"/>
    </row>
    <row r="334" spans="1:36" ht="15" customHeight="1">
      <c r="B334" s="92"/>
      <c r="C334" s="105"/>
      <c r="D334" s="84"/>
      <c r="E334" s="40"/>
      <c r="F334" s="150"/>
      <c r="G334" s="11"/>
      <c r="H334" s="11"/>
      <c r="I334" s="11"/>
      <c r="J334" s="11"/>
      <c r="K334" s="11"/>
      <c r="L334" s="11"/>
      <c r="M334" s="11"/>
      <c r="N334" s="11"/>
      <c r="O334" s="11"/>
      <c r="P334" s="11"/>
      <c r="Q334" s="11"/>
      <c r="R334" s="11"/>
      <c r="S334" s="11"/>
      <c r="Z334" s="38"/>
      <c r="AA334" s="38"/>
      <c r="AB334" s="38"/>
      <c r="AC334" s="38"/>
      <c r="AD334" s="38"/>
      <c r="AE334" s="38"/>
      <c r="AF334" s="38"/>
      <c r="AG334" s="38"/>
      <c r="AH334" s="38"/>
      <c r="AI334" s="38"/>
      <c r="AJ334" s="38"/>
    </row>
    <row r="335" spans="1:36" ht="15" customHeight="1">
      <c r="B335" s="92"/>
      <c r="D335" s="16" t="s">
        <v>205</v>
      </c>
      <c r="E335" s="17" t="s">
        <v>0</v>
      </c>
      <c r="F335" s="17"/>
      <c r="G335" s="159">
        <v>1</v>
      </c>
      <c r="H335" s="159">
        <f>G335+1</f>
        <v>2</v>
      </c>
      <c r="I335" s="159">
        <f t="shared" ref="I335:S335" si="231">H335+1</f>
        <v>3</v>
      </c>
      <c r="J335" s="159">
        <f t="shared" si="231"/>
        <v>4</v>
      </c>
      <c r="K335" s="159">
        <f t="shared" si="231"/>
        <v>5</v>
      </c>
      <c r="L335" s="159">
        <f t="shared" si="231"/>
        <v>6</v>
      </c>
      <c r="M335" s="159">
        <f t="shared" si="231"/>
        <v>7</v>
      </c>
      <c r="N335" s="159">
        <f t="shared" si="231"/>
        <v>8</v>
      </c>
      <c r="O335" s="159">
        <f t="shared" si="231"/>
        <v>9</v>
      </c>
      <c r="P335" s="159">
        <f t="shared" si="231"/>
        <v>10</v>
      </c>
      <c r="Q335" s="159">
        <f t="shared" si="231"/>
        <v>11</v>
      </c>
      <c r="R335" s="159">
        <f t="shared" si="231"/>
        <v>12</v>
      </c>
      <c r="S335" s="159">
        <f t="shared" si="231"/>
        <v>13</v>
      </c>
      <c r="T335" s="17"/>
      <c r="U335" s="18"/>
      <c r="Z335" s="38"/>
      <c r="AA335" s="38"/>
      <c r="AB335" s="38"/>
      <c r="AC335" s="38"/>
      <c r="AD335" s="38"/>
      <c r="AE335" s="38"/>
      <c r="AF335" s="38"/>
      <c r="AG335" s="38"/>
      <c r="AH335" s="38"/>
      <c r="AI335" s="38"/>
      <c r="AJ335" s="38"/>
    </row>
    <row r="336" spans="1:36" ht="15" customHeight="1">
      <c r="B336" s="92"/>
      <c r="E336" s="15"/>
      <c r="H336" s="15"/>
      <c r="Z336" s="38"/>
      <c r="AA336" s="38"/>
      <c r="AB336" s="38"/>
      <c r="AC336" s="38"/>
      <c r="AD336" s="38"/>
      <c r="AE336" s="38"/>
      <c r="AF336" s="38"/>
      <c r="AG336" s="38"/>
      <c r="AH336" s="38"/>
      <c r="AI336" s="38"/>
      <c r="AJ336" s="38"/>
    </row>
    <row r="337" spans="2:80" ht="15" customHeight="1">
      <c r="C337" s="69" t="s">
        <v>379</v>
      </c>
      <c r="D337" s="146" t="s">
        <v>206</v>
      </c>
      <c r="G337" s="49"/>
      <c r="H337" s="49"/>
      <c r="I337" s="49"/>
      <c r="J337" s="49"/>
      <c r="K337" s="49"/>
      <c r="L337" s="49"/>
      <c r="M337" s="49"/>
      <c r="N337" s="49"/>
      <c r="O337" s="49"/>
      <c r="P337" s="49"/>
      <c r="Q337" s="49"/>
      <c r="R337" s="49"/>
      <c r="S337" s="49"/>
      <c r="T337" s="49"/>
      <c r="U337" s="49"/>
      <c r="V337" s="27"/>
      <c r="W337" s="27"/>
      <c r="X337" s="27"/>
      <c r="Y337" s="27"/>
      <c r="Z337" s="91"/>
      <c r="AA337" s="91"/>
      <c r="AB337" s="91"/>
      <c r="AC337" s="91"/>
      <c r="AD337" s="91"/>
      <c r="AE337" s="91"/>
      <c r="AF337" s="91"/>
      <c r="AG337" s="91"/>
      <c r="AH337" s="91"/>
      <c r="AI337" s="91"/>
      <c r="AJ337" s="91"/>
      <c r="AK337" s="27"/>
      <c r="AL337" s="27"/>
      <c r="AM337" s="27"/>
      <c r="AN337" s="27"/>
      <c r="AO337" s="27"/>
      <c r="AP337" s="27"/>
      <c r="AQ337" s="27"/>
      <c r="AR337" s="27"/>
      <c r="AS337" s="27"/>
      <c r="AT337" s="27"/>
      <c r="AU337" s="27"/>
      <c r="AV337" s="27"/>
      <c r="AW337" s="27"/>
      <c r="AX337" s="27"/>
      <c r="AY337" s="27"/>
      <c r="AZ337" s="27"/>
      <c r="BA337" s="27"/>
      <c r="BB337" s="27"/>
      <c r="BC337" s="27"/>
      <c r="BD337" s="27"/>
      <c r="BE337" s="27"/>
      <c r="BF337" s="27"/>
      <c r="BG337" s="27"/>
      <c r="BH337" s="27"/>
      <c r="BI337" s="27"/>
      <c r="BJ337" s="27"/>
      <c r="BK337" s="27"/>
      <c r="BL337" s="27"/>
      <c r="BM337" s="27"/>
      <c r="BN337" s="27"/>
      <c r="BO337" s="27"/>
      <c r="BP337" s="27"/>
      <c r="BQ337" s="27"/>
      <c r="BR337" s="27"/>
      <c r="BS337" s="27"/>
      <c r="BT337" s="27"/>
      <c r="BU337" s="27"/>
      <c r="BV337" s="27"/>
      <c r="BW337" s="27"/>
      <c r="BX337" s="27"/>
      <c r="BY337" s="27"/>
      <c r="BZ337" s="27"/>
      <c r="CA337" s="27"/>
      <c r="CB337" s="27"/>
    </row>
    <row r="338" spans="2:80" ht="15" customHeight="1">
      <c r="B338" s="92"/>
      <c r="C338" s="105">
        <f t="shared" ref="C338:C350" si="232">SUM(G338:S338)</f>
        <v>4577.4352540611835</v>
      </c>
      <c r="D338" s="121" t="s">
        <v>207</v>
      </c>
      <c r="E338" s="25" t="s">
        <v>112</v>
      </c>
      <c r="F338" s="27"/>
      <c r="G338" s="11">
        <f>G219</f>
        <v>0</v>
      </c>
      <c r="H338" s="11">
        <f t="shared" ref="H338:S338" si="233">H219</f>
        <v>0</v>
      </c>
      <c r="I338" s="11">
        <f t="shared" si="233"/>
        <v>153.11358720000001</v>
      </c>
      <c r="J338" s="11">
        <f t="shared" si="233"/>
        <v>390.43964736000004</v>
      </c>
      <c r="K338" s="11">
        <f t="shared" si="233"/>
        <v>1137.966306732</v>
      </c>
      <c r="L338" s="11">
        <f t="shared" si="233"/>
        <v>756.22090553279997</v>
      </c>
      <c r="M338" s="11">
        <f t="shared" si="233"/>
        <v>700.6458788782511</v>
      </c>
      <c r="N338" s="11">
        <f t="shared" si="233"/>
        <v>497.1156902421298</v>
      </c>
      <c r="O338" s="11">
        <f t="shared" si="233"/>
        <v>405.87305602876131</v>
      </c>
      <c r="P338" s="11">
        <f t="shared" si="233"/>
        <v>331.63034339153882</v>
      </c>
      <c r="Q338" s="11">
        <f t="shared" si="233"/>
        <v>204.4298386957025</v>
      </c>
      <c r="R338" s="11">
        <f t="shared" si="233"/>
        <v>-7.6738615462090825E-14</v>
      </c>
      <c r="S338" s="11">
        <f t="shared" si="233"/>
        <v>0</v>
      </c>
      <c r="T338" s="27"/>
      <c r="U338" s="27"/>
      <c r="Z338" s="38"/>
      <c r="AA338" s="38"/>
      <c r="AB338" s="38"/>
      <c r="AC338" s="38"/>
      <c r="AD338" s="38"/>
      <c r="AE338" s="38"/>
      <c r="AF338" s="38"/>
      <c r="AG338" s="38"/>
      <c r="AH338" s="38"/>
      <c r="AI338" s="38"/>
      <c r="AJ338" s="38"/>
    </row>
    <row r="339" spans="2:80" ht="15" customHeight="1">
      <c r="B339" s="92"/>
      <c r="C339" s="105">
        <f t="shared" si="232"/>
        <v>1140.8680087954365</v>
      </c>
      <c r="D339" s="84" t="s">
        <v>162</v>
      </c>
      <c r="E339" s="40" t="s">
        <v>112</v>
      </c>
      <c r="F339" s="150"/>
      <c r="G339" s="11">
        <f>G256</f>
        <v>0</v>
      </c>
      <c r="H339" s="11">
        <f t="shared" ref="H339:S339" si="234">H256</f>
        <v>0</v>
      </c>
      <c r="I339" s="11">
        <f t="shared" si="234"/>
        <v>22.967038079999988</v>
      </c>
      <c r="J339" s="11">
        <f t="shared" si="234"/>
        <v>54.661550630400001</v>
      </c>
      <c r="K339" s="11">
        <f t="shared" si="234"/>
        <v>149.29544465640001</v>
      </c>
      <c r="L339" s="11">
        <f t="shared" si="234"/>
        <v>213.86893633584481</v>
      </c>
      <c r="M339" s="11">
        <f t="shared" si="234"/>
        <v>144.12823069093986</v>
      </c>
      <c r="N339" s="11">
        <f t="shared" si="234"/>
        <v>162.56403877853097</v>
      </c>
      <c r="O339" s="11">
        <f t="shared" si="234"/>
        <v>140.0426828401244</v>
      </c>
      <c r="P339" s="11">
        <f t="shared" si="234"/>
        <v>117.07183531816773</v>
      </c>
      <c r="Q339" s="11">
        <f t="shared" si="234"/>
        <v>136.26825146502873</v>
      </c>
      <c r="R339" s="11">
        <f t="shared" si="234"/>
        <v>4.4223999462467137E-14</v>
      </c>
      <c r="S339" s="11">
        <f t="shared" si="234"/>
        <v>0</v>
      </c>
      <c r="Z339" s="38"/>
      <c r="AA339" s="38"/>
      <c r="AB339" s="38"/>
      <c r="AC339" s="38"/>
      <c r="AD339" s="38"/>
      <c r="AE339" s="38"/>
      <c r="AF339" s="38"/>
      <c r="AG339" s="38"/>
      <c r="AH339" s="38"/>
      <c r="AI339" s="38"/>
      <c r="AJ339" s="38"/>
    </row>
    <row r="340" spans="2:80" ht="15" customHeight="1">
      <c r="B340" s="92"/>
      <c r="C340" s="248">
        <f>SUM(G340:U340)</f>
        <v>68.117284515311951</v>
      </c>
      <c r="D340" s="213" t="s">
        <v>386</v>
      </c>
      <c r="E340" s="237" t="s">
        <v>112</v>
      </c>
      <c r="F340" s="150"/>
      <c r="G340" s="11">
        <f>G281</f>
        <v>0</v>
      </c>
      <c r="H340" s="11">
        <f t="shared" ref="H340:S340" si="235">H281</f>
        <v>0</v>
      </c>
      <c r="I340" s="11">
        <f t="shared" si="235"/>
        <v>0</v>
      </c>
      <c r="J340" s="11">
        <f t="shared" si="235"/>
        <v>0</v>
      </c>
      <c r="K340" s="11">
        <f t="shared" si="235"/>
        <v>0</v>
      </c>
      <c r="L340" s="11">
        <f t="shared" si="235"/>
        <v>0</v>
      </c>
      <c r="M340" s="11">
        <f t="shared" si="235"/>
        <v>0</v>
      </c>
      <c r="N340" s="11">
        <f t="shared" si="235"/>
        <v>0</v>
      </c>
      <c r="O340" s="11">
        <f t="shared" si="235"/>
        <v>0</v>
      </c>
      <c r="P340" s="11">
        <f t="shared" si="235"/>
        <v>0</v>
      </c>
      <c r="Q340" s="11">
        <f t="shared" si="235"/>
        <v>68.117284515311951</v>
      </c>
      <c r="R340" s="11">
        <f t="shared" si="235"/>
        <v>0</v>
      </c>
      <c r="S340" s="11">
        <f t="shared" si="235"/>
        <v>0</v>
      </c>
      <c r="Z340" s="38"/>
      <c r="AA340" s="38"/>
      <c r="AB340" s="38"/>
      <c r="AC340" s="38"/>
      <c r="AD340" s="38"/>
      <c r="AE340" s="38"/>
      <c r="AF340" s="38"/>
      <c r="AG340" s="38"/>
      <c r="AH340" s="38"/>
      <c r="AI340" s="38"/>
      <c r="AJ340" s="38"/>
    </row>
    <row r="341" spans="2:80" ht="15" customHeight="1">
      <c r="B341" s="92"/>
      <c r="C341" s="105">
        <f t="shared" si="232"/>
        <v>71.560055989967523</v>
      </c>
      <c r="D341" s="84" t="s">
        <v>208</v>
      </c>
      <c r="E341" s="40" t="s">
        <v>112</v>
      </c>
      <c r="F341" s="150"/>
      <c r="G341" s="11">
        <f>G300</f>
        <v>0</v>
      </c>
      <c r="H341" s="11">
        <f t="shared" ref="H341:S341" si="236">H300</f>
        <v>-321.29999999999995</v>
      </c>
      <c r="I341" s="11">
        <f t="shared" si="236"/>
        <v>78.57201119799349</v>
      </c>
      <c r="J341" s="11">
        <f t="shared" si="236"/>
        <v>78.57201119799349</v>
      </c>
      <c r="K341" s="11">
        <f t="shared" si="236"/>
        <v>78.57201119799349</v>
      </c>
      <c r="L341" s="11">
        <f t="shared" si="236"/>
        <v>78.57201119799349</v>
      </c>
      <c r="M341" s="11">
        <f t="shared" si="236"/>
        <v>78.57201119799349</v>
      </c>
      <c r="N341" s="11">
        <f t="shared" si="236"/>
        <v>0</v>
      </c>
      <c r="O341" s="11">
        <f t="shared" si="236"/>
        <v>0</v>
      </c>
      <c r="P341" s="11">
        <f t="shared" si="236"/>
        <v>0</v>
      </c>
      <c r="Q341" s="11">
        <f t="shared" si="236"/>
        <v>0</v>
      </c>
      <c r="R341" s="11">
        <f t="shared" si="236"/>
        <v>0</v>
      </c>
      <c r="S341" s="11">
        <f t="shared" si="236"/>
        <v>0</v>
      </c>
      <c r="Z341" s="38"/>
      <c r="AA341" s="38"/>
      <c r="AB341" s="38"/>
      <c r="AC341" s="38"/>
      <c r="AD341" s="38"/>
      <c r="AE341" s="38"/>
      <c r="AF341" s="38"/>
      <c r="AG341" s="38"/>
      <c r="AH341" s="38"/>
      <c r="AI341" s="38"/>
      <c r="AJ341" s="38"/>
    </row>
    <row r="342" spans="2:80" ht="15" customHeight="1">
      <c r="B342" s="92"/>
      <c r="C342" s="105">
        <f t="shared" si="232"/>
        <v>250</v>
      </c>
      <c r="D342" s="84" t="s">
        <v>209</v>
      </c>
      <c r="E342" s="40" t="s">
        <v>112</v>
      </c>
      <c r="F342" s="150"/>
      <c r="G342" s="11">
        <f t="shared" ref="G342:S342" si="237">G165</f>
        <v>250</v>
      </c>
      <c r="H342" s="11">
        <f t="shared" si="237"/>
        <v>0</v>
      </c>
      <c r="I342" s="11">
        <f t="shared" si="237"/>
        <v>0</v>
      </c>
      <c r="J342" s="11">
        <f t="shared" si="237"/>
        <v>0</v>
      </c>
      <c r="K342" s="11">
        <f t="shared" si="237"/>
        <v>0</v>
      </c>
      <c r="L342" s="11">
        <f t="shared" si="237"/>
        <v>0</v>
      </c>
      <c r="M342" s="11">
        <f t="shared" si="237"/>
        <v>0</v>
      </c>
      <c r="N342" s="11">
        <f t="shared" si="237"/>
        <v>0</v>
      </c>
      <c r="O342" s="11">
        <f t="shared" si="237"/>
        <v>0</v>
      </c>
      <c r="P342" s="11">
        <f t="shared" si="237"/>
        <v>0</v>
      </c>
      <c r="Q342" s="11">
        <f t="shared" si="237"/>
        <v>0</v>
      </c>
      <c r="R342" s="11">
        <f t="shared" si="237"/>
        <v>0</v>
      </c>
      <c r="S342" s="11">
        <f t="shared" si="237"/>
        <v>0</v>
      </c>
      <c r="Z342" s="38"/>
      <c r="AA342" s="38"/>
      <c r="AB342" s="38"/>
      <c r="AC342" s="38"/>
      <c r="AD342" s="38"/>
      <c r="AE342" s="38"/>
      <c r="AF342" s="38"/>
      <c r="AG342" s="38"/>
      <c r="AH342" s="38"/>
      <c r="AI342" s="38"/>
      <c r="AJ342" s="38"/>
    </row>
    <row r="343" spans="2:80" ht="15" customHeight="1">
      <c r="B343" s="92"/>
      <c r="C343" s="105">
        <f t="shared" si="232"/>
        <v>459</v>
      </c>
      <c r="D343" s="84" t="s">
        <v>210</v>
      </c>
      <c r="E343" s="40" t="s">
        <v>112</v>
      </c>
      <c r="F343" s="150"/>
      <c r="G343" s="11">
        <f t="shared" ref="G343:S343" si="238">G166</f>
        <v>0</v>
      </c>
      <c r="H343" s="11">
        <f t="shared" si="238"/>
        <v>459</v>
      </c>
      <c r="I343" s="11">
        <f t="shared" si="238"/>
        <v>0</v>
      </c>
      <c r="J343" s="11">
        <f t="shared" si="238"/>
        <v>0</v>
      </c>
      <c r="K343" s="11">
        <f t="shared" si="238"/>
        <v>0</v>
      </c>
      <c r="L343" s="11">
        <f t="shared" si="238"/>
        <v>0</v>
      </c>
      <c r="M343" s="11">
        <f t="shared" si="238"/>
        <v>0</v>
      </c>
      <c r="N343" s="11">
        <f t="shared" si="238"/>
        <v>0</v>
      </c>
      <c r="O343" s="11">
        <f t="shared" si="238"/>
        <v>0</v>
      </c>
      <c r="P343" s="11">
        <f t="shared" si="238"/>
        <v>0</v>
      </c>
      <c r="Q343" s="11">
        <f t="shared" si="238"/>
        <v>0</v>
      </c>
      <c r="R343" s="11">
        <f t="shared" si="238"/>
        <v>0</v>
      </c>
      <c r="S343" s="11">
        <f t="shared" si="238"/>
        <v>0</v>
      </c>
      <c r="Z343" s="38"/>
      <c r="AA343" s="38"/>
      <c r="AB343" s="38"/>
      <c r="AC343" s="38"/>
      <c r="AD343" s="38"/>
      <c r="AE343" s="38"/>
      <c r="AF343" s="38"/>
      <c r="AG343" s="38"/>
      <c r="AH343" s="38"/>
      <c r="AI343" s="38"/>
      <c r="AJ343" s="38"/>
    </row>
    <row r="344" spans="2:80" ht="15" customHeight="1">
      <c r="B344" s="92"/>
      <c r="C344" s="105">
        <f t="shared" ref="C344" si="239">SUM(G344:S344)</f>
        <v>73.092825663263994</v>
      </c>
      <c r="D344" s="84" t="s">
        <v>346</v>
      </c>
      <c r="E344" s="40" t="s">
        <v>112</v>
      </c>
      <c r="F344" s="150"/>
      <c r="G344" s="11">
        <f t="shared" ref="G344:S344" si="240">G167</f>
        <v>0</v>
      </c>
      <c r="H344" s="11">
        <f t="shared" si="240"/>
        <v>0</v>
      </c>
      <c r="I344" s="11">
        <f t="shared" si="240"/>
        <v>14.045400000000001</v>
      </c>
      <c r="J344" s="11">
        <f t="shared" si="240"/>
        <v>14.326307999999999</v>
      </c>
      <c r="K344" s="11">
        <f t="shared" si="240"/>
        <v>14.61283416</v>
      </c>
      <c r="L344" s="11">
        <f t="shared" si="240"/>
        <v>14.905090843200002</v>
      </c>
      <c r="M344" s="11">
        <f t="shared" si="240"/>
        <v>15.203192660064003</v>
      </c>
      <c r="N344" s="11">
        <f t="shared" si="240"/>
        <v>0</v>
      </c>
      <c r="O344" s="11">
        <f t="shared" si="240"/>
        <v>0</v>
      </c>
      <c r="P344" s="11">
        <f t="shared" si="240"/>
        <v>0</v>
      </c>
      <c r="Q344" s="11">
        <f t="shared" si="240"/>
        <v>0</v>
      </c>
      <c r="R344" s="11">
        <f t="shared" si="240"/>
        <v>0</v>
      </c>
      <c r="S344" s="11">
        <f t="shared" si="240"/>
        <v>0</v>
      </c>
      <c r="Z344" s="38"/>
      <c r="AA344" s="38"/>
      <c r="AB344" s="38"/>
      <c r="AC344" s="38"/>
      <c r="AD344" s="38"/>
      <c r="AE344" s="38"/>
      <c r="AF344" s="38"/>
      <c r="AG344" s="38"/>
      <c r="AH344" s="38"/>
      <c r="AI344" s="38"/>
      <c r="AJ344" s="38"/>
    </row>
    <row r="345" spans="2:80" ht="15" customHeight="1">
      <c r="B345" s="92"/>
      <c r="C345" s="105">
        <f t="shared" si="232"/>
        <v>3664.6523374021936</v>
      </c>
      <c r="D345" s="84" t="s">
        <v>211</v>
      </c>
      <c r="E345" s="40" t="s">
        <v>112</v>
      </c>
      <c r="F345" s="150"/>
      <c r="G345" s="11">
        <f>G168</f>
        <v>0</v>
      </c>
      <c r="H345" s="11">
        <f t="shared" ref="H345:S347" si="241">H168</f>
        <v>0</v>
      </c>
      <c r="I345" s="11">
        <f t="shared" si="241"/>
        <v>102.53142</v>
      </c>
      <c r="J345" s="11">
        <f t="shared" si="241"/>
        <v>261.45512099999996</v>
      </c>
      <c r="K345" s="11">
        <f t="shared" si="241"/>
        <v>800.05267026000001</v>
      </c>
      <c r="L345" s="11">
        <f t="shared" si="241"/>
        <v>652.84297893216001</v>
      </c>
      <c r="M345" s="11">
        <f t="shared" si="241"/>
        <v>532.71987080864267</v>
      </c>
      <c r="N345" s="11">
        <f t="shared" si="241"/>
        <v>434.69941457985232</v>
      </c>
      <c r="O345" s="11">
        <f t="shared" si="241"/>
        <v>354.71472229715948</v>
      </c>
      <c r="P345" s="11">
        <f t="shared" si="241"/>
        <v>289.44721339448211</v>
      </c>
      <c r="Q345" s="11">
        <f t="shared" si="241"/>
        <v>236.18892612989745</v>
      </c>
      <c r="R345" s="11">
        <f t="shared" si="241"/>
        <v>0</v>
      </c>
      <c r="S345" s="11">
        <f t="shared" si="241"/>
        <v>0</v>
      </c>
      <c r="Z345" s="38"/>
      <c r="AA345" s="38"/>
      <c r="AB345" s="38"/>
      <c r="AC345" s="38"/>
      <c r="AD345" s="38"/>
      <c r="AE345" s="38"/>
      <c r="AF345" s="38"/>
      <c r="AG345" s="38"/>
      <c r="AH345" s="38"/>
      <c r="AI345" s="38"/>
      <c r="AJ345" s="38"/>
    </row>
    <row r="346" spans="2:80" ht="15" customHeight="1">
      <c r="B346" s="92"/>
      <c r="C346" s="105">
        <f t="shared" si="232"/>
        <v>223.80737551103735</v>
      </c>
      <c r="D346" s="84" t="s">
        <v>212</v>
      </c>
      <c r="E346" s="40" t="s">
        <v>112</v>
      </c>
      <c r="F346" s="150"/>
      <c r="G346" s="11">
        <f>G169</f>
        <v>0</v>
      </c>
      <c r="H346" s="11">
        <f t="shared" si="241"/>
        <v>0</v>
      </c>
      <c r="I346" s="11">
        <f t="shared" si="241"/>
        <v>0</v>
      </c>
      <c r="J346" s="11">
        <f t="shared" si="241"/>
        <v>0</v>
      </c>
      <c r="K346" s="11">
        <f t="shared" si="241"/>
        <v>0</v>
      </c>
      <c r="L346" s="11">
        <f t="shared" si="241"/>
        <v>0</v>
      </c>
      <c r="M346" s="11">
        <f t="shared" si="241"/>
        <v>61.507442936955727</v>
      </c>
      <c r="N346" s="11">
        <f t="shared" si="241"/>
        <v>50.606790529624668</v>
      </c>
      <c r="O346" s="11">
        <f t="shared" si="241"/>
        <v>42.214110198949001</v>
      </c>
      <c r="P346" s="11">
        <f t="shared" si="241"/>
        <v>36.161473296403841</v>
      </c>
      <c r="Q346" s="11">
        <f t="shared" si="241"/>
        <v>33.317558549104191</v>
      </c>
      <c r="R346" s="11">
        <f t="shared" si="241"/>
        <v>-7.6738615462090825E-14</v>
      </c>
      <c r="S346" s="11">
        <f t="shared" si="241"/>
        <v>0</v>
      </c>
      <c r="Z346" s="38"/>
      <c r="AA346" s="38"/>
      <c r="AB346" s="38"/>
      <c r="AC346" s="38"/>
      <c r="AD346" s="38"/>
      <c r="AE346" s="38"/>
      <c r="AF346" s="38"/>
      <c r="AG346" s="38"/>
      <c r="AH346" s="38"/>
      <c r="AI346" s="38"/>
      <c r="AJ346" s="38"/>
    </row>
    <row r="347" spans="2:80" ht="15" customHeight="1">
      <c r="B347" s="92"/>
      <c r="C347" s="105">
        <f t="shared" si="232"/>
        <v>45</v>
      </c>
      <c r="D347" s="84" t="s">
        <v>213</v>
      </c>
      <c r="E347" s="40" t="s">
        <v>112</v>
      </c>
      <c r="F347" s="150"/>
      <c r="G347" s="11">
        <f>G170</f>
        <v>0</v>
      </c>
      <c r="H347" s="11">
        <f t="shared" si="241"/>
        <v>0</v>
      </c>
      <c r="I347" s="11">
        <f t="shared" si="241"/>
        <v>45</v>
      </c>
      <c r="J347" s="11">
        <f t="shared" si="241"/>
        <v>0</v>
      </c>
      <c r="K347" s="11">
        <f t="shared" si="241"/>
        <v>0</v>
      </c>
      <c r="L347" s="11">
        <f t="shared" si="241"/>
        <v>0</v>
      </c>
      <c r="M347" s="11">
        <f t="shared" si="241"/>
        <v>0</v>
      </c>
      <c r="N347" s="11">
        <f t="shared" si="241"/>
        <v>0</v>
      </c>
      <c r="O347" s="11">
        <f t="shared" si="241"/>
        <v>0</v>
      </c>
      <c r="P347" s="11">
        <f t="shared" si="241"/>
        <v>0</v>
      </c>
      <c r="Q347" s="11">
        <f t="shared" si="241"/>
        <v>0</v>
      </c>
      <c r="R347" s="11">
        <f t="shared" si="241"/>
        <v>0</v>
      </c>
      <c r="S347" s="11">
        <f t="shared" si="241"/>
        <v>0</v>
      </c>
      <c r="Z347" s="38"/>
      <c r="AA347" s="38"/>
      <c r="AB347" s="38"/>
      <c r="AC347" s="38"/>
      <c r="AD347" s="38"/>
      <c r="AE347" s="38"/>
      <c r="AF347" s="38"/>
      <c r="AG347" s="38"/>
      <c r="AH347" s="38"/>
      <c r="AI347" s="38"/>
      <c r="AJ347" s="38"/>
    </row>
    <row r="348" spans="2:80" ht="15" customHeight="1">
      <c r="B348" s="92"/>
      <c r="C348" s="105">
        <f t="shared" si="232"/>
        <v>208.86159056109386</v>
      </c>
      <c r="D348" s="84" t="s">
        <v>214</v>
      </c>
      <c r="E348" s="40" t="s">
        <v>112</v>
      </c>
      <c r="F348" s="150"/>
      <c r="G348" s="11">
        <f>G295</f>
        <v>0</v>
      </c>
      <c r="H348" s="11">
        <f t="shared" ref="H348:S348" si="242">H295</f>
        <v>0</v>
      </c>
      <c r="I348" s="11">
        <f t="shared" si="242"/>
        <v>0</v>
      </c>
      <c r="J348" s="11">
        <f t="shared" si="242"/>
        <v>0</v>
      </c>
      <c r="K348" s="11">
        <f t="shared" si="242"/>
        <v>58.377040314424328</v>
      </c>
      <c r="L348" s="11">
        <f t="shared" si="242"/>
        <v>51.097125849555823</v>
      </c>
      <c r="M348" s="11">
        <f t="shared" si="242"/>
        <v>38.425744893272558</v>
      </c>
      <c r="N348" s="11">
        <f t="shared" si="242"/>
        <v>24.232848268971477</v>
      </c>
      <c r="O348" s="11">
        <f t="shared" si="242"/>
        <v>19.155524761290156</v>
      </c>
      <c r="P348" s="11">
        <f t="shared" si="242"/>
        <v>13.97684189049885</v>
      </c>
      <c r="Q348" s="11">
        <f t="shared" si="242"/>
        <v>3.5964645830806377</v>
      </c>
      <c r="R348" s="11">
        <f t="shared" si="242"/>
        <v>8.8447998924934273E-15</v>
      </c>
      <c r="S348" s="11">
        <f t="shared" si="242"/>
        <v>0</v>
      </c>
      <c r="Z348" s="38"/>
      <c r="AA348" s="38"/>
      <c r="AB348" s="38"/>
      <c r="AC348" s="38"/>
      <c r="AD348" s="38"/>
      <c r="AE348" s="38"/>
      <c r="AF348" s="38"/>
      <c r="AG348" s="38"/>
      <c r="AH348" s="38"/>
      <c r="AI348" s="38"/>
      <c r="AJ348" s="38"/>
    </row>
    <row r="349" spans="2:80" ht="15" customHeight="1">
      <c r="B349" s="92"/>
      <c r="C349" s="105">
        <f t="shared" si="232"/>
        <v>39.522318112218755</v>
      </c>
      <c r="D349" s="84" t="s">
        <v>215</v>
      </c>
      <c r="E349" s="40" t="s">
        <v>112</v>
      </c>
      <c r="F349" s="150"/>
      <c r="G349" s="11">
        <f>G319</f>
        <v>0</v>
      </c>
      <c r="H349" s="11">
        <f t="shared" ref="H349:S349" si="243">H319</f>
        <v>0</v>
      </c>
      <c r="I349" s="11">
        <f t="shared" si="243"/>
        <v>0</v>
      </c>
      <c r="J349" s="11">
        <f t="shared" si="243"/>
        <v>0</v>
      </c>
      <c r="K349" s="11">
        <f t="shared" si="243"/>
        <v>0</v>
      </c>
      <c r="L349" s="11">
        <f t="shared" si="243"/>
        <v>7.3649691188065276</v>
      </c>
      <c r="M349" s="11">
        <f t="shared" si="243"/>
        <v>5.9172923536131297</v>
      </c>
      <c r="N349" s="11">
        <f t="shared" si="243"/>
        <v>7.5070337821106143</v>
      </c>
      <c r="O349" s="11">
        <f t="shared" si="243"/>
        <v>6.4915690805743509</v>
      </c>
      <c r="P349" s="11">
        <f t="shared" si="243"/>
        <v>5.4558325064160869</v>
      </c>
      <c r="Q349" s="11">
        <f t="shared" si="243"/>
        <v>6.7856212706980443</v>
      </c>
      <c r="R349" s="11">
        <f t="shared" si="243"/>
        <v>1.7689599784986855E-15</v>
      </c>
      <c r="S349" s="11">
        <f t="shared" si="243"/>
        <v>0</v>
      </c>
      <c r="Z349" s="38"/>
      <c r="AA349" s="38"/>
      <c r="AB349" s="38"/>
      <c r="AC349" s="38"/>
      <c r="AD349" s="38"/>
      <c r="AE349" s="38"/>
      <c r="AF349" s="38"/>
      <c r="AG349" s="38"/>
      <c r="AH349" s="38"/>
      <c r="AI349" s="38"/>
      <c r="AJ349" s="38"/>
    </row>
    <row r="350" spans="2:80" ht="15" customHeight="1">
      <c r="B350" s="92"/>
      <c r="C350" s="105">
        <f t="shared" si="232"/>
        <v>750.92404413215627</v>
      </c>
      <c r="D350" s="84" t="s">
        <v>216</v>
      </c>
      <c r="E350" s="40" t="s">
        <v>112</v>
      </c>
      <c r="F350" s="115"/>
      <c r="G350" s="11">
        <f>G338+G339+G340-SUM(G341:G349)</f>
        <v>-250</v>
      </c>
      <c r="H350" s="11">
        <f t="shared" ref="H350:S350" si="244">H338+H339+H340-SUM(H341:H349)</f>
        <v>-137.70000000000005</v>
      </c>
      <c r="I350" s="11">
        <f t="shared" si="244"/>
        <v>-64.06820591799351</v>
      </c>
      <c r="J350" s="11">
        <f t="shared" si="244"/>
        <v>90.74775779240656</v>
      </c>
      <c r="K350" s="11">
        <f t="shared" si="244"/>
        <v>335.64719545598211</v>
      </c>
      <c r="L350" s="11">
        <f t="shared" si="244"/>
        <v>165.30766592692885</v>
      </c>
      <c r="M350" s="11">
        <f t="shared" si="244"/>
        <v>112.42855471864948</v>
      </c>
      <c r="N350" s="11">
        <f t="shared" si="244"/>
        <v>142.63364186010165</v>
      </c>
      <c r="O350" s="11">
        <f t="shared" si="244"/>
        <v>123.3398125309127</v>
      </c>
      <c r="P350" s="11">
        <f t="shared" si="244"/>
        <v>103.66081762190566</v>
      </c>
      <c r="Q350" s="11">
        <f t="shared" si="244"/>
        <v>128.92680414326281</v>
      </c>
      <c r="R350" s="11">
        <f t="shared" si="244"/>
        <v>3.3610239591475029E-14</v>
      </c>
      <c r="S350" s="11">
        <f t="shared" si="244"/>
        <v>0</v>
      </c>
      <c r="T350" s="115"/>
      <c r="U350" s="115"/>
      <c r="Z350" s="38"/>
      <c r="AA350" s="38"/>
      <c r="AB350" s="38"/>
      <c r="AC350" s="38"/>
      <c r="AD350" s="38"/>
      <c r="AE350" s="38"/>
      <c r="AF350" s="38"/>
      <c r="AG350" s="38"/>
      <c r="AH350" s="38"/>
      <c r="AI350" s="38"/>
      <c r="AJ350" s="38"/>
    </row>
    <row r="351" spans="2:80" ht="15" customHeight="1">
      <c r="C351" s="111">
        <f>IFERROR(IRR(G350:S350),0)</f>
        <v>0.2112541124777767</v>
      </c>
      <c r="D351" s="84" t="s">
        <v>217</v>
      </c>
      <c r="E351" s="160"/>
      <c r="F351" s="115"/>
      <c r="G351" s="115"/>
      <c r="H351" s="115"/>
      <c r="I351" s="115"/>
      <c r="J351" s="115"/>
      <c r="K351" s="115"/>
      <c r="L351" s="115"/>
      <c r="M351" s="115"/>
      <c r="N351" s="115"/>
      <c r="O351" s="115"/>
      <c r="P351" s="115"/>
      <c r="Q351" s="115"/>
      <c r="R351" s="115"/>
      <c r="S351" s="115"/>
      <c r="T351" s="115"/>
      <c r="U351" s="115"/>
      <c r="Z351" s="38"/>
      <c r="AA351" s="38"/>
      <c r="AB351" s="38"/>
      <c r="AC351" s="38"/>
      <c r="AD351" s="38"/>
      <c r="AE351" s="38"/>
      <c r="AF351" s="38"/>
      <c r="AG351" s="38"/>
      <c r="AH351" s="38"/>
      <c r="AI351" s="38"/>
      <c r="AJ351" s="38"/>
    </row>
    <row r="352" spans="2:80" ht="15" customHeight="1">
      <c r="C352" s="105">
        <f t="shared" ref="C352" si="245">SUM(G352:S352)</f>
        <v>0</v>
      </c>
      <c r="D352" s="27" t="s">
        <v>218</v>
      </c>
      <c r="E352" s="40" t="s">
        <v>112</v>
      </c>
      <c r="F352" s="129"/>
      <c r="G352" s="11">
        <f t="shared" ref="G352:S352" si="246">(G130+G131+G132)</f>
        <v>0</v>
      </c>
      <c r="H352" s="11">
        <f t="shared" si="246"/>
        <v>0</v>
      </c>
      <c r="I352" s="11">
        <f t="shared" si="246"/>
        <v>0</v>
      </c>
      <c r="J352" s="11">
        <f t="shared" si="246"/>
        <v>0</v>
      </c>
      <c r="K352" s="11">
        <f t="shared" si="246"/>
        <v>0</v>
      </c>
      <c r="L352" s="11">
        <f t="shared" si="246"/>
        <v>0</v>
      </c>
      <c r="M352" s="11">
        <f t="shared" si="246"/>
        <v>68.341603263284142</v>
      </c>
      <c r="N352" s="11">
        <f t="shared" si="246"/>
        <v>56.229767255138519</v>
      </c>
      <c r="O352" s="11">
        <f t="shared" si="246"/>
        <v>46.90456688772111</v>
      </c>
      <c r="P352" s="11">
        <f t="shared" si="246"/>
        <v>40.179414773782042</v>
      </c>
      <c r="Q352" s="11">
        <f t="shared" si="246"/>
        <v>37.019509499004656</v>
      </c>
      <c r="R352" s="11">
        <f t="shared" si="246"/>
        <v>-248.67486167893048</v>
      </c>
      <c r="S352" s="11">
        <f t="shared" si="246"/>
        <v>0</v>
      </c>
      <c r="T352" s="161"/>
      <c r="U352" s="161"/>
      <c r="Y352" s="38"/>
      <c r="Z352" s="38"/>
      <c r="AA352" s="38"/>
      <c r="AB352" s="38"/>
      <c r="AC352" s="38"/>
      <c r="AD352" s="38"/>
      <c r="AE352" s="38"/>
      <c r="AF352" s="38"/>
      <c r="AG352" s="38"/>
      <c r="AH352" s="38"/>
      <c r="AI352" s="38"/>
    </row>
    <row r="353" spans="2:80" ht="15" customHeight="1">
      <c r="C353" s="92"/>
      <c r="D353" s="84"/>
      <c r="E353" s="160"/>
      <c r="F353" s="115"/>
      <c r="G353" s="115"/>
      <c r="H353" s="115"/>
      <c r="I353" s="115"/>
      <c r="J353" s="115"/>
      <c r="K353" s="115"/>
      <c r="L353" s="115"/>
      <c r="M353" s="115"/>
      <c r="N353" s="115"/>
      <c r="O353" s="115"/>
      <c r="P353" s="115"/>
      <c r="Q353" s="115"/>
      <c r="R353" s="115"/>
      <c r="S353" s="115"/>
      <c r="T353" s="115"/>
      <c r="U353" s="115"/>
      <c r="Z353" s="38"/>
      <c r="AA353" s="38"/>
      <c r="AB353" s="38"/>
      <c r="AC353" s="38"/>
      <c r="AD353" s="38"/>
      <c r="AE353" s="38"/>
      <c r="AF353" s="38"/>
      <c r="AG353" s="38"/>
      <c r="AH353" s="38"/>
      <c r="AI353" s="38"/>
      <c r="AJ353" s="38"/>
    </row>
    <row r="354" spans="2:80" ht="15" customHeight="1">
      <c r="D354" s="146" t="s">
        <v>219</v>
      </c>
      <c r="G354" s="49"/>
      <c r="H354" s="49"/>
      <c r="I354" s="49"/>
      <c r="J354" s="49"/>
      <c r="K354" s="49"/>
      <c r="L354" s="49"/>
      <c r="M354" s="49"/>
      <c r="N354" s="49"/>
      <c r="O354" s="49"/>
      <c r="P354" s="49"/>
      <c r="Q354" s="49"/>
      <c r="R354" s="49"/>
      <c r="S354" s="49"/>
      <c r="T354" s="49"/>
      <c r="U354" s="49"/>
      <c r="V354" s="27"/>
      <c r="W354" s="27"/>
      <c r="X354" s="27"/>
      <c r="Y354" s="27"/>
      <c r="Z354" s="91"/>
      <c r="AA354" s="91"/>
      <c r="AB354" s="91"/>
      <c r="AC354" s="91"/>
      <c r="AD354" s="91"/>
      <c r="AE354" s="91"/>
      <c r="AF354" s="91"/>
      <c r="AG354" s="91"/>
      <c r="AH354" s="91"/>
      <c r="AI354" s="91"/>
      <c r="AJ354" s="91"/>
      <c r="AK354" s="27"/>
      <c r="AL354" s="27"/>
      <c r="AM354" s="27"/>
      <c r="AN354" s="27"/>
      <c r="AO354" s="27"/>
      <c r="AP354" s="27"/>
      <c r="AQ354" s="27"/>
      <c r="AR354" s="27"/>
      <c r="AS354" s="27"/>
      <c r="AT354" s="27"/>
      <c r="AU354" s="27"/>
      <c r="AV354" s="27"/>
      <c r="AW354" s="27"/>
      <c r="AX354" s="27"/>
      <c r="AY354" s="27"/>
      <c r="AZ354" s="27"/>
      <c r="BA354" s="27"/>
      <c r="BB354" s="27"/>
      <c r="BC354" s="27"/>
      <c r="BD354" s="27"/>
      <c r="BE354" s="27"/>
      <c r="BF354" s="27"/>
      <c r="BG354" s="27"/>
      <c r="BH354" s="27"/>
      <c r="BI354" s="27"/>
      <c r="BJ354" s="27"/>
      <c r="BK354" s="27"/>
      <c r="BL354" s="27"/>
      <c r="BM354" s="27"/>
      <c r="BN354" s="27"/>
      <c r="BO354" s="27"/>
      <c r="BP354" s="27"/>
      <c r="BQ354" s="27"/>
      <c r="BR354" s="27"/>
      <c r="BS354" s="27"/>
      <c r="BT354" s="27"/>
      <c r="BU354" s="27"/>
      <c r="BV354" s="27"/>
      <c r="BW354" s="27"/>
      <c r="BX354" s="27"/>
      <c r="BY354" s="27"/>
      <c r="BZ354" s="27"/>
      <c r="CA354" s="27"/>
      <c r="CB354" s="27"/>
    </row>
    <row r="355" spans="2:80" ht="15" customHeight="1">
      <c r="D355" s="140" t="s">
        <v>220</v>
      </c>
      <c r="E355" s="73" t="s">
        <v>110</v>
      </c>
      <c r="G355" s="117">
        <f t="shared" ref="G355:S355" si="247">G99</f>
        <v>1</v>
      </c>
      <c r="H355" s="117">
        <f t="shared" si="247"/>
        <v>1.02</v>
      </c>
      <c r="I355" s="117">
        <f t="shared" si="247"/>
        <v>1.0404</v>
      </c>
      <c r="J355" s="117">
        <f t="shared" si="247"/>
        <v>1.0612079999999999</v>
      </c>
      <c r="K355" s="117">
        <f t="shared" si="247"/>
        <v>1.08243216</v>
      </c>
      <c r="L355" s="117">
        <f t="shared" si="247"/>
        <v>1.1040808032</v>
      </c>
      <c r="M355" s="117">
        <f t="shared" si="247"/>
        <v>1.1261624192640001</v>
      </c>
      <c r="N355" s="117">
        <f t="shared" si="247"/>
        <v>1.1486856676492798</v>
      </c>
      <c r="O355" s="117">
        <f t="shared" si="247"/>
        <v>1.1716593810022655</v>
      </c>
      <c r="P355" s="117">
        <f t="shared" si="247"/>
        <v>1.1950925686223108</v>
      </c>
      <c r="Q355" s="117">
        <f t="shared" si="247"/>
        <v>1.2189944199947571</v>
      </c>
      <c r="R355" s="117">
        <f t="shared" si="247"/>
        <v>1.243374308394652</v>
      </c>
      <c r="S355" s="117">
        <f t="shared" si="247"/>
        <v>1.2682417945625453</v>
      </c>
      <c r="T355" s="49"/>
      <c r="U355" s="49"/>
      <c r="V355" s="27"/>
      <c r="W355" s="27"/>
      <c r="X355" s="27"/>
      <c r="Y355" s="27"/>
      <c r="Z355" s="91"/>
      <c r="AA355" s="91"/>
      <c r="AB355" s="91"/>
      <c r="AC355" s="91"/>
      <c r="AD355" s="91"/>
      <c r="AE355" s="91"/>
      <c r="AF355" s="91"/>
      <c r="AG355" s="91"/>
      <c r="AH355" s="91"/>
      <c r="AI355" s="91"/>
      <c r="AJ355" s="91"/>
      <c r="AK355" s="27"/>
      <c r="AL355" s="27"/>
      <c r="AM355" s="27"/>
      <c r="AN355" s="27"/>
      <c r="AO355" s="27"/>
      <c r="AP355" s="27"/>
      <c r="AQ355" s="27"/>
      <c r="AR355" s="27"/>
      <c r="AS355" s="27"/>
      <c r="AT355" s="27"/>
      <c r="AU355" s="27"/>
      <c r="AV355" s="27"/>
      <c r="AW355" s="27"/>
      <c r="AX355" s="27"/>
      <c r="AY355" s="27"/>
      <c r="AZ355" s="27"/>
      <c r="BA355" s="27"/>
      <c r="BB355" s="27"/>
      <c r="BC355" s="27"/>
      <c r="BD355" s="27"/>
      <c r="BE355" s="27"/>
      <c r="BF355" s="27"/>
      <c r="BG355" s="27"/>
      <c r="BH355" s="27"/>
      <c r="BI355" s="27"/>
      <c r="BJ355" s="27"/>
      <c r="BK355" s="27"/>
      <c r="BL355" s="27"/>
      <c r="BM355" s="27"/>
      <c r="BN355" s="27"/>
      <c r="BO355" s="27"/>
      <c r="BP355" s="27"/>
      <c r="BQ355" s="27"/>
      <c r="BR355" s="27"/>
      <c r="BS355" s="27"/>
      <c r="BT355" s="27"/>
      <c r="BU355" s="27"/>
      <c r="BV355" s="27"/>
      <c r="BW355" s="27"/>
      <c r="BX355" s="27"/>
      <c r="BY355" s="27"/>
      <c r="BZ355" s="27"/>
      <c r="CA355" s="27"/>
      <c r="CB355" s="27"/>
    </row>
    <row r="356" spans="2:80" ht="15" customHeight="1">
      <c r="C356" s="105">
        <f t="shared" ref="C356:C368" si="248">SUM(G356:S356)</f>
        <v>4097.8540062245784</v>
      </c>
      <c r="D356" s="84" t="s">
        <v>207</v>
      </c>
      <c r="E356" s="40" t="s">
        <v>12</v>
      </c>
      <c r="F356" s="115"/>
      <c r="G356" s="11">
        <f t="shared" ref="G356:S356" si="249">G338/G$355</f>
        <v>0</v>
      </c>
      <c r="H356" s="11">
        <f t="shared" si="249"/>
        <v>0</v>
      </c>
      <c r="I356" s="11">
        <f t="shared" si="249"/>
        <v>147.16800000000001</v>
      </c>
      <c r="J356" s="11">
        <f t="shared" si="249"/>
        <v>367.92000000000007</v>
      </c>
      <c r="K356" s="11">
        <f t="shared" si="249"/>
        <v>1051.3049674466436</v>
      </c>
      <c r="L356" s="11">
        <f t="shared" si="249"/>
        <v>684.93257317853522</v>
      </c>
      <c r="M356" s="11">
        <f t="shared" si="249"/>
        <v>622.15348949057989</v>
      </c>
      <c r="N356" s="11">
        <f t="shared" si="249"/>
        <v>432.7691240889676</v>
      </c>
      <c r="O356" s="11">
        <f t="shared" si="249"/>
        <v>346.40874524605243</v>
      </c>
      <c r="P356" s="11">
        <f t="shared" si="249"/>
        <v>277.49343615602805</v>
      </c>
      <c r="Q356" s="11">
        <f t="shared" si="249"/>
        <v>167.70367061777179</v>
      </c>
      <c r="R356" s="11">
        <f t="shared" si="249"/>
        <v>-6.1718032087352476E-14</v>
      </c>
      <c r="S356" s="11">
        <f t="shared" si="249"/>
        <v>0</v>
      </c>
      <c r="T356" s="115"/>
      <c r="U356" s="115"/>
      <c r="Z356" s="38"/>
      <c r="AA356" s="38"/>
      <c r="AB356" s="38"/>
      <c r="AC356" s="38"/>
      <c r="AD356" s="38"/>
      <c r="AE356" s="38"/>
      <c r="AF356" s="38"/>
      <c r="AG356" s="38"/>
      <c r="AH356" s="38"/>
      <c r="AI356" s="38"/>
      <c r="AJ356" s="38"/>
    </row>
    <row r="357" spans="2:80" ht="15" customHeight="1">
      <c r="C357" s="105">
        <f t="shared" si="248"/>
        <v>1003.9941058950853</v>
      </c>
      <c r="D357" s="84" t="s">
        <v>162</v>
      </c>
      <c r="E357" s="40" t="s">
        <v>12</v>
      </c>
      <c r="F357" s="115"/>
      <c r="G357" s="11">
        <f t="shared" ref="G357:S358" si="250">G339/G$355</f>
        <v>0</v>
      </c>
      <c r="H357" s="11">
        <f t="shared" si="250"/>
        <v>0</v>
      </c>
      <c r="I357" s="11">
        <f t="shared" si="250"/>
        <v>22.075199999999988</v>
      </c>
      <c r="J357" s="11">
        <f t="shared" si="250"/>
        <v>51.508800000000001</v>
      </c>
      <c r="K357" s="11">
        <f t="shared" si="250"/>
        <v>137.92591367240973</v>
      </c>
      <c r="L357" s="11">
        <f t="shared" si="250"/>
        <v>193.70768490492745</v>
      </c>
      <c r="M357" s="11">
        <f t="shared" si="250"/>
        <v>127.9817442186842</v>
      </c>
      <c r="N357" s="11">
        <f t="shared" si="250"/>
        <v>141.52177863523715</v>
      </c>
      <c r="O357" s="11">
        <f t="shared" si="250"/>
        <v>119.52508135967685</v>
      </c>
      <c r="P357" s="11">
        <f t="shared" si="250"/>
        <v>97.96047468785352</v>
      </c>
      <c r="Q357" s="11">
        <f t="shared" si="250"/>
        <v>111.78742841629645</v>
      </c>
      <c r="R357" s="11">
        <f t="shared" si="250"/>
        <v>3.556772820854383E-14</v>
      </c>
      <c r="S357" s="11">
        <f t="shared" si="250"/>
        <v>0</v>
      </c>
      <c r="T357" s="115"/>
      <c r="U357" s="115"/>
      <c r="Z357" s="38"/>
      <c r="AA357" s="38"/>
      <c r="AB357" s="38"/>
      <c r="AC357" s="38"/>
      <c r="AD357" s="38"/>
      <c r="AE357" s="38"/>
      <c r="AF357" s="38"/>
      <c r="AG357" s="38"/>
      <c r="AH357" s="38"/>
      <c r="AI357" s="38"/>
      <c r="AJ357" s="38"/>
    </row>
    <row r="358" spans="2:80" ht="15" customHeight="1">
      <c r="B358" s="92"/>
      <c r="C358" s="248">
        <f>SUM(G358:U358)</f>
        <v>55.879898544248398</v>
      </c>
      <c r="D358" s="213" t="s">
        <v>386</v>
      </c>
      <c r="E358" s="40" t="s">
        <v>12</v>
      </c>
      <c r="F358" s="150"/>
      <c r="G358" s="11">
        <f t="shared" si="250"/>
        <v>0</v>
      </c>
      <c r="H358" s="11">
        <f t="shared" si="250"/>
        <v>0</v>
      </c>
      <c r="I358" s="11">
        <f t="shared" si="250"/>
        <v>0</v>
      </c>
      <c r="J358" s="11">
        <f t="shared" si="250"/>
        <v>0</v>
      </c>
      <c r="K358" s="11">
        <f t="shared" si="250"/>
        <v>0</v>
      </c>
      <c r="L358" s="11">
        <f t="shared" si="250"/>
        <v>0</v>
      </c>
      <c r="M358" s="11">
        <f t="shared" si="250"/>
        <v>0</v>
      </c>
      <c r="N358" s="11">
        <f t="shared" si="250"/>
        <v>0</v>
      </c>
      <c r="O358" s="11">
        <f t="shared" si="250"/>
        <v>0</v>
      </c>
      <c r="P358" s="11">
        <f t="shared" si="250"/>
        <v>0</v>
      </c>
      <c r="Q358" s="11">
        <f t="shared" si="250"/>
        <v>55.879898544248398</v>
      </c>
      <c r="R358" s="11">
        <f t="shared" si="250"/>
        <v>0</v>
      </c>
      <c r="S358" s="11">
        <f t="shared" si="250"/>
        <v>0</v>
      </c>
      <c r="Z358" s="38"/>
      <c r="AA358" s="38"/>
      <c r="AB358" s="38"/>
      <c r="AC358" s="38"/>
      <c r="AD358" s="38"/>
      <c r="AE358" s="38"/>
      <c r="AF358" s="38"/>
      <c r="AG358" s="38"/>
      <c r="AH358" s="38"/>
      <c r="AI358" s="38"/>
      <c r="AJ358" s="38"/>
    </row>
    <row r="359" spans="2:80" ht="15" customHeight="1">
      <c r="B359" s="92"/>
      <c r="C359" s="105">
        <f t="shared" ref="C359" si="251">SUM(G359:S359)</f>
        <v>48.084307140667988</v>
      </c>
      <c r="D359" s="84" t="s">
        <v>208</v>
      </c>
      <c r="E359" s="40" t="s">
        <v>12</v>
      </c>
      <c r="F359" s="150"/>
      <c r="G359" s="11">
        <f t="shared" ref="G359:S359" si="252">G341/G$355</f>
        <v>0</v>
      </c>
      <c r="H359" s="11">
        <f t="shared" si="252"/>
        <v>-314.99999999999994</v>
      </c>
      <c r="I359" s="11">
        <f t="shared" si="252"/>
        <v>75.52096424259274</v>
      </c>
      <c r="J359" s="11">
        <f t="shared" si="252"/>
        <v>74.040161022149746</v>
      </c>
      <c r="K359" s="11">
        <f t="shared" si="252"/>
        <v>72.588393158970348</v>
      </c>
      <c r="L359" s="11">
        <f t="shared" si="252"/>
        <v>71.165091332323868</v>
      </c>
      <c r="M359" s="11">
        <f t="shared" si="252"/>
        <v>69.769697384631229</v>
      </c>
      <c r="N359" s="11">
        <f t="shared" si="252"/>
        <v>0</v>
      </c>
      <c r="O359" s="11">
        <f t="shared" si="252"/>
        <v>0</v>
      </c>
      <c r="P359" s="11">
        <f t="shared" si="252"/>
        <v>0</v>
      </c>
      <c r="Q359" s="11">
        <f t="shared" si="252"/>
        <v>0</v>
      </c>
      <c r="R359" s="11">
        <f t="shared" si="252"/>
        <v>0</v>
      </c>
      <c r="S359" s="11">
        <f t="shared" si="252"/>
        <v>0</v>
      </c>
      <c r="Z359" s="38"/>
      <c r="AA359" s="38"/>
      <c r="AB359" s="38"/>
      <c r="AC359" s="38"/>
      <c r="AD359" s="38"/>
      <c r="AE359" s="38"/>
      <c r="AF359" s="38"/>
      <c r="AG359" s="38"/>
      <c r="AH359" s="38"/>
      <c r="AI359" s="38"/>
      <c r="AJ359" s="38"/>
    </row>
    <row r="360" spans="2:80" ht="15" customHeight="1">
      <c r="C360" s="105">
        <f t="shared" si="248"/>
        <v>250</v>
      </c>
      <c r="D360" s="84" t="s">
        <v>209</v>
      </c>
      <c r="E360" s="40" t="s">
        <v>12</v>
      </c>
      <c r="F360" s="115"/>
      <c r="G360" s="11">
        <f t="shared" ref="G360:S360" si="253">G342/G$355</f>
        <v>250</v>
      </c>
      <c r="H360" s="11">
        <f t="shared" si="253"/>
        <v>0</v>
      </c>
      <c r="I360" s="11">
        <f t="shared" si="253"/>
        <v>0</v>
      </c>
      <c r="J360" s="11">
        <f t="shared" si="253"/>
        <v>0</v>
      </c>
      <c r="K360" s="11">
        <f t="shared" si="253"/>
        <v>0</v>
      </c>
      <c r="L360" s="11">
        <f t="shared" si="253"/>
        <v>0</v>
      </c>
      <c r="M360" s="11">
        <f t="shared" si="253"/>
        <v>0</v>
      </c>
      <c r="N360" s="11">
        <f t="shared" si="253"/>
        <v>0</v>
      </c>
      <c r="O360" s="11">
        <f t="shared" si="253"/>
        <v>0</v>
      </c>
      <c r="P360" s="11">
        <f t="shared" si="253"/>
        <v>0</v>
      </c>
      <c r="Q360" s="11">
        <f t="shared" si="253"/>
        <v>0</v>
      </c>
      <c r="R360" s="11">
        <f t="shared" si="253"/>
        <v>0</v>
      </c>
      <c r="S360" s="11">
        <f t="shared" si="253"/>
        <v>0</v>
      </c>
      <c r="T360" s="115"/>
      <c r="U360" s="115"/>
      <c r="Z360" s="38"/>
      <c r="AA360" s="38"/>
      <c r="AB360" s="38"/>
      <c r="AC360" s="38"/>
      <c r="AD360" s="38"/>
      <c r="AE360" s="38"/>
      <c r="AF360" s="38"/>
      <c r="AG360" s="38"/>
      <c r="AH360" s="38"/>
      <c r="AI360" s="38"/>
      <c r="AJ360" s="38"/>
    </row>
    <row r="361" spans="2:80" ht="15" customHeight="1">
      <c r="C361" s="105">
        <f t="shared" si="248"/>
        <v>450</v>
      </c>
      <c r="D361" s="84" t="s">
        <v>210</v>
      </c>
      <c r="E361" s="40" t="s">
        <v>12</v>
      </c>
      <c r="F361" s="115"/>
      <c r="G361" s="11">
        <f t="shared" ref="G361:S361" si="254">G343/G$355</f>
        <v>0</v>
      </c>
      <c r="H361" s="11">
        <f t="shared" si="254"/>
        <v>450</v>
      </c>
      <c r="I361" s="11">
        <f t="shared" si="254"/>
        <v>0</v>
      </c>
      <c r="J361" s="11">
        <f t="shared" si="254"/>
        <v>0</v>
      </c>
      <c r="K361" s="11">
        <f t="shared" si="254"/>
        <v>0</v>
      </c>
      <c r="L361" s="11">
        <f t="shared" si="254"/>
        <v>0</v>
      </c>
      <c r="M361" s="11">
        <f t="shared" si="254"/>
        <v>0</v>
      </c>
      <c r="N361" s="11">
        <f t="shared" si="254"/>
        <v>0</v>
      </c>
      <c r="O361" s="11">
        <f t="shared" si="254"/>
        <v>0</v>
      </c>
      <c r="P361" s="11">
        <f t="shared" si="254"/>
        <v>0</v>
      </c>
      <c r="Q361" s="11">
        <f t="shared" si="254"/>
        <v>0</v>
      </c>
      <c r="R361" s="11">
        <f t="shared" si="254"/>
        <v>0</v>
      </c>
      <c r="S361" s="11">
        <f t="shared" si="254"/>
        <v>0</v>
      </c>
      <c r="T361" s="115"/>
      <c r="U361" s="115"/>
      <c r="Z361" s="38"/>
      <c r="AA361" s="38"/>
      <c r="AB361" s="38"/>
      <c r="AC361" s="38"/>
      <c r="AD361" s="38"/>
      <c r="AE361" s="38"/>
      <c r="AF361" s="38"/>
      <c r="AG361" s="38"/>
      <c r="AH361" s="38"/>
      <c r="AI361" s="38"/>
      <c r="AJ361" s="38"/>
    </row>
    <row r="362" spans="2:80" ht="15" customHeight="1">
      <c r="C362" s="105">
        <f t="shared" ref="C362" si="255">SUM(G362:S362)</f>
        <v>67.5</v>
      </c>
      <c r="D362" s="84" t="s">
        <v>346</v>
      </c>
      <c r="E362" s="40" t="s">
        <v>12</v>
      </c>
      <c r="F362" s="115"/>
      <c r="G362" s="11">
        <f t="shared" ref="G362:S362" si="256">G344/G$355</f>
        <v>0</v>
      </c>
      <c r="H362" s="11">
        <f t="shared" si="256"/>
        <v>0</v>
      </c>
      <c r="I362" s="11">
        <f t="shared" si="256"/>
        <v>13.5</v>
      </c>
      <c r="J362" s="11">
        <f t="shared" si="256"/>
        <v>13.5</v>
      </c>
      <c r="K362" s="11">
        <f t="shared" si="256"/>
        <v>13.5</v>
      </c>
      <c r="L362" s="11">
        <f t="shared" si="256"/>
        <v>13.500000000000002</v>
      </c>
      <c r="M362" s="11">
        <f t="shared" si="256"/>
        <v>13.500000000000002</v>
      </c>
      <c r="N362" s="11">
        <f t="shared" si="256"/>
        <v>0</v>
      </c>
      <c r="O362" s="11">
        <f t="shared" si="256"/>
        <v>0</v>
      </c>
      <c r="P362" s="11">
        <f t="shared" si="256"/>
        <v>0</v>
      </c>
      <c r="Q362" s="11">
        <f t="shared" si="256"/>
        <v>0</v>
      </c>
      <c r="R362" s="11">
        <f t="shared" si="256"/>
        <v>0</v>
      </c>
      <c r="S362" s="11">
        <f t="shared" si="256"/>
        <v>0</v>
      </c>
      <c r="T362" s="115"/>
      <c r="U362" s="115"/>
      <c r="Z362" s="38"/>
      <c r="AA362" s="38"/>
      <c r="AB362" s="38"/>
      <c r="AC362" s="38"/>
      <c r="AD362" s="38"/>
      <c r="AE362" s="38"/>
      <c r="AF362" s="38"/>
      <c r="AG362" s="38"/>
      <c r="AH362" s="38"/>
      <c r="AI362" s="38"/>
      <c r="AJ362" s="38"/>
    </row>
    <row r="363" spans="2:80" ht="15" customHeight="1">
      <c r="C363" s="105">
        <f t="shared" si="248"/>
        <v>3265.5212640000004</v>
      </c>
      <c r="D363" s="84" t="s">
        <v>211</v>
      </c>
      <c r="E363" s="40" t="s">
        <v>12</v>
      </c>
      <c r="F363" s="115"/>
      <c r="G363" s="11">
        <f t="shared" ref="G363:S363" si="257">G345/G$355</f>
        <v>0</v>
      </c>
      <c r="H363" s="11">
        <f t="shared" si="257"/>
        <v>0</v>
      </c>
      <c r="I363" s="11">
        <f t="shared" si="257"/>
        <v>98.55</v>
      </c>
      <c r="J363" s="11">
        <f t="shared" si="257"/>
        <v>246.37499999999997</v>
      </c>
      <c r="K363" s="11">
        <f t="shared" si="257"/>
        <v>739.125</v>
      </c>
      <c r="L363" s="11">
        <f t="shared" si="257"/>
        <v>591.29999999999995</v>
      </c>
      <c r="M363" s="11">
        <f t="shared" si="257"/>
        <v>473.04000000000008</v>
      </c>
      <c r="N363" s="11">
        <f t="shared" si="257"/>
        <v>378.43200000000007</v>
      </c>
      <c r="O363" s="11">
        <f t="shared" si="257"/>
        <v>302.74560000000002</v>
      </c>
      <c r="P363" s="11">
        <f t="shared" si="257"/>
        <v>242.19647999999998</v>
      </c>
      <c r="Q363" s="11">
        <f t="shared" si="257"/>
        <v>193.75718400000002</v>
      </c>
      <c r="R363" s="11">
        <f t="shared" si="257"/>
        <v>0</v>
      </c>
      <c r="S363" s="11">
        <f t="shared" si="257"/>
        <v>0</v>
      </c>
      <c r="T363" s="115"/>
      <c r="U363" s="115"/>
      <c r="Z363" s="38"/>
      <c r="AA363" s="38"/>
      <c r="AB363" s="38"/>
      <c r="AC363" s="38"/>
      <c r="AD363" s="38"/>
      <c r="AE363" s="38"/>
      <c r="AF363" s="38"/>
      <c r="AG363" s="38"/>
      <c r="AH363" s="38"/>
      <c r="AI363" s="38"/>
      <c r="AJ363" s="38"/>
    </row>
    <row r="364" spans="2:80" ht="15" customHeight="1">
      <c r="C364" s="105">
        <f t="shared" si="248"/>
        <v>192.29274801940306</v>
      </c>
      <c r="D364" s="84" t="s">
        <v>212</v>
      </c>
      <c r="E364" s="40" t="s">
        <v>12</v>
      </c>
      <c r="F364" s="115"/>
      <c r="G364" s="11">
        <f t="shared" ref="G364:S364" si="258">G346/G$355</f>
        <v>0</v>
      </c>
      <c r="H364" s="11">
        <f t="shared" si="258"/>
        <v>0</v>
      </c>
      <c r="I364" s="11">
        <f t="shared" si="258"/>
        <v>0</v>
      </c>
      <c r="J364" s="11">
        <f t="shared" si="258"/>
        <v>0</v>
      </c>
      <c r="K364" s="11">
        <f t="shared" si="258"/>
        <v>0</v>
      </c>
      <c r="L364" s="11">
        <f t="shared" si="258"/>
        <v>0</v>
      </c>
      <c r="M364" s="11">
        <f t="shared" si="258"/>
        <v>54.616849119466906</v>
      </c>
      <c r="N364" s="11">
        <f t="shared" si="258"/>
        <v>44.056256602546981</v>
      </c>
      <c r="O364" s="11">
        <f t="shared" si="258"/>
        <v>36.02933658316126</v>
      </c>
      <c r="P364" s="11">
        <f t="shared" si="258"/>
        <v>30.258303202479436</v>
      </c>
      <c r="Q364" s="11">
        <f t="shared" si="258"/>
        <v>27.33200251174857</v>
      </c>
      <c r="R364" s="11">
        <f t="shared" si="258"/>
        <v>-6.1718032087352476E-14</v>
      </c>
      <c r="S364" s="11">
        <f t="shared" si="258"/>
        <v>0</v>
      </c>
      <c r="T364" s="115"/>
      <c r="U364" s="115"/>
      <c r="Z364" s="38"/>
      <c r="AA364" s="38"/>
      <c r="AB364" s="38"/>
      <c r="AC364" s="38"/>
      <c r="AD364" s="38"/>
      <c r="AE364" s="38"/>
      <c r="AF364" s="38"/>
      <c r="AG364" s="38"/>
      <c r="AH364" s="38"/>
      <c r="AI364" s="38"/>
      <c r="AJ364" s="38"/>
    </row>
    <row r="365" spans="2:80" ht="15" customHeight="1">
      <c r="C365" s="105">
        <f t="shared" si="248"/>
        <v>43.252595155709344</v>
      </c>
      <c r="D365" s="84" t="s">
        <v>213</v>
      </c>
      <c r="E365" s="40" t="s">
        <v>12</v>
      </c>
      <c r="F365" s="115"/>
      <c r="G365" s="11">
        <f t="shared" ref="G365:S365" si="259">G347/G$355</f>
        <v>0</v>
      </c>
      <c r="H365" s="11">
        <f t="shared" si="259"/>
        <v>0</v>
      </c>
      <c r="I365" s="11">
        <f t="shared" si="259"/>
        <v>43.252595155709344</v>
      </c>
      <c r="J365" s="11">
        <f t="shared" si="259"/>
        <v>0</v>
      </c>
      <c r="K365" s="11">
        <f t="shared" si="259"/>
        <v>0</v>
      </c>
      <c r="L365" s="11">
        <f t="shared" si="259"/>
        <v>0</v>
      </c>
      <c r="M365" s="11">
        <f t="shared" si="259"/>
        <v>0</v>
      </c>
      <c r="N365" s="11">
        <f t="shared" si="259"/>
        <v>0</v>
      </c>
      <c r="O365" s="11">
        <f t="shared" si="259"/>
        <v>0</v>
      </c>
      <c r="P365" s="11">
        <f t="shared" si="259"/>
        <v>0</v>
      </c>
      <c r="Q365" s="11">
        <f t="shared" si="259"/>
        <v>0</v>
      </c>
      <c r="R365" s="11">
        <f t="shared" si="259"/>
        <v>0</v>
      </c>
      <c r="S365" s="11">
        <f t="shared" si="259"/>
        <v>0</v>
      </c>
      <c r="T365" s="115"/>
      <c r="U365" s="115"/>
      <c r="Z365" s="38"/>
      <c r="AA365" s="38"/>
      <c r="AB365" s="38"/>
      <c r="AC365" s="38"/>
      <c r="AD365" s="38"/>
      <c r="AE365" s="38"/>
      <c r="AF365" s="38"/>
      <c r="AG365" s="38"/>
      <c r="AH365" s="38"/>
      <c r="AI365" s="38"/>
      <c r="AJ365" s="38"/>
    </row>
    <row r="366" spans="2:80" ht="15" customHeight="1">
      <c r="B366" s="92"/>
      <c r="C366" s="105">
        <f t="shared" ref="C366:C367" si="260">SUM(G366:S366)</f>
        <v>186.42332297420936</v>
      </c>
      <c r="D366" s="84" t="s">
        <v>214</v>
      </c>
      <c r="E366" s="40" t="s">
        <v>12</v>
      </c>
      <c r="F366" s="150"/>
      <c r="G366" s="11">
        <f t="shared" ref="G366:S366" si="261">G348/G$355</f>
        <v>0</v>
      </c>
      <c r="H366" s="11">
        <f t="shared" si="261"/>
        <v>0</v>
      </c>
      <c r="I366" s="11">
        <f t="shared" si="261"/>
        <v>0</v>
      </c>
      <c r="J366" s="11">
        <f t="shared" si="261"/>
        <v>0</v>
      </c>
      <c r="K366" s="11">
        <f t="shared" si="261"/>
        <v>53.93136167944634</v>
      </c>
      <c r="L366" s="11">
        <f t="shared" si="261"/>
        <v>46.280241175699324</v>
      </c>
      <c r="M366" s="11">
        <f t="shared" si="261"/>
        <v>34.120961804413241</v>
      </c>
      <c r="N366" s="11">
        <f t="shared" si="261"/>
        <v>21.096152717359683</v>
      </c>
      <c r="O366" s="11">
        <f t="shared" si="261"/>
        <v>16.34905593885491</v>
      </c>
      <c r="P366" s="11">
        <f t="shared" si="261"/>
        <v>11.695196052144475</v>
      </c>
      <c r="Q366" s="11">
        <f t="shared" si="261"/>
        <v>2.9503536062914102</v>
      </c>
      <c r="R366" s="11">
        <f t="shared" si="261"/>
        <v>7.1135456417087656E-15</v>
      </c>
      <c r="S366" s="11">
        <f t="shared" si="261"/>
        <v>0</v>
      </c>
      <c r="Z366" s="38"/>
      <c r="AA366" s="38"/>
      <c r="AB366" s="38"/>
      <c r="AC366" s="38"/>
      <c r="AD366" s="38"/>
      <c r="AE366" s="38"/>
      <c r="AF366" s="38"/>
      <c r="AG366" s="38"/>
      <c r="AH366" s="38"/>
      <c r="AI366" s="38"/>
      <c r="AJ366" s="38"/>
    </row>
    <row r="367" spans="2:80" ht="15" customHeight="1">
      <c r="B367" s="92"/>
      <c r="C367" s="105">
        <f t="shared" si="260"/>
        <v>34.132651541263868</v>
      </c>
      <c r="D367" s="84" t="s">
        <v>215</v>
      </c>
      <c r="E367" s="40" t="s">
        <v>12</v>
      </c>
      <c r="F367" s="150"/>
      <c r="G367" s="11">
        <f t="shared" ref="G367:S367" si="262">G349/G$355</f>
        <v>0</v>
      </c>
      <c r="H367" s="11">
        <f t="shared" si="262"/>
        <v>0</v>
      </c>
      <c r="I367" s="11">
        <f t="shared" si="262"/>
        <v>0</v>
      </c>
      <c r="J367" s="11">
        <f t="shared" si="262"/>
        <v>0</v>
      </c>
      <c r="K367" s="11">
        <f t="shared" si="262"/>
        <v>0</v>
      </c>
      <c r="L367" s="11">
        <f t="shared" si="262"/>
        <v>6.6706794443489583</v>
      </c>
      <c r="M367" s="11">
        <f t="shared" si="262"/>
        <v>5.254386270037636</v>
      </c>
      <c r="N367" s="11">
        <f t="shared" si="262"/>
        <v>6.5353246702149024</v>
      </c>
      <c r="O367" s="11">
        <f t="shared" si="262"/>
        <v>5.5404917041856541</v>
      </c>
      <c r="P367" s="11">
        <f t="shared" si="262"/>
        <v>4.565196579462885</v>
      </c>
      <c r="Q367" s="11">
        <f t="shared" si="262"/>
        <v>5.5665728730138317</v>
      </c>
      <c r="R367" s="11">
        <f t="shared" si="262"/>
        <v>1.4227091283417532E-15</v>
      </c>
      <c r="S367" s="11">
        <f t="shared" si="262"/>
        <v>0</v>
      </c>
      <c r="Z367" s="38"/>
      <c r="AA367" s="38"/>
      <c r="AB367" s="38"/>
      <c r="AC367" s="38"/>
      <c r="AD367" s="38"/>
      <c r="AE367" s="38"/>
      <c r="AF367" s="38"/>
      <c r="AG367" s="38"/>
      <c r="AH367" s="38"/>
      <c r="AI367" s="38"/>
      <c r="AJ367" s="38"/>
    </row>
    <row r="368" spans="2:80" ht="15" customHeight="1">
      <c r="C368" s="105">
        <f t="shared" si="248"/>
        <v>620.52112183265842</v>
      </c>
      <c r="D368" s="84" t="s">
        <v>216</v>
      </c>
      <c r="E368" s="40" t="s">
        <v>12</v>
      </c>
      <c r="F368" s="115"/>
      <c r="G368" s="11">
        <f>G356+G357+G358-SUM(G359:G367)</f>
        <v>-250</v>
      </c>
      <c r="H368" s="11">
        <f t="shared" ref="H368:S368" si="263">H356+H357+H358-SUM(H359:H367)</f>
        <v>-135.00000000000006</v>
      </c>
      <c r="I368" s="11">
        <f t="shared" si="263"/>
        <v>-61.580359398302079</v>
      </c>
      <c r="J368" s="11">
        <f t="shared" si="263"/>
        <v>85.513638977850349</v>
      </c>
      <c r="K368" s="11">
        <f t="shared" si="263"/>
        <v>310.08612628063656</v>
      </c>
      <c r="L368" s="11">
        <f t="shared" si="263"/>
        <v>149.72424613109058</v>
      </c>
      <c r="M368" s="11">
        <f t="shared" si="263"/>
        <v>99.833339130714876</v>
      </c>
      <c r="N368" s="11">
        <f t="shared" si="263"/>
        <v>124.17116873408315</v>
      </c>
      <c r="O368" s="11">
        <f t="shared" si="263"/>
        <v>105.26934237952747</v>
      </c>
      <c r="P368" s="11">
        <f t="shared" si="263"/>
        <v>86.738735009794766</v>
      </c>
      <c r="Q368" s="11">
        <f t="shared" si="263"/>
        <v>105.76488458726286</v>
      </c>
      <c r="R368" s="11">
        <f t="shared" si="263"/>
        <v>2.7031473438493306E-14</v>
      </c>
      <c r="S368" s="11">
        <f t="shared" si="263"/>
        <v>0</v>
      </c>
      <c r="T368" s="115"/>
      <c r="U368" s="115"/>
      <c r="Z368" s="38"/>
      <c r="AA368" s="38"/>
      <c r="AB368" s="38"/>
      <c r="AC368" s="38"/>
      <c r="AD368" s="38"/>
      <c r="AE368" s="38"/>
      <c r="AF368" s="38"/>
      <c r="AG368" s="38"/>
      <c r="AH368" s="38"/>
      <c r="AI368" s="38"/>
      <c r="AJ368" s="38"/>
    </row>
    <row r="369" spans="1:80" ht="15" customHeight="1">
      <c r="C369" s="111">
        <f>IFERROR(IRR(G368:S368),0)</f>
        <v>0.1875040318410357</v>
      </c>
      <c r="D369" s="84" t="s">
        <v>217</v>
      </c>
      <c r="E369" s="160"/>
      <c r="F369" s="115"/>
      <c r="G369" s="115"/>
      <c r="H369" s="115"/>
      <c r="I369" s="115"/>
      <c r="J369" s="115"/>
      <c r="K369" s="115"/>
      <c r="L369" s="115"/>
      <c r="M369" s="115"/>
      <c r="N369" s="115"/>
      <c r="O369" s="115"/>
      <c r="P369" s="115"/>
      <c r="Q369" s="115"/>
      <c r="R369" s="115"/>
      <c r="S369" s="115"/>
      <c r="T369" s="115"/>
      <c r="U369" s="115"/>
      <c r="Z369" s="38"/>
      <c r="AA369" s="38"/>
      <c r="AB369" s="38"/>
      <c r="AC369" s="38"/>
      <c r="AD369" s="38"/>
      <c r="AE369" s="38"/>
      <c r="AF369" s="38"/>
      <c r="AG369" s="38"/>
      <c r="AH369" s="38"/>
      <c r="AI369" s="38"/>
      <c r="AJ369" s="38"/>
    </row>
    <row r="370" spans="1:80" ht="15" customHeight="1">
      <c r="C370" s="105">
        <f t="shared" ref="C370" si="264">SUM(G370:S370)</f>
        <v>13.658608910447896</v>
      </c>
      <c r="D370" s="27" t="s">
        <v>218</v>
      </c>
      <c r="E370" s="40" t="s">
        <v>12</v>
      </c>
      <c r="F370" s="129"/>
      <c r="G370" s="11">
        <f>G352/G$355</f>
        <v>0</v>
      </c>
      <c r="H370" s="11">
        <f t="shared" ref="H370:S370" si="265">H352/H$355</f>
        <v>0</v>
      </c>
      <c r="I370" s="11">
        <f t="shared" si="265"/>
        <v>0</v>
      </c>
      <c r="J370" s="11">
        <f t="shared" si="265"/>
        <v>0</v>
      </c>
      <c r="K370" s="11">
        <f t="shared" si="265"/>
        <v>0</v>
      </c>
      <c r="L370" s="11">
        <f t="shared" si="265"/>
        <v>0</v>
      </c>
      <c r="M370" s="11">
        <f t="shared" si="265"/>
        <v>60.685387910518791</v>
      </c>
      <c r="N370" s="11">
        <f t="shared" si="265"/>
        <v>48.9513962250522</v>
      </c>
      <c r="O370" s="11">
        <f t="shared" si="265"/>
        <v>40.032596203512512</v>
      </c>
      <c r="P370" s="11">
        <f t="shared" si="265"/>
        <v>33.620336891643817</v>
      </c>
      <c r="Q370" s="11">
        <f t="shared" si="265"/>
        <v>30.36889167972063</v>
      </c>
      <c r="R370" s="11">
        <f t="shared" si="265"/>
        <v>-200.00000000000006</v>
      </c>
      <c r="S370" s="11">
        <f t="shared" si="265"/>
        <v>0</v>
      </c>
      <c r="T370" s="161"/>
      <c r="U370" s="161"/>
      <c r="Y370" s="38"/>
      <c r="Z370" s="38"/>
      <c r="AA370" s="38"/>
      <c r="AB370" s="38"/>
      <c r="AC370" s="38"/>
      <c r="AD370" s="38"/>
      <c r="AE370" s="38"/>
      <c r="AF370" s="38"/>
      <c r="AG370" s="38"/>
      <c r="AH370" s="38"/>
      <c r="AI370" s="38"/>
    </row>
    <row r="371" spans="1:80" ht="15" customHeight="1">
      <c r="C371" s="105"/>
      <c r="D371" s="27"/>
      <c r="E371" s="40"/>
      <c r="F371" s="129"/>
      <c r="G371" s="11"/>
      <c r="H371" s="11"/>
      <c r="I371" s="11"/>
      <c r="J371" s="11"/>
      <c r="K371" s="11"/>
      <c r="L371" s="11"/>
      <c r="M371" s="11"/>
      <c r="N371" s="11"/>
      <c r="O371" s="11"/>
      <c r="P371" s="11"/>
      <c r="Q371" s="11"/>
      <c r="R371" s="11"/>
      <c r="S371" s="11"/>
      <c r="T371" s="161"/>
      <c r="U371" s="161"/>
      <c r="Y371" s="38"/>
      <c r="Z371" s="38"/>
      <c r="AA371" s="38"/>
      <c r="AB371" s="38"/>
      <c r="AC371" s="38"/>
      <c r="AD371" s="38"/>
      <c r="AE371" s="38"/>
      <c r="AF371" s="38"/>
      <c r="AG371" s="38"/>
      <c r="AH371" s="38"/>
      <c r="AI371" s="38"/>
    </row>
    <row r="372" spans="1:80" s="202" customFormat="1" ht="15" customHeight="1">
      <c r="A372" s="201"/>
      <c r="C372" s="248"/>
      <c r="D372" s="231" t="s">
        <v>347</v>
      </c>
      <c r="E372" s="237"/>
      <c r="F372" s="213"/>
      <c r="G372" s="248"/>
      <c r="H372" s="248"/>
      <c r="I372" s="248"/>
      <c r="J372" s="248"/>
      <c r="K372" s="248"/>
      <c r="L372" s="248"/>
      <c r="M372" s="248"/>
      <c r="N372" s="248"/>
      <c r="O372" s="248"/>
      <c r="P372" s="248"/>
      <c r="Q372" s="248"/>
      <c r="R372" s="248"/>
      <c r="S372" s="248"/>
      <c r="T372" s="248"/>
      <c r="U372" s="248"/>
    </row>
    <row r="373" spans="1:80" s="202" customFormat="1" ht="15" customHeight="1">
      <c r="A373" s="201"/>
      <c r="C373" s="248">
        <f t="shared" ref="C373:C375" si="266">SUM(G373:U373)</f>
        <v>620.52112183265842</v>
      </c>
      <c r="D373" s="213" t="s">
        <v>232</v>
      </c>
      <c r="E373" s="237" t="s">
        <v>12</v>
      </c>
      <c r="F373" s="213"/>
      <c r="G373" s="248">
        <f>G368</f>
        <v>-250</v>
      </c>
      <c r="H373" s="248">
        <f t="shared" ref="H373:S373" si="267">H368</f>
        <v>-135.00000000000006</v>
      </c>
      <c r="I373" s="248">
        <f t="shared" si="267"/>
        <v>-61.580359398302079</v>
      </c>
      <c r="J373" s="248">
        <f t="shared" si="267"/>
        <v>85.513638977850349</v>
      </c>
      <c r="K373" s="248">
        <f t="shared" si="267"/>
        <v>310.08612628063656</v>
      </c>
      <c r="L373" s="248">
        <f t="shared" si="267"/>
        <v>149.72424613109058</v>
      </c>
      <c r="M373" s="248">
        <f t="shared" si="267"/>
        <v>99.833339130714876</v>
      </c>
      <c r="N373" s="248">
        <f t="shared" si="267"/>
        <v>124.17116873408315</v>
      </c>
      <c r="O373" s="248">
        <f t="shared" si="267"/>
        <v>105.26934237952747</v>
      </c>
      <c r="P373" s="248">
        <f t="shared" si="267"/>
        <v>86.738735009794766</v>
      </c>
      <c r="Q373" s="248">
        <f t="shared" si="267"/>
        <v>105.76488458726286</v>
      </c>
      <c r="R373" s="248">
        <f t="shared" si="267"/>
        <v>2.7031473438493306E-14</v>
      </c>
      <c r="S373" s="248">
        <f t="shared" si="267"/>
        <v>0</v>
      </c>
      <c r="T373" s="248"/>
      <c r="U373" s="248"/>
    </row>
    <row r="374" spans="1:80" s="202" customFormat="1" ht="15" customHeight="1">
      <c r="A374" s="201"/>
      <c r="C374" s="248">
        <f t="shared" si="266"/>
        <v>1930.7782339897417</v>
      </c>
      <c r="D374" s="213" t="s">
        <v>348</v>
      </c>
      <c r="E374" s="237" t="s">
        <v>12</v>
      </c>
      <c r="F374" s="213"/>
      <c r="G374" s="248">
        <f>G373+F374</f>
        <v>-250</v>
      </c>
      <c r="H374" s="248">
        <f t="shared" ref="H374:S374" si="268">H373+G374</f>
        <v>-385.00000000000006</v>
      </c>
      <c r="I374" s="248">
        <f t="shared" si="268"/>
        <v>-446.58035939830211</v>
      </c>
      <c r="J374" s="248">
        <f t="shared" si="268"/>
        <v>-361.06672042045176</v>
      </c>
      <c r="K374" s="248">
        <f t="shared" si="268"/>
        <v>-50.980594139815196</v>
      </c>
      <c r="L374" s="248">
        <f t="shared" si="268"/>
        <v>98.743651991275385</v>
      </c>
      <c r="M374" s="248">
        <f t="shared" si="268"/>
        <v>198.57699112199026</v>
      </c>
      <c r="N374" s="248">
        <f t="shared" si="268"/>
        <v>322.74815985607341</v>
      </c>
      <c r="O374" s="248">
        <f t="shared" si="268"/>
        <v>428.01750223560089</v>
      </c>
      <c r="P374" s="248">
        <f t="shared" si="268"/>
        <v>514.7562372453956</v>
      </c>
      <c r="Q374" s="248">
        <f t="shared" si="268"/>
        <v>620.52112183265842</v>
      </c>
      <c r="R374" s="248">
        <f t="shared" si="268"/>
        <v>620.52112183265842</v>
      </c>
      <c r="S374" s="248">
        <f t="shared" si="268"/>
        <v>620.52112183265842</v>
      </c>
      <c r="T374" s="248"/>
      <c r="U374" s="248"/>
    </row>
    <row r="375" spans="1:80" s="202" customFormat="1" ht="15" customHeight="1">
      <c r="A375" s="201"/>
      <c r="C375" s="263">
        <f t="shared" si="266"/>
        <v>5.3404965825987816</v>
      </c>
      <c r="D375" s="213" t="s">
        <v>349</v>
      </c>
      <c r="E375" s="237" t="s">
        <v>0</v>
      </c>
      <c r="F375" s="213"/>
      <c r="G375" s="264">
        <f>IF(AND(G374&lt;=0,H374&gt;0),G$88+(-G374/H373),0)</f>
        <v>0</v>
      </c>
      <c r="H375" s="264">
        <f t="shared" ref="H375:S375" si="269">IF(AND(H374&lt;=0,I374&gt;0),H$88+(-H374/I373),0)</f>
        <v>0</v>
      </c>
      <c r="I375" s="264">
        <f t="shared" si="269"/>
        <v>0</v>
      </c>
      <c r="J375" s="264">
        <f t="shared" si="269"/>
        <v>0</v>
      </c>
      <c r="K375" s="264">
        <f t="shared" si="269"/>
        <v>5.3404965825987816</v>
      </c>
      <c r="L375" s="264">
        <f t="shared" si="269"/>
        <v>0</v>
      </c>
      <c r="M375" s="264">
        <f t="shared" si="269"/>
        <v>0</v>
      </c>
      <c r="N375" s="264">
        <f t="shared" si="269"/>
        <v>0</v>
      </c>
      <c r="O375" s="264">
        <f t="shared" si="269"/>
        <v>0</v>
      </c>
      <c r="P375" s="264">
        <f t="shared" si="269"/>
        <v>0</v>
      </c>
      <c r="Q375" s="264">
        <f t="shared" si="269"/>
        <v>0</v>
      </c>
      <c r="R375" s="264">
        <f t="shared" si="269"/>
        <v>0</v>
      </c>
      <c r="S375" s="264">
        <f t="shared" si="269"/>
        <v>0</v>
      </c>
      <c r="T375" s="248"/>
      <c r="U375" s="248"/>
    </row>
    <row r="376" spans="1:80" s="202" customFormat="1" ht="15" customHeight="1">
      <c r="A376" s="201"/>
      <c r="C376" s="248"/>
      <c r="D376" s="213"/>
      <c r="E376" s="237"/>
      <c r="F376" s="213"/>
      <c r="G376" s="248"/>
      <c r="H376" s="248"/>
      <c r="I376" s="248"/>
      <c r="J376" s="248"/>
      <c r="K376" s="248"/>
      <c r="L376" s="248"/>
      <c r="M376" s="248"/>
      <c r="N376" s="248"/>
      <c r="O376" s="248"/>
      <c r="P376" s="248"/>
      <c r="Q376" s="248"/>
      <c r="R376" s="248"/>
      <c r="S376" s="248"/>
      <c r="T376" s="248"/>
      <c r="U376" s="248"/>
    </row>
    <row r="377" spans="1:80" s="202" customFormat="1" ht="15" customHeight="1">
      <c r="A377" s="201"/>
      <c r="C377" s="248"/>
      <c r="D377" s="213" t="s">
        <v>350</v>
      </c>
      <c r="E377" s="237"/>
      <c r="F377" s="213"/>
      <c r="G377" s="263">
        <f>(1+$F$52)^(G335-1)</f>
        <v>1</v>
      </c>
      <c r="H377" s="263">
        <f t="shared" ref="H377:S377" si="270">(1+$F$52)^(H335-1)</f>
        <v>1.125</v>
      </c>
      <c r="I377" s="263">
        <f t="shared" si="270"/>
        <v>1.265625</v>
      </c>
      <c r="J377" s="263">
        <f t="shared" si="270"/>
        <v>1.423828125</v>
      </c>
      <c r="K377" s="263">
        <f t="shared" si="270"/>
        <v>1.601806640625</v>
      </c>
      <c r="L377" s="263">
        <f t="shared" si="270"/>
        <v>1.802032470703125</v>
      </c>
      <c r="M377" s="263">
        <f t="shared" si="270"/>
        <v>2.0272865295410156</v>
      </c>
      <c r="N377" s="263">
        <f t="shared" si="270"/>
        <v>2.2806973457336426</v>
      </c>
      <c r="O377" s="263">
        <f t="shared" si="270"/>
        <v>2.5657845139503479</v>
      </c>
      <c r="P377" s="263">
        <f t="shared" si="270"/>
        <v>2.8865075781941414</v>
      </c>
      <c r="Q377" s="263">
        <f t="shared" si="270"/>
        <v>3.2473210254684091</v>
      </c>
      <c r="R377" s="263">
        <f t="shared" si="270"/>
        <v>3.6532361536519602</v>
      </c>
      <c r="S377" s="263">
        <f t="shared" si="270"/>
        <v>4.1098906728584552</v>
      </c>
      <c r="T377" s="263"/>
      <c r="U377" s="248"/>
    </row>
    <row r="378" spans="1:80" s="202" customFormat="1" ht="15" customHeight="1">
      <c r="A378" s="201"/>
      <c r="C378" s="248">
        <f t="shared" ref="C378:C380" si="271">SUM(G378:U378)</f>
        <v>125.41136991301313</v>
      </c>
      <c r="D378" s="213" t="str">
        <f>"Contractor post-tax cash flow NPV"&amp;$F$52*100</f>
        <v>Contractor post-tax cash flow NPV12.5</v>
      </c>
      <c r="E378" s="237" t="s">
        <v>12</v>
      </c>
      <c r="F378" s="213"/>
      <c r="G378" s="248">
        <f>G373/G377</f>
        <v>-250</v>
      </c>
      <c r="H378" s="248">
        <f t="shared" ref="H378:S378" si="272">H373/H377</f>
        <v>-120.00000000000006</v>
      </c>
      <c r="I378" s="248">
        <f t="shared" si="272"/>
        <v>-48.656086438164607</v>
      </c>
      <c r="J378" s="248">
        <f t="shared" si="272"/>
        <v>60.058961806117118</v>
      </c>
      <c r="K378" s="248">
        <f t="shared" si="272"/>
        <v>193.58524207369112</v>
      </c>
      <c r="L378" s="248">
        <f t="shared" si="272"/>
        <v>83.086319789049369</v>
      </c>
      <c r="M378" s="248">
        <f t="shared" si="272"/>
        <v>49.24480958955391</v>
      </c>
      <c r="N378" s="248">
        <f t="shared" si="272"/>
        <v>54.444386918046085</v>
      </c>
      <c r="O378" s="248">
        <f t="shared" si="272"/>
        <v>41.028130697325039</v>
      </c>
      <c r="P378" s="248">
        <f t="shared" si="272"/>
        <v>30.04971671131392</v>
      </c>
      <c r="Q378" s="248">
        <f t="shared" si="272"/>
        <v>32.569888766081213</v>
      </c>
      <c r="R378" s="248">
        <f t="shared" si="272"/>
        <v>7.399322765234126E-15</v>
      </c>
      <c r="S378" s="248">
        <f t="shared" si="272"/>
        <v>0</v>
      </c>
      <c r="T378" s="248"/>
      <c r="U378" s="248"/>
    </row>
    <row r="379" spans="1:80" s="202" customFormat="1" ht="15" customHeight="1">
      <c r="A379" s="201"/>
      <c r="C379" s="248">
        <f t="shared" si="271"/>
        <v>-1123.2404205177463</v>
      </c>
      <c r="D379" s="213" t="str">
        <f>"Cumulative contractor post-tax cash flow NPV"&amp;$F$52*100</f>
        <v>Cumulative contractor post-tax cash flow NPV12.5</v>
      </c>
      <c r="E379" s="237" t="s">
        <v>12</v>
      </c>
      <c r="F379" s="213"/>
      <c r="G379" s="248">
        <f>G378+F379</f>
        <v>-250</v>
      </c>
      <c r="H379" s="248">
        <f t="shared" ref="H379:S379" si="273">H378+G379</f>
        <v>-370.00000000000006</v>
      </c>
      <c r="I379" s="248">
        <f t="shared" si="273"/>
        <v>-418.65608643816466</v>
      </c>
      <c r="J379" s="248">
        <f t="shared" si="273"/>
        <v>-358.59712463204755</v>
      </c>
      <c r="K379" s="248">
        <f t="shared" si="273"/>
        <v>-165.01188255835643</v>
      </c>
      <c r="L379" s="248">
        <f t="shared" si="273"/>
        <v>-81.925562769307064</v>
      </c>
      <c r="M379" s="248">
        <f t="shared" si="273"/>
        <v>-32.680753179753154</v>
      </c>
      <c r="N379" s="248">
        <f t="shared" si="273"/>
        <v>21.763633738292931</v>
      </c>
      <c r="O379" s="248">
        <f t="shared" si="273"/>
        <v>62.791764435617971</v>
      </c>
      <c r="P379" s="248">
        <f t="shared" si="273"/>
        <v>92.841481146931898</v>
      </c>
      <c r="Q379" s="248">
        <f t="shared" si="273"/>
        <v>125.41136991301312</v>
      </c>
      <c r="R379" s="248">
        <f t="shared" si="273"/>
        <v>125.41136991301313</v>
      </c>
      <c r="S379" s="248">
        <f t="shared" si="273"/>
        <v>125.41136991301313</v>
      </c>
      <c r="T379" s="248"/>
      <c r="U379" s="248"/>
    </row>
    <row r="380" spans="1:80" s="202" customFormat="1" ht="15" customHeight="1">
      <c r="A380" s="201"/>
      <c r="C380" s="263">
        <f t="shared" si="271"/>
        <v>7.6002593661114553</v>
      </c>
      <c r="D380" s="213" t="str">
        <f>"Payback period NPV"&amp;$F$52*100</f>
        <v>Payback period NPV12.5</v>
      </c>
      <c r="E380" s="237" t="s">
        <v>0</v>
      </c>
      <c r="F380" s="213"/>
      <c r="G380" s="264">
        <f>IF(AND(G379&lt;=0,H379&gt;0),G$88+(-G379/H378),0)</f>
        <v>0</v>
      </c>
      <c r="H380" s="264">
        <f t="shared" ref="H380" si="274">IF(AND(H379&lt;=0,I379&gt;0),H$88+(-H379/I378),0)</f>
        <v>0</v>
      </c>
      <c r="I380" s="264">
        <f t="shared" ref="I380" si="275">IF(AND(I379&lt;=0,J379&gt;0),I$88+(-I379/J378),0)</f>
        <v>0</v>
      </c>
      <c r="J380" s="264">
        <f t="shared" ref="J380" si="276">IF(AND(J379&lt;=0,K379&gt;0),J$88+(-J379/K378),0)</f>
        <v>0</v>
      </c>
      <c r="K380" s="264">
        <f t="shared" ref="K380" si="277">IF(AND(K379&lt;=0,L379&gt;0),K$88+(-K379/L378),0)</f>
        <v>0</v>
      </c>
      <c r="L380" s="264">
        <f t="shared" ref="L380" si="278">IF(AND(L379&lt;=0,M379&gt;0),L$88+(-L379/M378),0)</f>
        <v>0</v>
      </c>
      <c r="M380" s="264">
        <f t="shared" ref="M380" si="279">IF(AND(M379&lt;=0,N379&gt;0),M$88+(-M379/N378),0)</f>
        <v>7.6002593661114553</v>
      </c>
      <c r="N380" s="264">
        <f t="shared" ref="N380" si="280">IF(AND(N379&lt;=0,O379&gt;0),N$88+(-N379/O378),0)</f>
        <v>0</v>
      </c>
      <c r="O380" s="264">
        <f t="shared" ref="O380" si="281">IF(AND(O379&lt;=0,P379&gt;0),O$88+(-O379/P378),0)</f>
        <v>0</v>
      </c>
      <c r="P380" s="264">
        <f t="shared" ref="P380" si="282">IF(AND(P379&lt;=0,Q379&gt;0),P$88+(-P379/Q378),0)</f>
        <v>0</v>
      </c>
      <c r="Q380" s="264">
        <f t="shared" ref="Q380" si="283">IF(AND(Q379&lt;=0,R379&gt;0),Q$88+(-Q379/R378),0)</f>
        <v>0</v>
      </c>
      <c r="R380" s="264">
        <f t="shared" ref="R380" si="284">IF(AND(R379&lt;=0,S379&gt;0),R$88+(-R379/S378),0)</f>
        <v>0</v>
      </c>
      <c r="S380" s="264">
        <f t="shared" ref="S380" si="285">IF(AND(S379&lt;=0,T379&gt;0),S$88+(-S379/T378),0)</f>
        <v>0</v>
      </c>
      <c r="T380" s="248"/>
      <c r="U380" s="248"/>
    </row>
    <row r="381" spans="1:80" ht="15" customHeight="1">
      <c r="D381" s="84"/>
      <c r="E381" s="160"/>
      <c r="F381" s="115"/>
      <c r="G381" s="115"/>
      <c r="H381" s="115"/>
      <c r="I381" s="115"/>
      <c r="J381" s="115"/>
      <c r="K381" s="115"/>
      <c r="L381" s="115"/>
      <c r="M381" s="115"/>
      <c r="N381" s="115"/>
      <c r="O381" s="115"/>
      <c r="P381" s="115"/>
      <c r="Q381" s="115"/>
      <c r="R381" s="115"/>
      <c r="S381" s="115"/>
      <c r="T381" s="115"/>
      <c r="U381" s="115"/>
      <c r="Z381" s="38"/>
      <c r="AA381" s="38"/>
      <c r="AB381" s="38"/>
      <c r="AC381" s="38"/>
      <c r="AD381" s="38"/>
      <c r="AE381" s="38"/>
      <c r="AF381" s="38"/>
      <c r="AG381" s="38"/>
      <c r="AH381" s="38"/>
      <c r="AI381" s="38"/>
      <c r="AJ381" s="38"/>
    </row>
    <row r="382" spans="1:80" ht="15" customHeight="1">
      <c r="C382" s="22"/>
      <c r="D382" s="162" t="s">
        <v>221</v>
      </c>
      <c r="E382" s="20"/>
      <c r="F382" s="22"/>
      <c r="G382" s="163"/>
      <c r="H382" s="163"/>
      <c r="I382" s="163"/>
      <c r="J382" s="163"/>
      <c r="K382" s="163"/>
      <c r="L382" s="163"/>
      <c r="M382" s="163"/>
      <c r="N382" s="163"/>
      <c r="O382" s="163"/>
      <c r="P382" s="163"/>
      <c r="Q382" s="163"/>
      <c r="R382" s="163"/>
      <c r="S382" s="163"/>
      <c r="T382" s="163"/>
      <c r="U382" s="163"/>
      <c r="V382" s="27"/>
      <c r="W382" s="27"/>
      <c r="X382" s="27"/>
      <c r="Y382" s="27"/>
      <c r="Z382" s="91"/>
      <c r="AA382" s="91"/>
      <c r="AB382" s="91"/>
      <c r="AC382" s="91"/>
      <c r="AD382" s="91"/>
      <c r="AE382" s="91"/>
      <c r="AF382" s="91"/>
      <c r="AG382" s="91"/>
      <c r="AH382" s="91"/>
      <c r="AI382" s="91"/>
      <c r="AJ382" s="91"/>
      <c r="AK382" s="27"/>
      <c r="AL382" s="27"/>
      <c r="AM382" s="27"/>
      <c r="AN382" s="27"/>
      <c r="AO382" s="27"/>
      <c r="AP382" s="27"/>
      <c r="AQ382" s="27"/>
      <c r="AR382" s="27"/>
      <c r="AS382" s="27"/>
      <c r="AT382" s="27"/>
      <c r="AU382" s="27"/>
      <c r="AV382" s="27"/>
      <c r="AW382" s="27"/>
      <c r="AX382" s="27"/>
      <c r="AY382" s="27"/>
      <c r="AZ382" s="27"/>
      <c r="BA382" s="27"/>
      <c r="BB382" s="27"/>
      <c r="BC382" s="27"/>
      <c r="BD382" s="27"/>
      <c r="BE382" s="27"/>
      <c r="BF382" s="27"/>
      <c r="BG382" s="27"/>
      <c r="BH382" s="27"/>
      <c r="BI382" s="27"/>
      <c r="BJ382" s="27"/>
      <c r="BK382" s="27"/>
      <c r="BL382" s="27"/>
      <c r="BM382" s="27"/>
      <c r="BN382" s="27"/>
      <c r="BO382" s="27"/>
      <c r="BP382" s="27"/>
      <c r="BQ382" s="27"/>
      <c r="BR382" s="27"/>
      <c r="BS382" s="27"/>
      <c r="BT382" s="27"/>
      <c r="BU382" s="27"/>
      <c r="BV382" s="27"/>
      <c r="BW382" s="27"/>
      <c r="BX382" s="27"/>
      <c r="BY382" s="27"/>
      <c r="BZ382" s="27"/>
      <c r="CA382" s="27"/>
      <c r="CB382" s="27"/>
    </row>
    <row r="383" spans="1:80" ht="15" customHeight="1">
      <c r="C383" s="105">
        <f t="shared" ref="C383:C389" si="286">SUM(G383:S383)</f>
        <v>0</v>
      </c>
      <c r="D383" s="140" t="s">
        <v>132</v>
      </c>
      <c r="E383" s="25" t="s">
        <v>112</v>
      </c>
      <c r="F383" s="27"/>
      <c r="G383" s="11">
        <f>G139</f>
        <v>0</v>
      </c>
      <c r="H383" s="11">
        <f t="shared" ref="H383:S383" si="287">H139</f>
        <v>0</v>
      </c>
      <c r="I383" s="11">
        <f t="shared" si="287"/>
        <v>0</v>
      </c>
      <c r="J383" s="11">
        <f t="shared" si="287"/>
        <v>0</v>
      </c>
      <c r="K383" s="11">
        <f t="shared" si="287"/>
        <v>0</v>
      </c>
      <c r="L383" s="11">
        <f t="shared" si="287"/>
        <v>0</v>
      </c>
      <c r="M383" s="11">
        <f t="shared" si="287"/>
        <v>0</v>
      </c>
      <c r="N383" s="11">
        <f t="shared" si="287"/>
        <v>0</v>
      </c>
      <c r="O383" s="11">
        <f t="shared" si="287"/>
        <v>0</v>
      </c>
      <c r="P383" s="11">
        <f t="shared" si="287"/>
        <v>0</v>
      </c>
      <c r="Q383" s="11">
        <f t="shared" si="287"/>
        <v>0</v>
      </c>
      <c r="R383" s="11">
        <f t="shared" si="287"/>
        <v>0</v>
      </c>
      <c r="S383" s="11">
        <f t="shared" si="287"/>
        <v>0</v>
      </c>
      <c r="T383" s="129"/>
      <c r="U383" s="129"/>
      <c r="V383" s="27"/>
      <c r="W383" s="27"/>
      <c r="X383" s="27"/>
      <c r="Y383" s="27"/>
      <c r="Z383" s="91"/>
      <c r="AA383" s="91"/>
      <c r="AB383" s="91"/>
      <c r="AC383" s="91"/>
      <c r="AD383" s="91"/>
      <c r="AE383" s="91"/>
      <c r="AF383" s="91"/>
      <c r="AG383" s="91"/>
      <c r="AH383" s="91"/>
      <c r="AI383" s="91"/>
      <c r="AJ383" s="91"/>
      <c r="AK383" s="27"/>
      <c r="AL383" s="27"/>
      <c r="AM383" s="27"/>
      <c r="AN383" s="27"/>
      <c r="AO383" s="27"/>
      <c r="AP383" s="27"/>
      <c r="AQ383" s="27"/>
      <c r="AR383" s="27"/>
      <c r="AS383" s="27"/>
      <c r="AT383" s="27"/>
      <c r="AU383" s="27"/>
      <c r="AV383" s="27"/>
      <c r="AW383" s="27"/>
      <c r="AX383" s="27"/>
      <c r="AY383" s="27"/>
      <c r="AZ383" s="27"/>
      <c r="BA383" s="27"/>
      <c r="BB383" s="27"/>
      <c r="BC383" s="27"/>
      <c r="BD383" s="27"/>
      <c r="BE383" s="27"/>
      <c r="BF383" s="27"/>
      <c r="BG383" s="27"/>
      <c r="BH383" s="27"/>
      <c r="BI383" s="27"/>
      <c r="BJ383" s="27"/>
      <c r="BK383" s="27"/>
      <c r="BL383" s="27"/>
      <c r="BM383" s="27"/>
      <c r="BN383" s="27"/>
      <c r="BO383" s="27"/>
      <c r="BP383" s="27"/>
      <c r="BQ383" s="27"/>
      <c r="BR383" s="27"/>
      <c r="BS383" s="27"/>
      <c r="BT383" s="27"/>
      <c r="BU383" s="27"/>
      <c r="BV383" s="27"/>
      <c r="BW383" s="27"/>
      <c r="BX383" s="27"/>
      <c r="BY383" s="27"/>
      <c r="BZ383" s="27"/>
      <c r="CA383" s="27"/>
      <c r="CB383" s="27"/>
    </row>
    <row r="384" spans="1:80" s="38" customFormat="1" ht="15" customHeight="1">
      <c r="A384" s="102"/>
      <c r="C384" s="105">
        <f t="shared" si="286"/>
        <v>50</v>
      </c>
      <c r="D384" s="121" t="s">
        <v>134</v>
      </c>
      <c r="E384" s="25" t="s">
        <v>112</v>
      </c>
      <c r="F384" s="114"/>
      <c r="G384" s="11">
        <f>G143</f>
        <v>0</v>
      </c>
      <c r="H384" s="11">
        <f t="shared" ref="H384:S384" si="288">H143</f>
        <v>0</v>
      </c>
      <c r="I384" s="11">
        <f t="shared" si="288"/>
        <v>50</v>
      </c>
      <c r="J384" s="11">
        <f t="shared" si="288"/>
        <v>0</v>
      </c>
      <c r="K384" s="11">
        <f t="shared" si="288"/>
        <v>0</v>
      </c>
      <c r="L384" s="11">
        <f t="shared" si="288"/>
        <v>0</v>
      </c>
      <c r="M384" s="11">
        <f t="shared" si="288"/>
        <v>0</v>
      </c>
      <c r="N384" s="11">
        <f t="shared" si="288"/>
        <v>0</v>
      </c>
      <c r="O384" s="11">
        <f t="shared" si="288"/>
        <v>0</v>
      </c>
      <c r="P384" s="11">
        <f t="shared" si="288"/>
        <v>0</v>
      </c>
      <c r="Q384" s="11">
        <f t="shared" si="288"/>
        <v>0</v>
      </c>
      <c r="R384" s="11">
        <f t="shared" si="288"/>
        <v>0</v>
      </c>
      <c r="S384" s="11">
        <f t="shared" si="288"/>
        <v>0</v>
      </c>
      <c r="T384" s="27"/>
      <c r="U384" s="27"/>
    </row>
    <row r="385" spans="2:80" ht="15" customHeight="1">
      <c r="B385" s="92"/>
      <c r="C385" s="105">
        <f t="shared" si="286"/>
        <v>1247.0901114379362</v>
      </c>
      <c r="D385" s="121" t="s">
        <v>162</v>
      </c>
      <c r="E385" s="25" t="s">
        <v>112</v>
      </c>
      <c r="F385" s="27"/>
      <c r="G385" s="11">
        <f>G254</f>
        <v>0</v>
      </c>
      <c r="H385" s="11">
        <f>H254</f>
        <v>0</v>
      </c>
      <c r="I385" s="11">
        <f>I254</f>
        <v>17.01262079999999</v>
      </c>
      <c r="J385" s="11">
        <f t="shared" ref="J385:S385" si="289">J254</f>
        <v>47.720401343999995</v>
      </c>
      <c r="K385" s="11">
        <f t="shared" si="289"/>
        <v>229.07766640399996</v>
      </c>
      <c r="L385" s="11">
        <f t="shared" si="289"/>
        <v>276.167094968208</v>
      </c>
      <c r="M385" s="11">
        <f t="shared" si="289"/>
        <v>166.2625732669724</v>
      </c>
      <c r="N385" s="11">
        <f t="shared" si="289"/>
        <v>168.62130910562627</v>
      </c>
      <c r="O385" s="11">
        <f t="shared" si="289"/>
        <v>129.1315660212727</v>
      </c>
      <c r="P385" s="11">
        <f t="shared" si="289"/>
        <v>101.7769847703634</v>
      </c>
      <c r="Q385" s="11">
        <f t="shared" si="289"/>
        <v>111.31989475749366</v>
      </c>
      <c r="R385" s="11">
        <f t="shared" si="289"/>
        <v>3.6127351110692991E-14</v>
      </c>
      <c r="S385" s="11">
        <f t="shared" si="289"/>
        <v>0</v>
      </c>
      <c r="T385" s="27"/>
      <c r="U385" s="27"/>
      <c r="Z385" s="38"/>
      <c r="AA385" s="38"/>
      <c r="AB385" s="38"/>
      <c r="AC385" s="38"/>
      <c r="AD385" s="38"/>
      <c r="AE385" s="38"/>
      <c r="AF385" s="38"/>
      <c r="AG385" s="38"/>
      <c r="AH385" s="38"/>
      <c r="AI385" s="38"/>
      <c r="AJ385" s="38"/>
    </row>
    <row r="386" spans="2:80" ht="15" customHeight="1">
      <c r="B386" s="92"/>
      <c r="C386" s="105">
        <f t="shared" si="286"/>
        <v>208.86159056109386</v>
      </c>
      <c r="D386" s="121" t="s">
        <v>187</v>
      </c>
      <c r="E386" s="25" t="s">
        <v>112</v>
      </c>
      <c r="F386" s="27"/>
      <c r="G386" s="11">
        <f>G295</f>
        <v>0</v>
      </c>
      <c r="H386" s="11">
        <f t="shared" ref="H386:S386" si="290">H295</f>
        <v>0</v>
      </c>
      <c r="I386" s="11">
        <f t="shared" si="290"/>
        <v>0</v>
      </c>
      <c r="J386" s="11">
        <f t="shared" si="290"/>
        <v>0</v>
      </c>
      <c r="K386" s="11">
        <f t="shared" si="290"/>
        <v>58.377040314424328</v>
      </c>
      <c r="L386" s="11">
        <f t="shared" si="290"/>
        <v>51.097125849555823</v>
      </c>
      <c r="M386" s="11">
        <f t="shared" si="290"/>
        <v>38.425744893272558</v>
      </c>
      <c r="N386" s="11">
        <f t="shared" si="290"/>
        <v>24.232848268971477</v>
      </c>
      <c r="O386" s="11">
        <f t="shared" si="290"/>
        <v>19.155524761290156</v>
      </c>
      <c r="P386" s="11">
        <f t="shared" si="290"/>
        <v>13.97684189049885</v>
      </c>
      <c r="Q386" s="11">
        <f t="shared" si="290"/>
        <v>3.5964645830806377</v>
      </c>
      <c r="R386" s="11">
        <f t="shared" si="290"/>
        <v>8.8447998924934273E-15</v>
      </c>
      <c r="S386" s="11">
        <f t="shared" si="290"/>
        <v>0</v>
      </c>
      <c r="T386" s="27"/>
      <c r="U386" s="27"/>
      <c r="Z386" s="38"/>
      <c r="AA386" s="38"/>
      <c r="AB386" s="38"/>
      <c r="AC386" s="38"/>
      <c r="AD386" s="38"/>
      <c r="AE386" s="38"/>
      <c r="AF386" s="38"/>
      <c r="AG386" s="38"/>
      <c r="AH386" s="38"/>
      <c r="AI386" s="38"/>
      <c r="AJ386" s="38"/>
    </row>
    <row r="387" spans="2:80" ht="15" customHeight="1">
      <c r="B387" s="92"/>
      <c r="C387" s="105">
        <f t="shared" si="286"/>
        <v>39.522318112218755</v>
      </c>
      <c r="D387" s="121" t="s">
        <v>67</v>
      </c>
      <c r="E387" s="25" t="s">
        <v>112</v>
      </c>
      <c r="F387" s="27"/>
      <c r="G387" s="11">
        <f>G319</f>
        <v>0</v>
      </c>
      <c r="H387" s="11">
        <f t="shared" ref="H387:S387" si="291">H319</f>
        <v>0</v>
      </c>
      <c r="I387" s="11">
        <f t="shared" si="291"/>
        <v>0</v>
      </c>
      <c r="J387" s="11">
        <f t="shared" si="291"/>
        <v>0</v>
      </c>
      <c r="K387" s="11">
        <f t="shared" si="291"/>
        <v>0</v>
      </c>
      <c r="L387" s="11">
        <f t="shared" si="291"/>
        <v>7.3649691188065276</v>
      </c>
      <c r="M387" s="11">
        <f t="shared" si="291"/>
        <v>5.9172923536131297</v>
      </c>
      <c r="N387" s="11">
        <f t="shared" si="291"/>
        <v>7.5070337821106143</v>
      </c>
      <c r="O387" s="11">
        <f t="shared" si="291"/>
        <v>6.4915690805743509</v>
      </c>
      <c r="P387" s="11">
        <f t="shared" si="291"/>
        <v>5.4558325064160869</v>
      </c>
      <c r="Q387" s="11">
        <f t="shared" si="291"/>
        <v>6.7856212706980443</v>
      </c>
      <c r="R387" s="11">
        <f t="shared" si="291"/>
        <v>1.7689599784986855E-15</v>
      </c>
      <c r="S387" s="11">
        <f t="shared" si="291"/>
        <v>0</v>
      </c>
      <c r="T387" s="27"/>
      <c r="U387" s="27"/>
      <c r="Z387" s="38"/>
      <c r="AA387" s="38"/>
      <c r="AB387" s="38"/>
      <c r="AC387" s="38"/>
      <c r="AD387" s="38"/>
      <c r="AE387" s="38"/>
      <c r="AF387" s="38"/>
      <c r="AG387" s="38"/>
      <c r="AH387" s="38"/>
      <c r="AI387" s="38"/>
      <c r="AJ387" s="38"/>
    </row>
    <row r="388" spans="2:80" ht="15" customHeight="1">
      <c r="B388" s="92"/>
      <c r="C388" s="105">
        <f t="shared" si="286"/>
        <v>146.76311208838189</v>
      </c>
      <c r="D388" s="84" t="s">
        <v>222</v>
      </c>
      <c r="E388" s="40" t="s">
        <v>112</v>
      </c>
      <c r="F388" s="115"/>
      <c r="G388" s="11">
        <f>G333</f>
        <v>0</v>
      </c>
      <c r="H388" s="11">
        <f t="shared" ref="H388:S388" si="292">H333</f>
        <v>-51</v>
      </c>
      <c r="I388" s="11">
        <f t="shared" si="292"/>
        <v>1.611533920000003</v>
      </c>
      <c r="J388" s="11">
        <f t="shared" si="292"/>
        <v>18.813307665600004</v>
      </c>
      <c r="K388" s="11">
        <f t="shared" si="292"/>
        <v>52.510694107599988</v>
      </c>
      <c r="L388" s="11">
        <f t="shared" si="292"/>
        <v>33.593530232587213</v>
      </c>
      <c r="M388" s="11">
        <f t="shared" si="292"/>
        <v>26.149289240392079</v>
      </c>
      <c r="N388" s="11">
        <f t="shared" si="292"/>
        <v>19.374835990131544</v>
      </c>
      <c r="O388" s="11">
        <f t="shared" si="292"/>
        <v>16.554100708086359</v>
      </c>
      <c r="P388" s="11">
        <f t="shared" si="292"/>
        <v>13.677054668757847</v>
      </c>
      <c r="Q388" s="11">
        <f t="shared" si="292"/>
        <v>15.478765555226843</v>
      </c>
      <c r="R388" s="11">
        <f>R333</f>
        <v>4.9137777180519044E-15</v>
      </c>
      <c r="S388" s="11">
        <f t="shared" si="292"/>
        <v>0</v>
      </c>
      <c r="T388" s="27"/>
      <c r="U388" s="27"/>
      <c r="Z388" s="38"/>
      <c r="AA388" s="38"/>
      <c r="AB388" s="38"/>
      <c r="AC388" s="38"/>
      <c r="AD388" s="38"/>
      <c r="AE388" s="38"/>
      <c r="AF388" s="38"/>
      <c r="AG388" s="38"/>
      <c r="AH388" s="38"/>
      <c r="AI388" s="38"/>
      <c r="AJ388" s="38"/>
    </row>
    <row r="389" spans="2:80" ht="15" customHeight="1">
      <c r="B389" s="92"/>
      <c r="C389" s="105">
        <f t="shared" si="286"/>
        <v>1692.2371321996309</v>
      </c>
      <c r="D389" s="84" t="s">
        <v>223</v>
      </c>
      <c r="E389" s="40" t="s">
        <v>112</v>
      </c>
      <c r="F389" s="115"/>
      <c r="G389" s="11">
        <f>SUM(G383:G388)</f>
        <v>0</v>
      </c>
      <c r="H389" s="11">
        <f t="shared" ref="H389:S389" si="293">SUM(H383:H388)</f>
        <v>-51</v>
      </c>
      <c r="I389" s="11">
        <f t="shared" si="293"/>
        <v>68.624154719999993</v>
      </c>
      <c r="J389" s="11">
        <f t="shared" si="293"/>
        <v>66.533709009600003</v>
      </c>
      <c r="K389" s="11">
        <f t="shared" si="293"/>
        <v>339.96540082602428</v>
      </c>
      <c r="L389" s="11">
        <f t="shared" si="293"/>
        <v>368.22272016915758</v>
      </c>
      <c r="M389" s="11">
        <f t="shared" si="293"/>
        <v>236.75489975425018</v>
      </c>
      <c r="N389" s="11">
        <f t="shared" si="293"/>
        <v>219.73602714683992</v>
      </c>
      <c r="O389" s="11">
        <f t="shared" si="293"/>
        <v>171.33276057122359</v>
      </c>
      <c r="P389" s="11">
        <f t="shared" si="293"/>
        <v>134.88671383603617</v>
      </c>
      <c r="Q389" s="11">
        <f t="shared" si="293"/>
        <v>137.18074616649918</v>
      </c>
      <c r="R389" s="11">
        <f t="shared" si="293"/>
        <v>5.1654888699737006E-14</v>
      </c>
      <c r="S389" s="11">
        <f t="shared" si="293"/>
        <v>0</v>
      </c>
      <c r="T389" s="27"/>
      <c r="U389" s="27"/>
      <c r="Z389" s="38"/>
      <c r="AA389" s="38"/>
      <c r="AB389" s="38"/>
      <c r="AC389" s="38"/>
      <c r="AD389" s="38"/>
      <c r="AE389" s="38"/>
      <c r="AF389" s="38"/>
      <c r="AG389" s="38"/>
      <c r="AH389" s="38"/>
      <c r="AI389" s="38"/>
      <c r="AJ389" s="38"/>
    </row>
    <row r="390" spans="2:80" ht="15" customHeight="1">
      <c r="B390" s="92"/>
      <c r="C390" s="49">
        <f>IFERROR(C389/C111,0)</f>
        <v>0.69381410352202744</v>
      </c>
      <c r="D390" s="84" t="s">
        <v>224</v>
      </c>
      <c r="E390" s="164" t="s">
        <v>17</v>
      </c>
      <c r="F390" s="129"/>
      <c r="G390" s="111">
        <f t="shared" ref="G390:S390" si="294">IFERROR(G389/G111,0)</f>
        <v>0</v>
      </c>
      <c r="H390" s="111">
        <f t="shared" si="294"/>
        <v>0.1</v>
      </c>
      <c r="I390" s="111">
        <f t="shared" si="294"/>
        <v>0.82552434487746351</v>
      </c>
      <c r="J390" s="111">
        <f t="shared" si="294"/>
        <v>0.28209763779527552</v>
      </c>
      <c r="K390" s="111">
        <f t="shared" si="294"/>
        <v>0.45077212854021254</v>
      </c>
      <c r="L390" s="111">
        <f t="shared" si="294"/>
        <v>0.60157045912082541</v>
      </c>
      <c r="M390" s="111">
        <f t="shared" si="294"/>
        <v>0.47723503035988118</v>
      </c>
      <c r="N390" s="111">
        <f t="shared" si="294"/>
        <v>0.52493149324086952</v>
      </c>
      <c r="O390" s="111">
        <f t="shared" si="294"/>
        <v>0.5015931703635409</v>
      </c>
      <c r="P390" s="111">
        <f t="shared" si="294"/>
        <v>0.48393854867514696</v>
      </c>
      <c r="Q390" s="111">
        <f t="shared" si="294"/>
        <v>0.60314821293957266</v>
      </c>
      <c r="R390" s="111">
        <f t="shared" si="294"/>
        <v>-2.0772058884838056E-16</v>
      </c>
      <c r="S390" s="111">
        <f t="shared" si="294"/>
        <v>0</v>
      </c>
      <c r="T390" s="129"/>
      <c r="U390" s="129"/>
      <c r="Z390" s="38"/>
      <c r="AA390" s="38"/>
      <c r="AB390" s="38"/>
      <c r="AC390" s="38"/>
      <c r="AD390" s="38"/>
      <c r="AE390" s="38"/>
      <c r="AF390" s="38"/>
      <c r="AG390" s="38"/>
      <c r="AH390" s="38"/>
      <c r="AI390" s="38"/>
      <c r="AJ390" s="38"/>
    </row>
    <row r="391" spans="2:80" ht="15" customHeight="1">
      <c r="C391" s="27"/>
      <c r="D391" s="27"/>
      <c r="E391" s="40"/>
      <c r="F391" s="129"/>
      <c r="G391" s="161"/>
      <c r="H391" s="161"/>
      <c r="I391" s="161"/>
      <c r="J391" s="161"/>
      <c r="K391" s="161"/>
      <c r="L391" s="161"/>
      <c r="M391" s="161"/>
      <c r="N391" s="161"/>
      <c r="O391" s="161"/>
      <c r="P391" s="161"/>
      <c r="Q391" s="161"/>
      <c r="R391" s="161"/>
      <c r="S391" s="161"/>
      <c r="T391" s="161"/>
      <c r="U391" s="161"/>
      <c r="Y391" s="38"/>
      <c r="Z391" s="38"/>
      <c r="AA391" s="38"/>
      <c r="AB391" s="38"/>
      <c r="AC391" s="38"/>
      <c r="AD391" s="38"/>
      <c r="AE391" s="38"/>
      <c r="AF391" s="38"/>
      <c r="AG391" s="38"/>
      <c r="AH391" s="38"/>
      <c r="AI391" s="38"/>
    </row>
    <row r="392" spans="2:80" ht="15" customHeight="1">
      <c r="C392" s="27"/>
      <c r="D392" s="146" t="s">
        <v>225</v>
      </c>
      <c r="E392" s="25"/>
      <c r="F392" s="27"/>
      <c r="G392" s="129"/>
      <c r="H392" s="129"/>
      <c r="I392" s="129"/>
      <c r="J392" s="129"/>
      <c r="K392" s="129"/>
      <c r="L392" s="129"/>
      <c r="M392" s="129"/>
      <c r="N392" s="129"/>
      <c r="O392" s="129"/>
      <c r="P392" s="129"/>
      <c r="Q392" s="129"/>
      <c r="R392" s="129"/>
      <c r="S392" s="129"/>
      <c r="T392" s="129"/>
      <c r="U392" s="129"/>
      <c r="V392" s="27"/>
      <c r="W392" s="27"/>
      <c r="X392" s="27"/>
      <c r="Y392" s="27"/>
      <c r="Z392" s="91"/>
      <c r="AA392" s="91"/>
      <c r="AB392" s="91"/>
      <c r="AC392" s="91"/>
      <c r="AD392" s="91"/>
      <c r="AE392" s="91"/>
      <c r="AF392" s="91"/>
      <c r="AG392" s="91"/>
      <c r="AH392" s="91"/>
      <c r="AI392" s="91"/>
      <c r="AJ392" s="91"/>
      <c r="AK392" s="27"/>
      <c r="AL392" s="27"/>
      <c r="AM392" s="27"/>
      <c r="AN392" s="27"/>
      <c r="AO392" s="27"/>
      <c r="AP392" s="27"/>
      <c r="AQ392" s="27"/>
      <c r="AR392" s="27"/>
      <c r="AS392" s="27"/>
      <c r="AT392" s="27"/>
      <c r="AU392" s="27"/>
      <c r="AV392" s="27"/>
      <c r="AW392" s="27"/>
      <c r="AX392" s="27"/>
      <c r="AY392" s="27"/>
      <c r="AZ392" s="27"/>
      <c r="BA392" s="27"/>
      <c r="BB392" s="27"/>
      <c r="BC392" s="27"/>
      <c r="BD392" s="27"/>
      <c r="BE392" s="27"/>
      <c r="BF392" s="27"/>
      <c r="BG392" s="27"/>
      <c r="BH392" s="27"/>
      <c r="BI392" s="27"/>
      <c r="BJ392" s="27"/>
      <c r="BK392" s="27"/>
      <c r="BL392" s="27"/>
      <c r="BM392" s="27"/>
      <c r="BN392" s="27"/>
      <c r="BO392" s="27"/>
      <c r="BP392" s="27"/>
      <c r="BQ392" s="27"/>
      <c r="BR392" s="27"/>
      <c r="BS392" s="27"/>
      <c r="BT392" s="27"/>
      <c r="BU392" s="27"/>
      <c r="BV392" s="27"/>
      <c r="BW392" s="27"/>
      <c r="BX392" s="27"/>
      <c r="BY392" s="27"/>
      <c r="BZ392" s="27"/>
      <c r="CA392" s="27"/>
      <c r="CB392" s="27"/>
    </row>
    <row r="393" spans="2:80" ht="15" customHeight="1">
      <c r="C393" s="105">
        <f t="shared" ref="C393:C399" si="295">SUM(G393:S393)</f>
        <v>0</v>
      </c>
      <c r="D393" s="121" t="s">
        <v>132</v>
      </c>
      <c r="E393" s="40" t="s">
        <v>12</v>
      </c>
      <c r="F393" s="129"/>
      <c r="G393" s="11">
        <f t="shared" ref="G393:S398" si="296">G383/G$355</f>
        <v>0</v>
      </c>
      <c r="H393" s="11">
        <f t="shared" si="296"/>
        <v>0</v>
      </c>
      <c r="I393" s="11">
        <f t="shared" si="296"/>
        <v>0</v>
      </c>
      <c r="J393" s="11">
        <f t="shared" si="296"/>
        <v>0</v>
      </c>
      <c r="K393" s="11">
        <f t="shared" si="296"/>
        <v>0</v>
      </c>
      <c r="L393" s="11">
        <f t="shared" si="296"/>
        <v>0</v>
      </c>
      <c r="M393" s="11">
        <f t="shared" si="296"/>
        <v>0</v>
      </c>
      <c r="N393" s="11">
        <f t="shared" si="296"/>
        <v>0</v>
      </c>
      <c r="O393" s="11">
        <f t="shared" si="296"/>
        <v>0</v>
      </c>
      <c r="P393" s="11">
        <f t="shared" si="296"/>
        <v>0</v>
      </c>
      <c r="Q393" s="11">
        <f t="shared" si="296"/>
        <v>0</v>
      </c>
      <c r="R393" s="11">
        <f t="shared" si="296"/>
        <v>0</v>
      </c>
      <c r="S393" s="11">
        <f t="shared" si="296"/>
        <v>0</v>
      </c>
      <c r="T393" s="161"/>
      <c r="U393" s="161"/>
      <c r="Y393" s="38"/>
      <c r="Z393" s="38"/>
      <c r="AA393" s="38"/>
      <c r="AB393" s="38"/>
      <c r="AC393" s="38"/>
      <c r="AD393" s="38"/>
      <c r="AE393" s="38"/>
      <c r="AF393" s="38"/>
      <c r="AG393" s="38"/>
      <c r="AH393" s="38"/>
      <c r="AI393" s="38"/>
    </row>
    <row r="394" spans="2:80" ht="15" customHeight="1">
      <c r="C394" s="105">
        <f t="shared" si="295"/>
        <v>48.058439061899271</v>
      </c>
      <c r="D394" s="121" t="s">
        <v>134</v>
      </c>
      <c r="E394" s="40" t="s">
        <v>12</v>
      </c>
      <c r="F394" s="129"/>
      <c r="G394" s="11">
        <f t="shared" si="296"/>
        <v>0</v>
      </c>
      <c r="H394" s="11">
        <f t="shared" si="296"/>
        <v>0</v>
      </c>
      <c r="I394" s="11">
        <f t="shared" si="296"/>
        <v>48.058439061899271</v>
      </c>
      <c r="J394" s="11">
        <f t="shared" si="296"/>
        <v>0</v>
      </c>
      <c r="K394" s="11">
        <f t="shared" si="296"/>
        <v>0</v>
      </c>
      <c r="L394" s="11">
        <f t="shared" si="296"/>
        <v>0</v>
      </c>
      <c r="M394" s="11">
        <f t="shared" si="296"/>
        <v>0</v>
      </c>
      <c r="N394" s="11">
        <f t="shared" si="296"/>
        <v>0</v>
      </c>
      <c r="O394" s="11">
        <f t="shared" si="296"/>
        <v>0</v>
      </c>
      <c r="P394" s="11">
        <f t="shared" si="296"/>
        <v>0</v>
      </c>
      <c r="Q394" s="11">
        <f t="shared" si="296"/>
        <v>0</v>
      </c>
      <c r="R394" s="11">
        <f t="shared" si="296"/>
        <v>0</v>
      </c>
      <c r="S394" s="11">
        <f t="shared" si="296"/>
        <v>0</v>
      </c>
      <c r="T394" s="161"/>
      <c r="U394" s="161"/>
      <c r="Y394" s="38"/>
      <c r="Z394" s="38"/>
      <c r="AA394" s="38"/>
      <c r="AB394" s="38"/>
      <c r="AC394" s="38"/>
      <c r="AD394" s="38"/>
      <c r="AE394" s="38"/>
      <c r="AF394" s="38"/>
      <c r="AG394" s="38"/>
      <c r="AH394" s="38"/>
      <c r="AI394" s="38"/>
    </row>
    <row r="395" spans="2:80" ht="15" customHeight="1">
      <c r="C395" s="105">
        <f t="shared" si="295"/>
        <v>1104.2128674225964</v>
      </c>
      <c r="D395" s="121" t="s">
        <v>162</v>
      </c>
      <c r="E395" s="40" t="s">
        <v>12</v>
      </c>
      <c r="F395" s="129"/>
      <c r="G395" s="11">
        <f t="shared" si="296"/>
        <v>0</v>
      </c>
      <c r="H395" s="11">
        <f t="shared" si="296"/>
        <v>0</v>
      </c>
      <c r="I395" s="11">
        <f t="shared" si="296"/>
        <v>16.35199999999999</v>
      </c>
      <c r="J395" s="11">
        <f t="shared" si="296"/>
        <v>44.967999999999996</v>
      </c>
      <c r="K395" s="11">
        <f t="shared" si="296"/>
        <v>211.63235431216305</v>
      </c>
      <c r="L395" s="11">
        <f t="shared" si="296"/>
        <v>250.13304657393033</v>
      </c>
      <c r="M395" s="11">
        <f t="shared" si="296"/>
        <v>147.6364069897065</v>
      </c>
      <c r="N395" s="11">
        <f t="shared" si="296"/>
        <v>146.79499697310598</v>
      </c>
      <c r="O395" s="11">
        <f t="shared" si="296"/>
        <v>110.21254821585644</v>
      </c>
      <c r="P395" s="11">
        <f t="shared" si="296"/>
        <v>85.162427951242933</v>
      </c>
      <c r="Q395" s="11">
        <f t="shared" si="296"/>
        <v>91.321086406591135</v>
      </c>
      <c r="R395" s="11">
        <f t="shared" si="296"/>
        <v>2.9055893198676278E-14</v>
      </c>
      <c r="S395" s="11">
        <f t="shared" si="296"/>
        <v>0</v>
      </c>
      <c r="T395" s="161"/>
      <c r="U395" s="161"/>
      <c r="Y395" s="38"/>
      <c r="Z395" s="38"/>
      <c r="AA395" s="38"/>
      <c r="AB395" s="38"/>
      <c r="AC395" s="38"/>
      <c r="AD395" s="38"/>
      <c r="AE395" s="38"/>
      <c r="AF395" s="38"/>
      <c r="AG395" s="38"/>
      <c r="AH395" s="38"/>
      <c r="AI395" s="38"/>
    </row>
    <row r="396" spans="2:80" ht="15" customHeight="1">
      <c r="C396" s="105">
        <f t="shared" si="295"/>
        <v>186.42332297420936</v>
      </c>
      <c r="D396" s="84" t="s">
        <v>187</v>
      </c>
      <c r="E396" s="40" t="s">
        <v>12</v>
      </c>
      <c r="F396" s="129"/>
      <c r="G396" s="11">
        <f t="shared" si="296"/>
        <v>0</v>
      </c>
      <c r="H396" s="11">
        <f t="shared" si="296"/>
        <v>0</v>
      </c>
      <c r="I396" s="11">
        <f t="shared" si="296"/>
        <v>0</v>
      </c>
      <c r="J396" s="11">
        <f t="shared" si="296"/>
        <v>0</v>
      </c>
      <c r="K396" s="11">
        <f t="shared" si="296"/>
        <v>53.93136167944634</v>
      </c>
      <c r="L396" s="11">
        <f t="shared" si="296"/>
        <v>46.280241175699324</v>
      </c>
      <c r="M396" s="11">
        <f t="shared" si="296"/>
        <v>34.120961804413241</v>
      </c>
      <c r="N396" s="11">
        <f t="shared" si="296"/>
        <v>21.096152717359683</v>
      </c>
      <c r="O396" s="11">
        <f t="shared" si="296"/>
        <v>16.34905593885491</v>
      </c>
      <c r="P396" s="11">
        <f t="shared" si="296"/>
        <v>11.695196052144475</v>
      </c>
      <c r="Q396" s="11">
        <f t="shared" si="296"/>
        <v>2.9503536062914102</v>
      </c>
      <c r="R396" s="11">
        <f t="shared" si="296"/>
        <v>7.1135456417087656E-15</v>
      </c>
      <c r="S396" s="11">
        <f t="shared" si="296"/>
        <v>0</v>
      </c>
      <c r="T396" s="161"/>
      <c r="U396" s="161"/>
      <c r="Y396" s="38"/>
      <c r="Z396" s="38"/>
      <c r="AA396" s="38"/>
      <c r="AB396" s="38"/>
      <c r="AC396" s="38"/>
      <c r="AD396" s="38"/>
      <c r="AE396" s="38"/>
      <c r="AF396" s="38"/>
      <c r="AG396" s="38"/>
      <c r="AH396" s="38"/>
      <c r="AI396" s="38"/>
    </row>
    <row r="397" spans="2:80" ht="15" customHeight="1">
      <c r="C397" s="105">
        <f t="shared" ref="C397" si="297">SUM(G397:S397)</f>
        <v>34.132651541263868</v>
      </c>
      <c r="D397" s="121" t="s">
        <v>67</v>
      </c>
      <c r="E397" s="40" t="s">
        <v>12</v>
      </c>
      <c r="F397" s="129"/>
      <c r="G397" s="11">
        <f t="shared" si="296"/>
        <v>0</v>
      </c>
      <c r="H397" s="11">
        <f t="shared" si="296"/>
        <v>0</v>
      </c>
      <c r="I397" s="11">
        <f t="shared" si="296"/>
        <v>0</v>
      </c>
      <c r="J397" s="11">
        <f t="shared" si="296"/>
        <v>0</v>
      </c>
      <c r="K397" s="11">
        <f t="shared" si="296"/>
        <v>0</v>
      </c>
      <c r="L397" s="11">
        <f t="shared" si="296"/>
        <v>6.6706794443489583</v>
      </c>
      <c r="M397" s="11">
        <f t="shared" si="296"/>
        <v>5.254386270037636</v>
      </c>
      <c r="N397" s="11">
        <f t="shared" si="296"/>
        <v>6.5353246702149024</v>
      </c>
      <c r="O397" s="11">
        <f t="shared" si="296"/>
        <v>5.5404917041856541</v>
      </c>
      <c r="P397" s="11">
        <f t="shared" si="296"/>
        <v>4.565196579462885</v>
      </c>
      <c r="Q397" s="11">
        <f t="shared" si="296"/>
        <v>5.5665728730138317</v>
      </c>
      <c r="R397" s="11">
        <f t="shared" si="296"/>
        <v>1.4227091283417532E-15</v>
      </c>
      <c r="S397" s="11">
        <f t="shared" si="296"/>
        <v>0</v>
      </c>
      <c r="T397" s="161"/>
      <c r="U397" s="161"/>
      <c r="Y397" s="38"/>
      <c r="Z397" s="38"/>
      <c r="AA397" s="38"/>
      <c r="AB397" s="38"/>
      <c r="AC397" s="38"/>
      <c r="AD397" s="38"/>
      <c r="AE397" s="38"/>
      <c r="AF397" s="38"/>
      <c r="AG397" s="38"/>
      <c r="AH397" s="38"/>
      <c r="AI397" s="38"/>
    </row>
    <row r="398" spans="2:80" ht="15" customHeight="1">
      <c r="C398" s="105">
        <f t="shared" si="295"/>
        <v>126.57348927653337</v>
      </c>
      <c r="D398" s="84" t="s">
        <v>222</v>
      </c>
      <c r="E398" s="40" t="s">
        <v>12</v>
      </c>
      <c r="F398" s="129"/>
      <c r="G398" s="11">
        <f t="shared" si="296"/>
        <v>0</v>
      </c>
      <c r="H398" s="11">
        <f t="shared" si="296"/>
        <v>-50</v>
      </c>
      <c r="I398" s="11">
        <f t="shared" si="296"/>
        <v>1.5489560938100759</v>
      </c>
      <c r="J398" s="11">
        <f t="shared" si="296"/>
        <v>17.728200000000005</v>
      </c>
      <c r="K398" s="11">
        <f t="shared" si="296"/>
        <v>48.511764568783683</v>
      </c>
      <c r="L398" s="11">
        <f t="shared" si="296"/>
        <v>30.42669534260698</v>
      </c>
      <c r="M398" s="11">
        <f t="shared" si="296"/>
        <v>23.219820509977474</v>
      </c>
      <c r="N398" s="11">
        <f t="shared" si="296"/>
        <v>16.866960680184203</v>
      </c>
      <c r="O398" s="11">
        <f t="shared" si="296"/>
        <v>14.128765558063117</v>
      </c>
      <c r="P398" s="11">
        <f t="shared" si="296"/>
        <v>11.444347515711357</v>
      </c>
      <c r="Q398" s="11">
        <f t="shared" si="296"/>
        <v>12.697979007396455</v>
      </c>
      <c r="R398" s="11">
        <f t="shared" si="296"/>
        <v>3.9519698009493147E-15</v>
      </c>
      <c r="S398" s="11">
        <f t="shared" si="296"/>
        <v>0</v>
      </c>
      <c r="T398" s="161"/>
      <c r="U398" s="161"/>
      <c r="Y398" s="38"/>
      <c r="Z398" s="38"/>
      <c r="AA398" s="38"/>
      <c r="AB398" s="38"/>
      <c r="AC398" s="38"/>
      <c r="AD398" s="38"/>
      <c r="AE398" s="38"/>
      <c r="AF398" s="38"/>
      <c r="AG398" s="38"/>
      <c r="AH398" s="38"/>
      <c r="AI398" s="38"/>
    </row>
    <row r="399" spans="2:80" ht="15" customHeight="1">
      <c r="C399" s="105">
        <f t="shared" si="295"/>
        <v>1499.4007702765023</v>
      </c>
      <c r="D399" s="84" t="s">
        <v>223</v>
      </c>
      <c r="E399" s="40" t="s">
        <v>12</v>
      </c>
      <c r="F399" s="129"/>
      <c r="G399" s="11">
        <f>SUM(G393:G398)</f>
        <v>0</v>
      </c>
      <c r="H399" s="11">
        <f t="shared" ref="H399:S399" si="298">SUM(H393:H398)</f>
        <v>-50</v>
      </c>
      <c r="I399" s="11">
        <f t="shared" si="298"/>
        <v>65.959395155709345</v>
      </c>
      <c r="J399" s="11">
        <f t="shared" si="298"/>
        <v>62.696200000000005</v>
      </c>
      <c r="K399" s="11">
        <f t="shared" si="298"/>
        <v>314.07548056039309</v>
      </c>
      <c r="L399" s="11">
        <f t="shared" si="298"/>
        <v>333.51066253658558</v>
      </c>
      <c r="M399" s="11">
        <f t="shared" si="298"/>
        <v>210.23157557413484</v>
      </c>
      <c r="N399" s="11">
        <f t="shared" si="298"/>
        <v>191.29343504086475</v>
      </c>
      <c r="O399" s="11">
        <f t="shared" si="298"/>
        <v>146.23086141696012</v>
      </c>
      <c r="P399" s="11">
        <f t="shared" si="298"/>
        <v>112.86716809856163</v>
      </c>
      <c r="Q399" s="11">
        <f t="shared" si="298"/>
        <v>112.53599189329283</v>
      </c>
      <c r="R399" s="11">
        <f t="shared" si="298"/>
        <v>4.1544117769676113E-14</v>
      </c>
      <c r="S399" s="11">
        <f t="shared" si="298"/>
        <v>0</v>
      </c>
      <c r="T399" s="161"/>
      <c r="U399" s="161"/>
      <c r="Y399" s="38"/>
      <c r="Z399" s="38"/>
      <c r="AA399" s="38"/>
      <c r="AB399" s="38"/>
      <c r="AC399" s="38"/>
      <c r="AD399" s="38"/>
      <c r="AE399" s="38"/>
      <c r="AF399" s="38"/>
      <c r="AG399" s="38"/>
      <c r="AH399" s="38"/>
      <c r="AI399" s="38"/>
    </row>
    <row r="400" spans="2:80" ht="15" customHeight="1">
      <c r="C400" s="111">
        <f>IFERROR(C399/C82,0)</f>
        <v>0.70740598480050265</v>
      </c>
      <c r="D400" s="84" t="s">
        <v>224</v>
      </c>
      <c r="E400" s="164" t="s">
        <v>17</v>
      </c>
      <c r="F400" s="129"/>
      <c r="G400" s="111">
        <f t="shared" ref="G400:S400" si="299">IFERROR(G399/G82,0)</f>
        <v>0</v>
      </c>
      <c r="H400" s="111">
        <f t="shared" si="299"/>
        <v>0.1</v>
      </c>
      <c r="I400" s="111">
        <f t="shared" si="299"/>
        <v>0.82552434487746362</v>
      </c>
      <c r="J400" s="111">
        <f t="shared" si="299"/>
        <v>0.28209763779527564</v>
      </c>
      <c r="K400" s="111">
        <f t="shared" si="299"/>
        <v>0.45077212854021254</v>
      </c>
      <c r="L400" s="111">
        <f t="shared" si="299"/>
        <v>0.6015704591208253</v>
      </c>
      <c r="M400" s="111">
        <f t="shared" si="299"/>
        <v>0.47723503035988113</v>
      </c>
      <c r="N400" s="111">
        <f t="shared" si="299"/>
        <v>0.52493149324086941</v>
      </c>
      <c r="O400" s="111">
        <f t="shared" si="299"/>
        <v>0.5015931703635409</v>
      </c>
      <c r="P400" s="111">
        <f t="shared" si="299"/>
        <v>0.48393854867514691</v>
      </c>
      <c r="Q400" s="111">
        <f t="shared" si="299"/>
        <v>0.60314821293957255</v>
      </c>
      <c r="R400" s="111">
        <f t="shared" si="299"/>
        <v>-2.0772058884838056E-16</v>
      </c>
      <c r="S400" s="111">
        <f t="shared" si="299"/>
        <v>0</v>
      </c>
      <c r="T400" s="129"/>
      <c r="U400" s="129"/>
      <c r="Y400" s="38"/>
      <c r="Z400" s="38"/>
      <c r="AA400" s="38"/>
      <c r="AB400" s="38"/>
      <c r="AC400" s="38"/>
      <c r="AD400" s="38"/>
      <c r="AE400" s="38"/>
      <c r="AF400" s="38"/>
      <c r="AG400" s="38"/>
      <c r="AH400" s="38"/>
      <c r="AI400" s="38"/>
    </row>
    <row r="401" spans="1:56" ht="15" customHeight="1">
      <c r="D401" s="27"/>
      <c r="E401" s="164"/>
      <c r="F401" s="129"/>
      <c r="G401" s="129"/>
      <c r="H401" s="129"/>
      <c r="I401" s="129"/>
      <c r="J401" s="129"/>
      <c r="K401" s="129"/>
      <c r="L401" s="129"/>
      <c r="M401" s="129"/>
      <c r="N401" s="129"/>
      <c r="O401" s="129"/>
      <c r="P401" s="129"/>
      <c r="Q401" s="129"/>
      <c r="R401" s="91"/>
      <c r="S401" s="91"/>
      <c r="T401" s="91"/>
      <c r="U401" s="91"/>
      <c r="Y401" s="38"/>
      <c r="Z401" s="38"/>
      <c r="AA401" s="38"/>
      <c r="AB401" s="38"/>
      <c r="AC401" s="38"/>
      <c r="AD401" s="38"/>
      <c r="AE401" s="38"/>
      <c r="AF401" s="38"/>
      <c r="AG401" s="38"/>
      <c r="AH401" s="38"/>
      <c r="AI401" s="38"/>
    </row>
    <row r="402" spans="1:56" ht="15" customHeight="1">
      <c r="C402" s="22"/>
      <c r="D402" s="157" t="s">
        <v>226</v>
      </c>
      <c r="E402" s="165"/>
      <c r="F402" s="166"/>
      <c r="G402" s="166"/>
      <c r="H402" s="166"/>
      <c r="I402" s="166"/>
      <c r="J402" s="166"/>
      <c r="K402" s="166"/>
      <c r="L402" s="166"/>
      <c r="M402" s="166"/>
      <c r="N402" s="166"/>
      <c r="O402" s="167"/>
      <c r="P402" s="167"/>
      <c r="Q402" s="168"/>
      <c r="R402" s="168"/>
      <c r="S402" s="168"/>
      <c r="T402" s="168"/>
      <c r="U402" s="168"/>
      <c r="Y402" s="38"/>
      <c r="Z402" s="38"/>
      <c r="AA402" s="38"/>
      <c r="AB402" s="38"/>
      <c r="AC402" s="38"/>
      <c r="AD402" s="38"/>
      <c r="AE402" s="38"/>
      <c r="AF402" s="38"/>
      <c r="AG402" s="38"/>
      <c r="AH402" s="38"/>
      <c r="AI402" s="38"/>
    </row>
    <row r="403" spans="1:56" ht="15" customHeight="1">
      <c r="C403" s="105">
        <f t="shared" ref="C403:C408" si="300">SUM(G403:S403)</f>
        <v>2514.7212323217545</v>
      </c>
      <c r="D403" s="169" t="s">
        <v>227</v>
      </c>
      <c r="E403" s="40" t="s">
        <v>112</v>
      </c>
      <c r="G403" s="11">
        <f t="shared" ref="G403:S403" si="301">G389+G350+G300</f>
        <v>-250</v>
      </c>
      <c r="H403" s="11">
        <f t="shared" si="301"/>
        <v>-510</v>
      </c>
      <c r="I403" s="11">
        <f t="shared" si="301"/>
        <v>83.127959999999973</v>
      </c>
      <c r="J403" s="11">
        <f t="shared" si="301"/>
        <v>235.85347800000005</v>
      </c>
      <c r="K403" s="11">
        <f t="shared" si="301"/>
        <v>754.18460747999984</v>
      </c>
      <c r="L403" s="11">
        <f t="shared" si="301"/>
        <v>612.10239729407988</v>
      </c>
      <c r="M403" s="11">
        <f t="shared" si="301"/>
        <v>427.75546567089316</v>
      </c>
      <c r="N403" s="11">
        <f t="shared" si="301"/>
        <v>362.36966900694154</v>
      </c>
      <c r="O403" s="11">
        <f t="shared" si="301"/>
        <v>294.67257310213631</v>
      </c>
      <c r="P403" s="11">
        <f t="shared" si="301"/>
        <v>238.54753145794183</v>
      </c>
      <c r="Q403" s="11">
        <f t="shared" si="301"/>
        <v>266.10755030976202</v>
      </c>
      <c r="R403" s="11">
        <f t="shared" si="301"/>
        <v>8.5265128291212035E-14</v>
      </c>
      <c r="S403" s="11">
        <f t="shared" si="301"/>
        <v>0</v>
      </c>
      <c r="Y403" s="38"/>
      <c r="Z403" s="38"/>
      <c r="AA403" s="38"/>
      <c r="AB403" s="38"/>
      <c r="AC403" s="38"/>
      <c r="AD403" s="38"/>
      <c r="AE403" s="38"/>
      <c r="AF403" s="38"/>
      <c r="AG403" s="38"/>
      <c r="AH403" s="38"/>
      <c r="AI403" s="38"/>
    </row>
    <row r="404" spans="1:56" ht="15" customHeight="1">
      <c r="C404" s="11">
        <f>SUM(G404:S404)</f>
        <v>75.685871683679949</v>
      </c>
      <c r="D404" s="213" t="s">
        <v>392</v>
      </c>
      <c r="E404" s="40" t="s">
        <v>112</v>
      </c>
      <c r="G404" s="11">
        <f>G281+G282</f>
        <v>0</v>
      </c>
      <c r="H404" s="11">
        <f t="shared" ref="H404:S404" si="302">H281+H282</f>
        <v>0</v>
      </c>
      <c r="I404" s="11">
        <f t="shared" si="302"/>
        <v>0</v>
      </c>
      <c r="J404" s="11">
        <f t="shared" si="302"/>
        <v>0</v>
      </c>
      <c r="K404" s="11">
        <f t="shared" si="302"/>
        <v>0</v>
      </c>
      <c r="L404" s="11">
        <f t="shared" si="302"/>
        <v>0</v>
      </c>
      <c r="M404" s="11">
        <f t="shared" si="302"/>
        <v>0</v>
      </c>
      <c r="N404" s="11">
        <f t="shared" si="302"/>
        <v>0</v>
      </c>
      <c r="O404" s="11">
        <f t="shared" si="302"/>
        <v>0</v>
      </c>
      <c r="P404" s="11">
        <f t="shared" si="302"/>
        <v>0</v>
      </c>
      <c r="Q404" s="11">
        <f t="shared" si="302"/>
        <v>75.685871683679949</v>
      </c>
      <c r="R404" s="11">
        <f t="shared" si="302"/>
        <v>0</v>
      </c>
      <c r="S404" s="11">
        <f t="shared" si="302"/>
        <v>0</v>
      </c>
      <c r="Y404" s="38"/>
      <c r="Z404" s="38"/>
      <c r="AA404" s="38"/>
      <c r="AB404" s="38"/>
      <c r="AC404" s="38"/>
      <c r="AD404" s="38"/>
      <c r="AE404" s="38"/>
      <c r="AF404" s="38"/>
      <c r="AG404" s="38"/>
      <c r="AH404" s="38"/>
      <c r="AI404" s="38"/>
    </row>
    <row r="405" spans="1:56" ht="15" customHeight="1">
      <c r="C405" s="105">
        <f t="shared" si="300"/>
        <v>0</v>
      </c>
      <c r="D405" s="84" t="s">
        <v>218</v>
      </c>
      <c r="E405" s="40" t="s">
        <v>112</v>
      </c>
      <c r="G405" s="11">
        <f t="shared" ref="G405:S405" si="303">G352</f>
        <v>0</v>
      </c>
      <c r="H405" s="11">
        <f t="shared" si="303"/>
        <v>0</v>
      </c>
      <c r="I405" s="11">
        <f t="shared" si="303"/>
        <v>0</v>
      </c>
      <c r="J405" s="11">
        <f t="shared" si="303"/>
        <v>0</v>
      </c>
      <c r="K405" s="11">
        <f t="shared" si="303"/>
        <v>0</v>
      </c>
      <c r="L405" s="11">
        <f t="shared" si="303"/>
        <v>0</v>
      </c>
      <c r="M405" s="11">
        <f t="shared" si="303"/>
        <v>68.341603263284142</v>
      </c>
      <c r="N405" s="11">
        <f t="shared" si="303"/>
        <v>56.229767255138519</v>
      </c>
      <c r="O405" s="11">
        <f t="shared" si="303"/>
        <v>46.90456688772111</v>
      </c>
      <c r="P405" s="11">
        <f t="shared" si="303"/>
        <v>40.179414773782042</v>
      </c>
      <c r="Q405" s="11">
        <f t="shared" si="303"/>
        <v>37.019509499004656</v>
      </c>
      <c r="R405" s="11">
        <f t="shared" si="303"/>
        <v>-248.67486167893048</v>
      </c>
      <c r="S405" s="11">
        <f t="shared" si="303"/>
        <v>0</v>
      </c>
      <c r="W405" s="27"/>
      <c r="X405" s="27"/>
      <c r="Y405" s="91"/>
      <c r="Z405" s="91"/>
      <c r="AA405" s="91"/>
      <c r="AB405" s="91"/>
      <c r="AC405" s="91"/>
      <c r="AD405" s="91"/>
      <c r="AE405" s="91"/>
      <c r="AF405" s="91"/>
      <c r="AG405" s="91"/>
      <c r="AH405" s="91"/>
      <c r="AI405" s="91"/>
      <c r="AJ405" s="27"/>
      <c r="AK405" s="27"/>
      <c r="AL405" s="27"/>
      <c r="AM405" s="27"/>
      <c r="AN405" s="27"/>
      <c r="AO405" s="27"/>
      <c r="AP405" s="27"/>
      <c r="AQ405" s="27"/>
      <c r="AR405" s="27"/>
      <c r="AS405" s="27"/>
      <c r="AT405" s="27"/>
      <c r="AU405" s="27"/>
      <c r="AV405" s="27"/>
      <c r="AW405" s="27"/>
      <c r="AX405" s="27"/>
      <c r="AY405" s="27"/>
      <c r="AZ405" s="27"/>
      <c r="BA405" s="27"/>
      <c r="BB405" s="27"/>
      <c r="BC405" s="27"/>
      <c r="BD405" s="27"/>
    </row>
    <row r="406" spans="1:56" ht="15" customHeight="1">
      <c r="C406" s="105">
        <f t="shared" si="300"/>
        <v>2439.0353606380745</v>
      </c>
      <c r="D406" s="84" t="s">
        <v>228</v>
      </c>
      <c r="E406" s="40" t="s">
        <v>112</v>
      </c>
      <c r="G406" s="11">
        <f>G403-G404+G405</f>
        <v>-250</v>
      </c>
      <c r="H406" s="11">
        <f t="shared" ref="H406:S406" si="304">H403-H404+H405</f>
        <v>-510</v>
      </c>
      <c r="I406" s="11">
        <f t="shared" si="304"/>
        <v>83.127959999999973</v>
      </c>
      <c r="J406" s="11">
        <f t="shared" si="304"/>
        <v>235.85347800000005</v>
      </c>
      <c r="K406" s="11">
        <f t="shared" si="304"/>
        <v>754.18460747999984</v>
      </c>
      <c r="L406" s="11">
        <f t="shared" si="304"/>
        <v>612.10239729407988</v>
      </c>
      <c r="M406" s="11">
        <f t="shared" si="304"/>
        <v>496.09706893417729</v>
      </c>
      <c r="N406" s="11">
        <f t="shared" si="304"/>
        <v>418.59943626208008</v>
      </c>
      <c r="O406" s="11">
        <f t="shared" si="304"/>
        <v>341.57713998985741</v>
      </c>
      <c r="P406" s="11">
        <f t="shared" si="304"/>
        <v>278.7269462317239</v>
      </c>
      <c r="Q406" s="11">
        <f t="shared" si="304"/>
        <v>227.44118812508674</v>
      </c>
      <c r="R406" s="11">
        <f t="shared" si="304"/>
        <v>-248.6748616789304</v>
      </c>
      <c r="S406" s="11">
        <f t="shared" si="304"/>
        <v>0</v>
      </c>
      <c r="W406" s="27"/>
      <c r="X406" s="27"/>
      <c r="Y406" s="91"/>
      <c r="Z406" s="91"/>
      <c r="AA406" s="91"/>
      <c r="AB406" s="91"/>
      <c r="AC406" s="91"/>
      <c r="AD406" s="91"/>
      <c r="AE406" s="91"/>
      <c r="AF406" s="91"/>
      <c r="AG406" s="91"/>
      <c r="AH406" s="91"/>
      <c r="AI406" s="91"/>
      <c r="AJ406" s="27"/>
      <c r="AK406" s="27"/>
      <c r="AL406" s="27"/>
      <c r="AM406" s="27"/>
      <c r="AN406" s="27"/>
      <c r="AO406" s="27"/>
      <c r="AP406" s="27"/>
      <c r="AQ406" s="27"/>
      <c r="AR406" s="27"/>
      <c r="AS406" s="27"/>
      <c r="AT406" s="27"/>
      <c r="AU406" s="27"/>
      <c r="AV406" s="27"/>
      <c r="AW406" s="27"/>
      <c r="AX406" s="27"/>
      <c r="AY406" s="27"/>
      <c r="AZ406" s="27"/>
      <c r="BA406" s="27"/>
      <c r="BB406" s="27"/>
      <c r="BC406" s="27"/>
      <c r="BD406" s="27"/>
    </row>
    <row r="407" spans="1:56" ht="15" customHeight="1">
      <c r="C407" s="105">
        <f t="shared" si="300"/>
        <v>2439.035360638075</v>
      </c>
      <c r="D407" s="84" t="s">
        <v>229</v>
      </c>
      <c r="E407" s="40" t="s">
        <v>112</v>
      </c>
      <c r="G407" s="11">
        <f t="shared" ref="G407:S407" si="305">G111</f>
        <v>-250</v>
      </c>
      <c r="H407" s="11">
        <f t="shared" si="305"/>
        <v>-510</v>
      </c>
      <c r="I407" s="11">
        <f t="shared" si="305"/>
        <v>83.127960000000002</v>
      </c>
      <c r="J407" s="11">
        <f t="shared" si="305"/>
        <v>235.85347800000005</v>
      </c>
      <c r="K407" s="11">
        <f t="shared" si="305"/>
        <v>754.18460747999995</v>
      </c>
      <c r="L407" s="11">
        <f t="shared" si="305"/>
        <v>612.10239729407999</v>
      </c>
      <c r="M407" s="11">
        <f t="shared" si="305"/>
        <v>496.09706893417729</v>
      </c>
      <c r="N407" s="11">
        <f t="shared" si="305"/>
        <v>418.59943626208013</v>
      </c>
      <c r="O407" s="11">
        <f t="shared" si="305"/>
        <v>341.57713998985736</v>
      </c>
      <c r="P407" s="11">
        <f t="shared" si="305"/>
        <v>278.72694623172384</v>
      </c>
      <c r="Q407" s="11">
        <f t="shared" si="305"/>
        <v>227.44118812508668</v>
      </c>
      <c r="R407" s="11">
        <f t="shared" si="305"/>
        <v>-248.6748616789304</v>
      </c>
      <c r="S407" s="11">
        <f t="shared" si="305"/>
        <v>0</v>
      </c>
      <c r="W407" s="121"/>
      <c r="X407" s="121"/>
      <c r="Y407" s="11"/>
      <c r="Z407" s="11"/>
      <c r="AA407" s="11"/>
      <c r="AB407" s="11"/>
      <c r="AC407" s="11"/>
      <c r="AD407" s="11"/>
      <c r="AE407" s="11"/>
      <c r="AF407" s="11"/>
      <c r="AG407" s="11"/>
      <c r="AH407" s="11"/>
      <c r="AI407" s="11"/>
      <c r="AJ407" s="121"/>
      <c r="AK407" s="121"/>
      <c r="AL407" s="121"/>
      <c r="AM407" s="121"/>
      <c r="AN407" s="121"/>
      <c r="AO407" s="121"/>
      <c r="AP407" s="121"/>
      <c r="AQ407" s="121"/>
      <c r="AR407" s="121"/>
      <c r="AS407" s="27"/>
      <c r="AT407" s="27"/>
      <c r="AU407" s="27"/>
      <c r="AV407" s="27"/>
      <c r="AW407" s="27"/>
      <c r="AX407" s="27"/>
      <c r="AY407" s="27"/>
      <c r="AZ407" s="27"/>
      <c r="BA407" s="27"/>
      <c r="BB407" s="27"/>
      <c r="BC407" s="27"/>
      <c r="BD407" s="27"/>
    </row>
    <row r="408" spans="1:56" ht="15" customHeight="1">
      <c r="A408" s="107" t="b">
        <f>ROUND(C408,5)=0</f>
        <v>1</v>
      </c>
      <c r="C408" s="105">
        <f t="shared" si="300"/>
        <v>0</v>
      </c>
      <c r="D408" s="84" t="s">
        <v>173</v>
      </c>
      <c r="G408" s="11">
        <f t="shared" ref="G408:S408" si="306">G406-G407</f>
        <v>0</v>
      </c>
      <c r="H408" s="11">
        <f t="shared" si="306"/>
        <v>0</v>
      </c>
      <c r="I408" s="11">
        <f t="shared" si="306"/>
        <v>0</v>
      </c>
      <c r="J408" s="11">
        <f t="shared" si="306"/>
        <v>0</v>
      </c>
      <c r="K408" s="11">
        <f t="shared" si="306"/>
        <v>0</v>
      </c>
      <c r="L408" s="11">
        <f t="shared" si="306"/>
        <v>0</v>
      </c>
      <c r="M408" s="11">
        <f t="shared" si="306"/>
        <v>0</v>
      </c>
      <c r="N408" s="11">
        <f t="shared" si="306"/>
        <v>0</v>
      </c>
      <c r="O408" s="11">
        <f t="shared" si="306"/>
        <v>0</v>
      </c>
      <c r="P408" s="11">
        <f t="shared" si="306"/>
        <v>0</v>
      </c>
      <c r="Q408" s="11">
        <f t="shared" si="306"/>
        <v>0</v>
      </c>
      <c r="R408" s="11">
        <f t="shared" si="306"/>
        <v>0</v>
      </c>
      <c r="S408" s="11">
        <f t="shared" si="306"/>
        <v>0</v>
      </c>
      <c r="W408" s="121"/>
      <c r="X408" s="121"/>
      <c r="Y408" s="11"/>
      <c r="Z408" s="11"/>
      <c r="AA408" s="11"/>
      <c r="AB408" s="11"/>
      <c r="AC408" s="11"/>
      <c r="AD408" s="11"/>
      <c r="AE408" s="11"/>
      <c r="AF408" s="11"/>
      <c r="AG408" s="11"/>
      <c r="AH408" s="11"/>
      <c r="AI408" s="11"/>
      <c r="AJ408" s="121"/>
      <c r="AK408" s="121"/>
      <c r="AL408" s="121"/>
      <c r="AM408" s="121"/>
      <c r="AN408" s="121"/>
      <c r="AO408" s="121"/>
      <c r="AP408" s="121"/>
      <c r="AQ408" s="121"/>
      <c r="AR408" s="121"/>
      <c r="AS408" s="27"/>
      <c r="AT408" s="27"/>
      <c r="AU408" s="27"/>
      <c r="AV408" s="27"/>
      <c r="AW408" s="27"/>
      <c r="AX408" s="27"/>
      <c r="AY408" s="27"/>
      <c r="AZ408" s="27"/>
      <c r="BA408" s="27"/>
      <c r="BB408" s="27"/>
      <c r="BC408" s="27"/>
      <c r="BD408" s="27"/>
    </row>
    <row r="409" spans="1:56" ht="15" customHeight="1">
      <c r="D409" s="84"/>
      <c r="H409" s="15"/>
      <c r="W409" s="121"/>
      <c r="X409" s="121"/>
      <c r="Y409" s="11"/>
      <c r="Z409" s="11"/>
      <c r="AA409" s="11"/>
      <c r="AB409" s="11"/>
      <c r="AC409" s="11"/>
      <c r="AD409" s="11"/>
      <c r="AE409" s="11"/>
      <c r="AF409" s="11"/>
      <c r="AG409" s="11"/>
      <c r="AH409" s="11"/>
      <c r="AI409" s="11"/>
      <c r="AJ409" s="121"/>
      <c r="AK409" s="121"/>
      <c r="AL409" s="121"/>
      <c r="AM409" s="121"/>
      <c r="AN409" s="121"/>
      <c r="AO409" s="121"/>
      <c r="AP409" s="121"/>
      <c r="AQ409" s="121"/>
      <c r="AR409" s="121"/>
      <c r="AS409" s="27"/>
      <c r="AT409" s="27"/>
      <c r="AU409" s="27"/>
      <c r="AV409" s="27"/>
      <c r="AW409" s="27"/>
      <c r="AX409" s="27"/>
      <c r="AY409" s="27"/>
      <c r="AZ409" s="27"/>
      <c r="BA409" s="27"/>
      <c r="BB409" s="27"/>
      <c r="BC409" s="27"/>
      <c r="BD409" s="27"/>
    </row>
    <row r="410" spans="1:56" ht="15" customHeight="1">
      <c r="D410" s="156" t="s">
        <v>230</v>
      </c>
      <c r="H410" s="15"/>
      <c r="W410" s="121"/>
      <c r="X410" s="121"/>
      <c r="Y410" s="11"/>
      <c r="Z410" s="11"/>
      <c r="AA410" s="11"/>
      <c r="AB410" s="11"/>
      <c r="AC410" s="11"/>
      <c r="AD410" s="11"/>
      <c r="AE410" s="11"/>
      <c r="AF410" s="11"/>
      <c r="AG410" s="11"/>
      <c r="AH410" s="11"/>
      <c r="AI410" s="11"/>
      <c r="AJ410" s="121"/>
      <c r="AK410" s="121"/>
      <c r="AL410" s="121"/>
      <c r="AM410" s="121"/>
      <c r="AN410" s="121"/>
      <c r="AO410" s="121"/>
      <c r="AP410" s="121"/>
      <c r="AQ410" s="121"/>
      <c r="AR410" s="121"/>
      <c r="AS410" s="27"/>
      <c r="AT410" s="27"/>
      <c r="AU410" s="27"/>
      <c r="AV410" s="27"/>
      <c r="AW410" s="27"/>
      <c r="AX410" s="27"/>
      <c r="AY410" s="27"/>
      <c r="AZ410" s="27"/>
      <c r="BA410" s="27"/>
      <c r="BB410" s="27"/>
      <c r="BC410" s="27"/>
      <c r="BD410" s="27"/>
    </row>
    <row r="411" spans="1:56" ht="15" customHeight="1">
      <c r="C411" s="105">
        <f t="shared" ref="C411:C416" si="307">SUM(G411:S411)</f>
        <v>2168.0061992498281</v>
      </c>
      <c r="D411" s="169" t="s">
        <v>227</v>
      </c>
      <c r="E411" s="40" t="s">
        <v>12</v>
      </c>
      <c r="G411" s="11">
        <f>G403/G$355</f>
        <v>-250</v>
      </c>
      <c r="H411" s="11">
        <f t="shared" ref="H411:S411" si="308">H403/H$355</f>
        <v>-500</v>
      </c>
      <c r="I411" s="11">
        <f t="shared" si="308"/>
        <v>79.899999999999977</v>
      </c>
      <c r="J411" s="11">
        <f t="shared" si="308"/>
        <v>222.25000000000006</v>
      </c>
      <c r="K411" s="11">
        <f t="shared" si="308"/>
        <v>696.74999999999989</v>
      </c>
      <c r="L411" s="11">
        <f t="shared" si="308"/>
        <v>554.39999999999986</v>
      </c>
      <c r="M411" s="11">
        <f t="shared" si="308"/>
        <v>379.8346120894812</v>
      </c>
      <c r="N411" s="11">
        <f t="shared" si="308"/>
        <v>315.46460377494788</v>
      </c>
      <c r="O411" s="11">
        <f t="shared" si="308"/>
        <v>251.50020379648763</v>
      </c>
      <c r="P411" s="11">
        <f t="shared" si="308"/>
        <v>199.60590310835647</v>
      </c>
      <c r="Q411" s="11">
        <f t="shared" si="308"/>
        <v>218.30087648055562</v>
      </c>
      <c r="R411" s="11">
        <f t="shared" si="308"/>
        <v>6.8575591208169426E-14</v>
      </c>
      <c r="S411" s="11">
        <f t="shared" si="308"/>
        <v>0</v>
      </c>
      <c r="Y411" s="38"/>
      <c r="Z411" s="38"/>
      <c r="AA411" s="38"/>
      <c r="AB411" s="38"/>
      <c r="AC411" s="38"/>
      <c r="AD411" s="38"/>
      <c r="AE411" s="38"/>
      <c r="AF411" s="38"/>
      <c r="AG411" s="38"/>
      <c r="AH411" s="38"/>
      <c r="AI411" s="38"/>
    </row>
    <row r="412" spans="1:56" ht="15" customHeight="1">
      <c r="C412" s="11">
        <f t="shared" si="307"/>
        <v>62.088776160276005</v>
      </c>
      <c r="D412" s="213" t="s">
        <v>392</v>
      </c>
      <c r="E412" s="40" t="s">
        <v>12</v>
      </c>
      <c r="G412" s="11">
        <f t="shared" ref="G412:S413" si="309">G404/G$355</f>
        <v>0</v>
      </c>
      <c r="H412" s="11">
        <f t="shared" si="309"/>
        <v>0</v>
      </c>
      <c r="I412" s="11">
        <f t="shared" si="309"/>
        <v>0</v>
      </c>
      <c r="J412" s="11">
        <f t="shared" si="309"/>
        <v>0</v>
      </c>
      <c r="K412" s="11">
        <f t="shared" si="309"/>
        <v>0</v>
      </c>
      <c r="L412" s="11">
        <f t="shared" si="309"/>
        <v>0</v>
      </c>
      <c r="M412" s="11">
        <f t="shared" si="309"/>
        <v>0</v>
      </c>
      <c r="N412" s="11">
        <f t="shared" si="309"/>
        <v>0</v>
      </c>
      <c r="O412" s="11">
        <f t="shared" si="309"/>
        <v>0</v>
      </c>
      <c r="P412" s="11">
        <f t="shared" si="309"/>
        <v>0</v>
      </c>
      <c r="Q412" s="11">
        <f t="shared" si="309"/>
        <v>62.088776160276005</v>
      </c>
      <c r="R412" s="11">
        <f t="shared" si="309"/>
        <v>0</v>
      </c>
      <c r="S412" s="11">
        <f t="shared" si="309"/>
        <v>0</v>
      </c>
      <c r="Y412" s="38"/>
      <c r="Z412" s="38"/>
      <c r="AA412" s="38"/>
      <c r="AB412" s="38"/>
      <c r="AC412" s="38"/>
      <c r="AD412" s="38"/>
      <c r="AE412" s="38"/>
      <c r="AF412" s="38"/>
      <c r="AG412" s="38"/>
      <c r="AH412" s="38"/>
      <c r="AI412" s="38"/>
    </row>
    <row r="413" spans="1:56" ht="15" customHeight="1">
      <c r="C413" s="105">
        <f t="shared" si="307"/>
        <v>13.658608910447896</v>
      </c>
      <c r="D413" s="84" t="s">
        <v>218</v>
      </c>
      <c r="E413" s="40" t="s">
        <v>12</v>
      </c>
      <c r="G413" s="11">
        <f t="shared" si="309"/>
        <v>0</v>
      </c>
      <c r="H413" s="11">
        <f t="shared" si="309"/>
        <v>0</v>
      </c>
      <c r="I413" s="11">
        <f t="shared" si="309"/>
        <v>0</v>
      </c>
      <c r="J413" s="11">
        <f t="shared" si="309"/>
        <v>0</v>
      </c>
      <c r="K413" s="11">
        <f t="shared" si="309"/>
        <v>0</v>
      </c>
      <c r="L413" s="11">
        <f t="shared" si="309"/>
        <v>0</v>
      </c>
      <c r="M413" s="11">
        <f t="shared" si="309"/>
        <v>60.685387910518791</v>
      </c>
      <c r="N413" s="11">
        <f t="shared" si="309"/>
        <v>48.9513962250522</v>
      </c>
      <c r="O413" s="11">
        <f t="shared" si="309"/>
        <v>40.032596203512512</v>
      </c>
      <c r="P413" s="11">
        <f t="shared" si="309"/>
        <v>33.620336891643817</v>
      </c>
      <c r="Q413" s="11">
        <f t="shared" si="309"/>
        <v>30.36889167972063</v>
      </c>
      <c r="R413" s="11">
        <f t="shared" si="309"/>
        <v>-200.00000000000006</v>
      </c>
      <c r="S413" s="11">
        <f t="shared" si="309"/>
        <v>0</v>
      </c>
      <c r="W413" s="27"/>
      <c r="X413" s="27"/>
      <c r="Y413" s="91"/>
      <c r="Z413" s="91"/>
      <c r="AA413" s="91"/>
      <c r="AB413" s="91"/>
      <c r="AC413" s="91"/>
      <c r="AD413" s="91"/>
      <c r="AE413" s="91"/>
      <c r="AF413" s="91"/>
      <c r="AG413" s="91"/>
      <c r="AH413" s="91"/>
      <c r="AI413" s="91"/>
      <c r="AJ413" s="27"/>
      <c r="AK413" s="27"/>
      <c r="AL413" s="27"/>
      <c r="AM413" s="27"/>
      <c r="AN413" s="27"/>
      <c r="AO413" s="27"/>
      <c r="AP413" s="27"/>
      <c r="AQ413" s="27"/>
      <c r="AR413" s="27"/>
      <c r="AS413" s="27"/>
      <c r="AT413" s="27"/>
      <c r="AU413" s="27"/>
      <c r="AV413" s="27"/>
      <c r="AW413" s="27"/>
      <c r="AX413" s="27"/>
      <c r="AY413" s="27"/>
      <c r="AZ413" s="27"/>
      <c r="BA413" s="27"/>
      <c r="BB413" s="27"/>
      <c r="BC413" s="27"/>
      <c r="BD413" s="27"/>
    </row>
    <row r="414" spans="1:56" ht="15" customHeight="1">
      <c r="C414" s="105">
        <f t="shared" si="307"/>
        <v>2119.5760320000004</v>
      </c>
      <c r="D414" s="84" t="s">
        <v>228</v>
      </c>
      <c r="E414" s="40" t="s">
        <v>12</v>
      </c>
      <c r="G414" s="11">
        <f>G411-G412+G413</f>
        <v>-250</v>
      </c>
      <c r="H414" s="11">
        <f t="shared" ref="H414" si="310">H411-H412+H413</f>
        <v>-500</v>
      </c>
      <c r="I414" s="11">
        <f t="shared" ref="I414" si="311">I411-I412+I413</f>
        <v>79.899999999999977</v>
      </c>
      <c r="J414" s="11">
        <f t="shared" ref="J414" si="312">J411-J412+J413</f>
        <v>222.25000000000006</v>
      </c>
      <c r="K414" s="11">
        <f t="shared" ref="K414" si="313">K411-K412+K413</f>
        <v>696.74999999999989</v>
      </c>
      <c r="L414" s="11">
        <f t="shared" ref="L414" si="314">L411-L412+L413</f>
        <v>554.39999999999986</v>
      </c>
      <c r="M414" s="11">
        <f t="shared" ref="M414" si="315">M411-M412+M413</f>
        <v>440.52</v>
      </c>
      <c r="N414" s="11">
        <f t="shared" ref="N414" si="316">N411-N412+N413</f>
        <v>364.41600000000005</v>
      </c>
      <c r="O414" s="11">
        <f t="shared" ref="O414" si="317">O411-O412+O413</f>
        <v>291.53280000000012</v>
      </c>
      <c r="P414" s="11">
        <f t="shared" ref="P414" si="318">P411-P412+P413</f>
        <v>233.2262400000003</v>
      </c>
      <c r="Q414" s="11">
        <f t="shared" ref="Q414" si="319">Q411-Q412+Q413</f>
        <v>186.58099200000024</v>
      </c>
      <c r="R414" s="11">
        <f t="shared" ref="R414" si="320">R411-R412+R413</f>
        <v>-200</v>
      </c>
      <c r="S414" s="11">
        <f t="shared" ref="S414" si="321">S411-S412+S413</f>
        <v>0</v>
      </c>
      <c r="W414" s="27"/>
      <c r="X414" s="27"/>
      <c r="Y414" s="91"/>
      <c r="Z414" s="91"/>
      <c r="AA414" s="91"/>
      <c r="AB414" s="91"/>
      <c r="AC414" s="91"/>
      <c r="AD414" s="91"/>
      <c r="AE414" s="91"/>
      <c r="AF414" s="91"/>
      <c r="AG414" s="91"/>
      <c r="AH414" s="91"/>
      <c r="AI414" s="91"/>
      <c r="AJ414" s="27"/>
      <c r="AK414" s="27"/>
      <c r="AL414" s="27"/>
      <c r="AM414" s="27"/>
      <c r="AN414" s="27"/>
      <c r="AO414" s="27"/>
      <c r="AP414" s="27"/>
      <c r="AQ414" s="27"/>
      <c r="AR414" s="27"/>
      <c r="AS414" s="27"/>
      <c r="AT414" s="27"/>
      <c r="AU414" s="27"/>
      <c r="AV414" s="27"/>
      <c r="AW414" s="27"/>
      <c r="AX414" s="27"/>
      <c r="AY414" s="27"/>
      <c r="AZ414" s="27"/>
      <c r="BA414" s="27"/>
      <c r="BB414" s="27"/>
      <c r="BC414" s="27"/>
      <c r="BD414" s="27"/>
    </row>
    <row r="415" spans="1:56" ht="15" customHeight="1">
      <c r="C415" s="105">
        <f t="shared" si="307"/>
        <v>2119.5760320000009</v>
      </c>
      <c r="D415" s="84" t="s">
        <v>229</v>
      </c>
      <c r="E415" s="40" t="s">
        <v>12</v>
      </c>
      <c r="G415" s="11">
        <f>G82</f>
        <v>-250</v>
      </c>
      <c r="H415" s="11">
        <f t="shared" ref="H415:S415" si="322">H82</f>
        <v>-500</v>
      </c>
      <c r="I415" s="11">
        <f t="shared" si="322"/>
        <v>79.900000000000006</v>
      </c>
      <c r="J415" s="11">
        <f t="shared" si="322"/>
        <v>222.25</v>
      </c>
      <c r="K415" s="11">
        <f t="shared" si="322"/>
        <v>696.75</v>
      </c>
      <c r="L415" s="11">
        <f t="shared" si="322"/>
        <v>554.40000000000009</v>
      </c>
      <c r="M415" s="11">
        <f t="shared" si="322"/>
        <v>440.52</v>
      </c>
      <c r="N415" s="11">
        <f t="shared" si="322"/>
        <v>364.41600000000017</v>
      </c>
      <c r="O415" s="11">
        <f t="shared" si="322"/>
        <v>291.53280000000007</v>
      </c>
      <c r="P415" s="11">
        <f t="shared" si="322"/>
        <v>233.2262400000003</v>
      </c>
      <c r="Q415" s="11">
        <f t="shared" si="322"/>
        <v>186.58099200000024</v>
      </c>
      <c r="R415" s="11">
        <f t="shared" si="322"/>
        <v>-200</v>
      </c>
      <c r="S415" s="11">
        <f t="shared" si="322"/>
        <v>0</v>
      </c>
      <c r="W415" s="121"/>
      <c r="X415" s="121"/>
      <c r="Y415" s="11"/>
      <c r="Z415" s="11"/>
      <c r="AA415" s="11"/>
      <c r="AB415" s="11"/>
      <c r="AC415" s="11"/>
      <c r="AD415" s="11"/>
      <c r="AE415" s="11"/>
      <c r="AF415" s="11"/>
      <c r="AG415" s="11"/>
      <c r="AH415" s="11"/>
      <c r="AI415" s="11"/>
      <c r="AJ415" s="121"/>
      <c r="AK415" s="121"/>
      <c r="AL415" s="121"/>
      <c r="AM415" s="121"/>
      <c r="AN415" s="121"/>
      <c r="AO415" s="121"/>
      <c r="AP415" s="121"/>
      <c r="AQ415" s="121"/>
      <c r="AR415" s="121"/>
      <c r="AS415" s="27"/>
      <c r="AT415" s="27"/>
      <c r="AU415" s="27"/>
      <c r="AV415" s="27"/>
      <c r="AW415" s="27"/>
      <c r="AX415" s="27"/>
      <c r="AY415" s="27"/>
      <c r="AZ415" s="27"/>
      <c r="BA415" s="27"/>
      <c r="BB415" s="27"/>
      <c r="BC415" s="27"/>
      <c r="BD415" s="27"/>
    </row>
    <row r="416" spans="1:56" ht="15" customHeight="1">
      <c r="A416" s="107" t="b">
        <f>ROUND(C416,5)=0</f>
        <v>1</v>
      </c>
      <c r="C416" s="105">
        <f t="shared" si="307"/>
        <v>0</v>
      </c>
      <c r="D416" s="84" t="s">
        <v>173</v>
      </c>
      <c r="G416" s="11">
        <f>G414-G415</f>
        <v>0</v>
      </c>
      <c r="H416" s="11">
        <f>H414-H415</f>
        <v>0</v>
      </c>
      <c r="I416" s="11">
        <f t="shared" ref="I416:S416" si="323">I414-I415</f>
        <v>0</v>
      </c>
      <c r="J416" s="11">
        <f t="shared" si="323"/>
        <v>0</v>
      </c>
      <c r="K416" s="11">
        <f t="shared" si="323"/>
        <v>0</v>
      </c>
      <c r="L416" s="11">
        <f t="shared" si="323"/>
        <v>0</v>
      </c>
      <c r="M416" s="11">
        <f>M414-M415</f>
        <v>0</v>
      </c>
      <c r="N416" s="11">
        <f t="shared" si="323"/>
        <v>0</v>
      </c>
      <c r="O416" s="11">
        <f t="shared" si="323"/>
        <v>0</v>
      </c>
      <c r="P416" s="11">
        <f t="shared" si="323"/>
        <v>0</v>
      </c>
      <c r="Q416" s="11">
        <f t="shared" si="323"/>
        <v>0</v>
      </c>
      <c r="R416" s="11">
        <f t="shared" si="323"/>
        <v>0</v>
      </c>
      <c r="S416" s="11">
        <f t="shared" si="323"/>
        <v>0</v>
      </c>
      <c r="W416" s="121"/>
      <c r="X416" s="121"/>
      <c r="Y416" s="11"/>
      <c r="Z416" s="11"/>
      <c r="AA416" s="11"/>
      <c r="AB416" s="11"/>
      <c r="AC416" s="11"/>
      <c r="AD416" s="11"/>
      <c r="AE416" s="11"/>
      <c r="AF416" s="11"/>
      <c r="AG416" s="11"/>
      <c r="AH416" s="11"/>
      <c r="AI416" s="11"/>
      <c r="AJ416" s="121"/>
      <c r="AK416" s="121"/>
      <c r="AL416" s="121"/>
      <c r="AM416" s="121"/>
      <c r="AN416" s="121"/>
      <c r="AO416" s="121"/>
      <c r="AP416" s="121"/>
      <c r="AQ416" s="121"/>
      <c r="AR416" s="121"/>
      <c r="AS416" s="27"/>
      <c r="AT416" s="27"/>
      <c r="AU416" s="27"/>
      <c r="AV416" s="27"/>
      <c r="AW416" s="27"/>
      <c r="AX416" s="27"/>
      <c r="AY416" s="27"/>
      <c r="AZ416" s="27"/>
      <c r="BA416" s="27"/>
      <c r="BB416" s="27"/>
      <c r="BC416" s="27"/>
      <c r="BD416" s="27"/>
    </row>
    <row r="417" spans="1:56" ht="15" customHeight="1">
      <c r="D417" s="84"/>
      <c r="H417" s="15"/>
      <c r="W417" s="121"/>
      <c r="X417" s="121"/>
      <c r="Y417" s="11"/>
      <c r="Z417" s="11"/>
      <c r="AA417" s="11"/>
      <c r="AB417" s="11"/>
      <c r="AC417" s="11"/>
      <c r="AD417" s="11"/>
      <c r="AE417" s="11"/>
      <c r="AF417" s="11"/>
      <c r="AG417" s="11"/>
      <c r="AH417" s="11"/>
      <c r="AI417" s="11"/>
      <c r="AJ417" s="121"/>
      <c r="AK417" s="121"/>
      <c r="AL417" s="121"/>
      <c r="AM417" s="121"/>
      <c r="AN417" s="121"/>
      <c r="AO417" s="121"/>
      <c r="AP417" s="121"/>
      <c r="AQ417" s="121"/>
      <c r="AR417" s="121"/>
      <c r="AS417" s="27"/>
      <c r="AT417" s="27"/>
      <c r="AU417" s="27"/>
      <c r="AV417" s="27"/>
      <c r="AW417" s="27"/>
      <c r="AX417" s="27"/>
      <c r="AY417" s="27"/>
      <c r="AZ417" s="27"/>
      <c r="BA417" s="27"/>
      <c r="BB417" s="27"/>
      <c r="BC417" s="27"/>
      <c r="BD417" s="27"/>
    </row>
    <row r="418" spans="1:56" ht="15" customHeight="1">
      <c r="C418" s="22"/>
      <c r="D418" s="157" t="s">
        <v>231</v>
      </c>
      <c r="E418" s="20"/>
      <c r="F418" s="22"/>
      <c r="G418" s="22"/>
      <c r="H418" s="22"/>
      <c r="I418" s="22"/>
      <c r="J418" s="22"/>
      <c r="K418" s="22"/>
      <c r="L418" s="22"/>
      <c r="M418" s="22"/>
      <c r="N418" s="22"/>
      <c r="O418" s="22"/>
      <c r="P418" s="22"/>
      <c r="Q418" s="22"/>
      <c r="R418" s="22"/>
      <c r="S418" s="22"/>
      <c r="T418" s="22"/>
      <c r="U418" s="22"/>
      <c r="W418" s="121"/>
      <c r="X418" s="121"/>
      <c r="Y418" s="11"/>
      <c r="Z418" s="11"/>
      <c r="AA418" s="11"/>
      <c r="AB418" s="11"/>
      <c r="AC418" s="11"/>
      <c r="AD418" s="11"/>
      <c r="AE418" s="11"/>
      <c r="AF418" s="11"/>
      <c r="AG418" s="11"/>
      <c r="AH418" s="11"/>
      <c r="AI418" s="11"/>
      <c r="AJ418" s="121"/>
      <c r="AK418" s="121"/>
      <c r="AL418" s="121"/>
      <c r="AM418" s="121"/>
      <c r="AN418" s="121"/>
      <c r="AO418" s="121"/>
      <c r="AP418" s="121"/>
      <c r="AQ418" s="121"/>
      <c r="AR418" s="121"/>
      <c r="AS418" s="27"/>
      <c r="AT418" s="27"/>
      <c r="AU418" s="27"/>
      <c r="AV418" s="27"/>
      <c r="AW418" s="27"/>
      <c r="AX418" s="27"/>
      <c r="AY418" s="27"/>
      <c r="AZ418" s="27"/>
      <c r="BA418" s="27"/>
      <c r="BB418" s="27"/>
      <c r="BC418" s="27"/>
      <c r="BD418" s="27"/>
    </row>
    <row r="419" spans="1:56" ht="15" customHeight="1">
      <c r="C419" s="105">
        <f t="shared" ref="C419:C423" si="324">SUM(G419:S419)</f>
        <v>2439.035360638075</v>
      </c>
      <c r="D419" s="84" t="s">
        <v>11</v>
      </c>
      <c r="E419" s="40" t="s">
        <v>112</v>
      </c>
      <c r="G419" s="11">
        <f>G111</f>
        <v>-250</v>
      </c>
      <c r="H419" s="11">
        <f t="shared" ref="H419:S419" si="325">H111</f>
        <v>-510</v>
      </c>
      <c r="I419" s="11">
        <f t="shared" si="325"/>
        <v>83.127960000000002</v>
      </c>
      <c r="J419" s="11">
        <f t="shared" si="325"/>
        <v>235.85347800000005</v>
      </c>
      <c r="K419" s="11">
        <f t="shared" si="325"/>
        <v>754.18460747999995</v>
      </c>
      <c r="L419" s="11">
        <f t="shared" si="325"/>
        <v>612.10239729407999</v>
      </c>
      <c r="M419" s="11">
        <f t="shared" si="325"/>
        <v>496.09706893417729</v>
      </c>
      <c r="N419" s="11">
        <f t="shared" si="325"/>
        <v>418.59943626208013</v>
      </c>
      <c r="O419" s="11">
        <f t="shared" si="325"/>
        <v>341.57713998985736</v>
      </c>
      <c r="P419" s="11">
        <f t="shared" si="325"/>
        <v>278.72694623172384</v>
      </c>
      <c r="Q419" s="11">
        <f t="shared" si="325"/>
        <v>227.44118812508668</v>
      </c>
      <c r="R419" s="11">
        <f t="shared" si="325"/>
        <v>-248.6748616789304</v>
      </c>
      <c r="S419" s="11">
        <f t="shared" si="325"/>
        <v>0</v>
      </c>
      <c r="W419" s="121"/>
      <c r="X419" s="121"/>
      <c r="Y419" s="11"/>
      <c r="Z419" s="11"/>
      <c r="AA419" s="11"/>
      <c r="AB419" s="11"/>
      <c r="AC419" s="11"/>
      <c r="AD419" s="11"/>
      <c r="AE419" s="11"/>
      <c r="AF419" s="11"/>
      <c r="AG419" s="11"/>
      <c r="AH419" s="11"/>
      <c r="AI419" s="11"/>
      <c r="AJ419" s="121"/>
      <c r="AK419" s="121"/>
      <c r="AL419" s="121"/>
      <c r="AM419" s="121"/>
      <c r="AN419" s="121"/>
      <c r="AO419" s="121"/>
      <c r="AP419" s="121"/>
      <c r="AQ419" s="121"/>
      <c r="AR419" s="121"/>
      <c r="AS419" s="27"/>
      <c r="AT419" s="27"/>
      <c r="AU419" s="27"/>
      <c r="AV419" s="27"/>
      <c r="AW419" s="27"/>
      <c r="AX419" s="27"/>
      <c r="AY419" s="27"/>
      <c r="AZ419" s="27"/>
      <c r="BA419" s="27"/>
      <c r="BB419" s="27"/>
      <c r="BC419" s="27"/>
      <c r="BD419" s="27"/>
    </row>
    <row r="420" spans="1:56" ht="15" customHeight="1">
      <c r="C420" s="105">
        <f t="shared" si="324"/>
        <v>1692.2371321996309</v>
      </c>
      <c r="D420" s="84" t="s">
        <v>223</v>
      </c>
      <c r="E420" s="40" t="s">
        <v>112</v>
      </c>
      <c r="G420" s="11">
        <f>G389</f>
        <v>0</v>
      </c>
      <c r="H420" s="11">
        <f t="shared" ref="H420:S420" si="326">H389</f>
        <v>-51</v>
      </c>
      <c r="I420" s="11">
        <f t="shared" si="326"/>
        <v>68.624154719999993</v>
      </c>
      <c r="J420" s="11">
        <f t="shared" si="326"/>
        <v>66.533709009600003</v>
      </c>
      <c r="K420" s="11">
        <f t="shared" si="326"/>
        <v>339.96540082602428</v>
      </c>
      <c r="L420" s="11">
        <f t="shared" si="326"/>
        <v>368.22272016915758</v>
      </c>
      <c r="M420" s="11">
        <f t="shared" si="326"/>
        <v>236.75489975425018</v>
      </c>
      <c r="N420" s="11">
        <f t="shared" si="326"/>
        <v>219.73602714683992</v>
      </c>
      <c r="O420" s="11">
        <f t="shared" si="326"/>
        <v>171.33276057122359</v>
      </c>
      <c r="P420" s="11">
        <f t="shared" si="326"/>
        <v>134.88671383603617</v>
      </c>
      <c r="Q420" s="11">
        <f t="shared" si="326"/>
        <v>137.18074616649918</v>
      </c>
      <c r="R420" s="11">
        <f t="shared" si="326"/>
        <v>5.1654888699737006E-14</v>
      </c>
      <c r="S420" s="11">
        <f t="shared" si="326"/>
        <v>0</v>
      </c>
      <c r="W420" s="121"/>
      <c r="X420" s="121"/>
      <c r="Y420" s="11"/>
      <c r="Z420" s="11"/>
      <c r="AA420" s="11"/>
      <c r="AB420" s="11"/>
      <c r="AC420" s="11"/>
      <c r="AD420" s="11"/>
      <c r="AE420" s="11"/>
      <c r="AF420" s="11"/>
      <c r="AG420" s="11"/>
      <c r="AH420" s="11"/>
      <c r="AI420" s="11"/>
      <c r="AJ420" s="121"/>
      <c r="AK420" s="121"/>
      <c r="AL420" s="121"/>
      <c r="AM420" s="121"/>
      <c r="AN420" s="121"/>
      <c r="AO420" s="121"/>
      <c r="AP420" s="121"/>
      <c r="AQ420" s="121"/>
      <c r="AR420" s="121"/>
      <c r="AS420" s="27"/>
      <c r="AT420" s="27"/>
      <c r="AU420" s="27"/>
      <c r="AV420" s="27"/>
      <c r="AW420" s="27"/>
      <c r="AX420" s="27"/>
      <c r="AY420" s="27"/>
      <c r="AZ420" s="27"/>
      <c r="BA420" s="27"/>
      <c r="BB420" s="27"/>
      <c r="BC420" s="27"/>
      <c r="BD420" s="27"/>
    </row>
    <row r="421" spans="1:56" ht="15" customHeight="1">
      <c r="A421" s="107" t="b">
        <f>ROUND(C419+C404-(C420+C421+C422+C352),5)=0</f>
        <v>1</v>
      </c>
      <c r="C421" s="105">
        <f t="shared" si="324"/>
        <v>750.92404413215627</v>
      </c>
      <c r="D421" s="84" t="s">
        <v>232</v>
      </c>
      <c r="E421" s="40" t="s">
        <v>112</v>
      </c>
      <c r="G421" s="11">
        <f>G350</f>
        <v>-250</v>
      </c>
      <c r="H421" s="11">
        <f t="shared" ref="H421:S421" si="327">H350</f>
        <v>-137.70000000000005</v>
      </c>
      <c r="I421" s="11">
        <f t="shared" si="327"/>
        <v>-64.06820591799351</v>
      </c>
      <c r="J421" s="11">
        <f t="shared" si="327"/>
        <v>90.74775779240656</v>
      </c>
      <c r="K421" s="11">
        <f t="shared" si="327"/>
        <v>335.64719545598211</v>
      </c>
      <c r="L421" s="11">
        <f t="shared" si="327"/>
        <v>165.30766592692885</v>
      </c>
      <c r="M421" s="11">
        <f t="shared" si="327"/>
        <v>112.42855471864948</v>
      </c>
      <c r="N421" s="11">
        <f t="shared" si="327"/>
        <v>142.63364186010165</v>
      </c>
      <c r="O421" s="11">
        <f t="shared" si="327"/>
        <v>123.3398125309127</v>
      </c>
      <c r="P421" s="11">
        <f t="shared" si="327"/>
        <v>103.66081762190566</v>
      </c>
      <c r="Q421" s="11">
        <f t="shared" si="327"/>
        <v>128.92680414326281</v>
      </c>
      <c r="R421" s="11">
        <f t="shared" si="327"/>
        <v>3.3610239591475029E-14</v>
      </c>
      <c r="S421" s="11">
        <f t="shared" si="327"/>
        <v>0</v>
      </c>
      <c r="W421" s="121"/>
      <c r="X421" s="121"/>
      <c r="Y421" s="11"/>
      <c r="Z421" s="11"/>
      <c r="AA421" s="11"/>
      <c r="AB421" s="11"/>
      <c r="AC421" s="11"/>
      <c r="AD421" s="11"/>
      <c r="AE421" s="11"/>
      <c r="AF421" s="11"/>
      <c r="AG421" s="11"/>
      <c r="AH421" s="11"/>
      <c r="AI421" s="11"/>
      <c r="AJ421" s="121"/>
      <c r="AK421" s="121"/>
      <c r="AL421" s="121"/>
      <c r="AM421" s="121"/>
      <c r="AN421" s="121"/>
      <c r="AO421" s="121"/>
      <c r="AP421" s="121"/>
      <c r="AQ421" s="121"/>
      <c r="AR421" s="121"/>
      <c r="AS421" s="27"/>
      <c r="AT421" s="27"/>
      <c r="AU421" s="27"/>
      <c r="AV421" s="27"/>
      <c r="AW421" s="27"/>
      <c r="AX421" s="27"/>
      <c r="AY421" s="27"/>
      <c r="AZ421" s="27"/>
      <c r="BA421" s="27"/>
      <c r="BB421" s="27"/>
      <c r="BC421" s="27"/>
      <c r="BD421" s="27"/>
    </row>
    <row r="422" spans="1:56" ht="15" customHeight="1">
      <c r="C422" s="105">
        <f t="shared" si="324"/>
        <v>71.560055989967523</v>
      </c>
      <c r="D422" s="169" t="s">
        <v>233</v>
      </c>
      <c r="E422" s="40" t="s">
        <v>112</v>
      </c>
      <c r="G422" s="11">
        <f>G300</f>
        <v>0</v>
      </c>
      <c r="H422" s="11">
        <f t="shared" ref="H422:S422" si="328">H300</f>
        <v>-321.29999999999995</v>
      </c>
      <c r="I422" s="11">
        <f t="shared" si="328"/>
        <v>78.57201119799349</v>
      </c>
      <c r="J422" s="11">
        <f t="shared" si="328"/>
        <v>78.57201119799349</v>
      </c>
      <c r="K422" s="11">
        <f t="shared" si="328"/>
        <v>78.57201119799349</v>
      </c>
      <c r="L422" s="11">
        <f t="shared" si="328"/>
        <v>78.57201119799349</v>
      </c>
      <c r="M422" s="11">
        <f t="shared" si="328"/>
        <v>78.57201119799349</v>
      </c>
      <c r="N422" s="11">
        <f t="shared" si="328"/>
        <v>0</v>
      </c>
      <c r="O422" s="11">
        <f t="shared" si="328"/>
        <v>0</v>
      </c>
      <c r="P422" s="11">
        <f t="shared" si="328"/>
        <v>0</v>
      </c>
      <c r="Q422" s="11">
        <f t="shared" si="328"/>
        <v>0</v>
      </c>
      <c r="R422" s="11">
        <f t="shared" si="328"/>
        <v>0</v>
      </c>
      <c r="S422" s="11">
        <f t="shared" si="328"/>
        <v>0</v>
      </c>
      <c r="W422" s="121"/>
      <c r="X422" s="121"/>
      <c r="Y422" s="11"/>
      <c r="Z422" s="11"/>
      <c r="AA422" s="11"/>
      <c r="AB422" s="11"/>
      <c r="AC422" s="11"/>
      <c r="AD422" s="11"/>
      <c r="AE422" s="11"/>
      <c r="AF422" s="11"/>
      <c r="AG422" s="11"/>
      <c r="AH422" s="11"/>
      <c r="AI422" s="11"/>
      <c r="AJ422" s="121"/>
      <c r="AK422" s="121"/>
      <c r="AL422" s="121"/>
      <c r="AM422" s="121"/>
      <c r="AN422" s="121"/>
      <c r="AO422" s="121"/>
      <c r="AP422" s="121"/>
      <c r="AQ422" s="121"/>
      <c r="AR422" s="121"/>
      <c r="AS422" s="27"/>
      <c r="AT422" s="27"/>
      <c r="AU422" s="27"/>
      <c r="AV422" s="27"/>
      <c r="AW422" s="27"/>
      <c r="AX422" s="27"/>
      <c r="AY422" s="27"/>
      <c r="AZ422" s="27"/>
      <c r="BA422" s="27"/>
      <c r="BB422" s="27"/>
      <c r="BC422" s="27"/>
      <c r="BD422" s="27"/>
    </row>
    <row r="423" spans="1:56" ht="15" customHeight="1">
      <c r="C423" s="105">
        <f t="shared" si="324"/>
        <v>3199.0353606380745</v>
      </c>
      <c r="D423" s="84" t="s">
        <v>15</v>
      </c>
      <c r="E423" s="40" t="s">
        <v>112</v>
      </c>
      <c r="G423" s="11">
        <f t="shared" ref="G423:S423" si="329">G419+G105+G106</f>
        <v>0</v>
      </c>
      <c r="H423" s="11">
        <f t="shared" si="329"/>
        <v>0</v>
      </c>
      <c r="I423" s="11">
        <f t="shared" si="329"/>
        <v>83.127960000000002</v>
      </c>
      <c r="J423" s="11">
        <f t="shared" si="329"/>
        <v>235.85347800000005</v>
      </c>
      <c r="K423" s="11">
        <f t="shared" si="329"/>
        <v>754.18460747999995</v>
      </c>
      <c r="L423" s="11">
        <f t="shared" si="329"/>
        <v>612.10239729407999</v>
      </c>
      <c r="M423" s="11">
        <f t="shared" si="329"/>
        <v>496.09706893417729</v>
      </c>
      <c r="N423" s="11">
        <f t="shared" si="329"/>
        <v>418.59943626208013</v>
      </c>
      <c r="O423" s="11">
        <f t="shared" si="329"/>
        <v>341.57713998985736</v>
      </c>
      <c r="P423" s="11">
        <f t="shared" si="329"/>
        <v>278.72694623172384</v>
      </c>
      <c r="Q423" s="11">
        <f t="shared" si="329"/>
        <v>227.44118812508668</v>
      </c>
      <c r="R423" s="11">
        <f t="shared" si="329"/>
        <v>-248.6748616789304</v>
      </c>
      <c r="S423" s="11">
        <f t="shared" si="329"/>
        <v>0</v>
      </c>
      <c r="W423" s="121"/>
      <c r="X423" s="121"/>
      <c r="Y423" s="11"/>
      <c r="Z423" s="11"/>
      <c r="AA423" s="11"/>
      <c r="AB423" s="11"/>
      <c r="AC423" s="11"/>
      <c r="AD423" s="11"/>
      <c r="AE423" s="11"/>
      <c r="AF423" s="11"/>
      <c r="AG423" s="11"/>
      <c r="AH423" s="11"/>
      <c r="AI423" s="11"/>
      <c r="AJ423" s="121"/>
      <c r="AK423" s="121"/>
      <c r="AL423" s="121"/>
      <c r="AM423" s="121"/>
      <c r="AN423" s="121"/>
      <c r="AO423" s="121"/>
      <c r="AP423" s="121"/>
      <c r="AQ423" s="121"/>
      <c r="AR423" s="121"/>
      <c r="AS423" s="27"/>
      <c r="AT423" s="27"/>
      <c r="AU423" s="27"/>
      <c r="AV423" s="27"/>
      <c r="AW423" s="27"/>
      <c r="AX423" s="27"/>
      <c r="AY423" s="27"/>
      <c r="AZ423" s="27"/>
      <c r="BA423" s="27"/>
      <c r="BB423" s="27"/>
      <c r="BC423" s="27"/>
      <c r="BD423" s="27"/>
    </row>
    <row r="424" spans="1:56" ht="15" customHeight="1">
      <c r="D424" s="84"/>
      <c r="H424" s="15"/>
      <c r="W424" s="121"/>
      <c r="X424" s="121"/>
      <c r="Y424" s="11"/>
      <c r="Z424" s="11"/>
      <c r="AA424" s="11"/>
      <c r="AB424" s="11"/>
      <c r="AC424" s="11"/>
      <c r="AD424" s="11"/>
      <c r="AE424" s="11"/>
      <c r="AF424" s="11"/>
      <c r="AG424" s="11"/>
      <c r="AH424" s="11"/>
      <c r="AI424" s="11"/>
      <c r="AJ424" s="121"/>
      <c r="AK424" s="121"/>
      <c r="AL424" s="121"/>
      <c r="AM424" s="121"/>
      <c r="AN424" s="121"/>
      <c r="AO424" s="121"/>
      <c r="AP424" s="121"/>
      <c r="AQ424" s="121"/>
      <c r="AR424" s="121"/>
      <c r="AS424" s="27"/>
      <c r="AT424" s="27"/>
      <c r="AU424" s="27"/>
      <c r="AV424" s="27"/>
      <c r="AW424" s="27"/>
      <c r="AX424" s="27"/>
      <c r="AY424" s="27"/>
      <c r="AZ424" s="27"/>
      <c r="BA424" s="27"/>
      <c r="BB424" s="27"/>
      <c r="BC424" s="27"/>
      <c r="BD424" s="27"/>
    </row>
    <row r="425" spans="1:56" ht="15" customHeight="1">
      <c r="D425" s="156" t="s">
        <v>234</v>
      </c>
      <c r="H425" s="15"/>
      <c r="W425" s="121"/>
      <c r="X425" s="121"/>
      <c r="Y425" s="11"/>
      <c r="Z425" s="11"/>
      <c r="AA425" s="11"/>
      <c r="AB425" s="11"/>
      <c r="AC425" s="11"/>
      <c r="AD425" s="11"/>
      <c r="AE425" s="11"/>
      <c r="AF425" s="11"/>
      <c r="AG425" s="11"/>
      <c r="AH425" s="11"/>
      <c r="AI425" s="11"/>
      <c r="AJ425" s="121"/>
      <c r="AK425" s="121"/>
      <c r="AL425" s="121"/>
      <c r="AM425" s="121"/>
      <c r="AN425" s="121"/>
      <c r="AO425" s="121"/>
      <c r="AP425" s="121"/>
      <c r="AQ425" s="121"/>
      <c r="AR425" s="121"/>
      <c r="AS425" s="27"/>
      <c r="AT425" s="27"/>
      <c r="AU425" s="27"/>
      <c r="AV425" s="27"/>
      <c r="AW425" s="27"/>
      <c r="AX425" s="27"/>
      <c r="AY425" s="27"/>
      <c r="AZ425" s="27"/>
      <c r="BA425" s="27"/>
      <c r="BB425" s="27"/>
      <c r="BC425" s="27"/>
      <c r="BD425" s="27"/>
    </row>
    <row r="426" spans="1:56" ht="15" customHeight="1">
      <c r="C426" s="105">
        <f t="shared" ref="C426:C430" si="330">SUM(G426:S426)</f>
        <v>2119.5760320000009</v>
      </c>
      <c r="D426" s="84" t="s">
        <v>11</v>
      </c>
      <c r="E426" s="40" t="s">
        <v>12</v>
      </c>
      <c r="G426" s="11">
        <f t="shared" ref="G426:S426" si="331">G419/G$355</f>
        <v>-250</v>
      </c>
      <c r="H426" s="11">
        <f t="shared" si="331"/>
        <v>-500</v>
      </c>
      <c r="I426" s="11">
        <f t="shared" si="331"/>
        <v>79.900000000000006</v>
      </c>
      <c r="J426" s="11">
        <f t="shared" si="331"/>
        <v>222.25000000000006</v>
      </c>
      <c r="K426" s="11">
        <f t="shared" si="331"/>
        <v>696.75</v>
      </c>
      <c r="L426" s="11">
        <f t="shared" si="331"/>
        <v>554.4</v>
      </c>
      <c r="M426" s="11">
        <f t="shared" si="331"/>
        <v>440.52</v>
      </c>
      <c r="N426" s="11">
        <f t="shared" si="331"/>
        <v>364.41600000000017</v>
      </c>
      <c r="O426" s="11">
        <f t="shared" si="331"/>
        <v>291.53280000000007</v>
      </c>
      <c r="P426" s="11">
        <f t="shared" si="331"/>
        <v>233.22624000000025</v>
      </c>
      <c r="Q426" s="11">
        <f t="shared" si="331"/>
        <v>186.58099200000021</v>
      </c>
      <c r="R426" s="11">
        <f t="shared" si="331"/>
        <v>-200</v>
      </c>
      <c r="S426" s="11">
        <f t="shared" si="331"/>
        <v>0</v>
      </c>
      <c r="W426" s="121"/>
      <c r="X426" s="121"/>
      <c r="Y426" s="11"/>
      <c r="Z426" s="11"/>
      <c r="AA426" s="11"/>
      <c r="AB426" s="11"/>
      <c r="AC426" s="11"/>
      <c r="AD426" s="11"/>
      <c r="AE426" s="11"/>
      <c r="AF426" s="11"/>
      <c r="AG426" s="11"/>
      <c r="AH426" s="11"/>
      <c r="AI426" s="11"/>
      <c r="AJ426" s="121"/>
      <c r="AK426" s="121"/>
      <c r="AL426" s="121"/>
      <c r="AM426" s="121"/>
      <c r="AN426" s="121"/>
      <c r="AO426" s="121"/>
      <c r="AP426" s="121"/>
      <c r="AQ426" s="121"/>
      <c r="AR426" s="121"/>
      <c r="AS426" s="27"/>
      <c r="AT426" s="27"/>
      <c r="AU426" s="27"/>
      <c r="AV426" s="27"/>
      <c r="AW426" s="27"/>
      <c r="AX426" s="27"/>
      <c r="AY426" s="27"/>
      <c r="AZ426" s="27"/>
      <c r="BA426" s="27"/>
      <c r="BB426" s="27"/>
      <c r="BC426" s="27"/>
      <c r="BD426" s="27"/>
    </row>
    <row r="427" spans="1:56" ht="15" customHeight="1">
      <c r="C427" s="105">
        <f t="shared" si="330"/>
        <v>1499.4007702765025</v>
      </c>
      <c r="D427" s="84" t="s">
        <v>223</v>
      </c>
      <c r="E427" s="40" t="s">
        <v>12</v>
      </c>
      <c r="G427" s="11">
        <f t="shared" ref="G427:S427" si="332">G420/G$355</f>
        <v>0</v>
      </c>
      <c r="H427" s="11">
        <f t="shared" si="332"/>
        <v>-50</v>
      </c>
      <c r="I427" s="11">
        <f t="shared" si="332"/>
        <v>65.959395155709331</v>
      </c>
      <c r="J427" s="11">
        <f t="shared" si="332"/>
        <v>62.696200000000005</v>
      </c>
      <c r="K427" s="11">
        <f t="shared" si="332"/>
        <v>314.07548056039309</v>
      </c>
      <c r="L427" s="11">
        <f t="shared" si="332"/>
        <v>333.51066253658558</v>
      </c>
      <c r="M427" s="11">
        <f t="shared" si="332"/>
        <v>210.23157557413487</v>
      </c>
      <c r="N427" s="11">
        <f t="shared" si="332"/>
        <v>191.29343504086481</v>
      </c>
      <c r="O427" s="11">
        <f t="shared" si="332"/>
        <v>146.23086141696015</v>
      </c>
      <c r="P427" s="11">
        <f t="shared" si="332"/>
        <v>112.86716809856163</v>
      </c>
      <c r="Q427" s="11">
        <f t="shared" si="332"/>
        <v>112.53599189329283</v>
      </c>
      <c r="R427" s="11">
        <f t="shared" si="332"/>
        <v>4.1544117769676107E-14</v>
      </c>
      <c r="S427" s="11">
        <f t="shared" si="332"/>
        <v>0</v>
      </c>
      <c r="W427" s="121"/>
      <c r="X427" s="121"/>
      <c r="Y427" s="11"/>
      <c r="Z427" s="11"/>
      <c r="AA427" s="11"/>
      <c r="AB427" s="11"/>
      <c r="AC427" s="11"/>
      <c r="AD427" s="11"/>
      <c r="AE427" s="11"/>
      <c r="AF427" s="11"/>
      <c r="AG427" s="11"/>
      <c r="AH427" s="11"/>
      <c r="AI427" s="11"/>
      <c r="AJ427" s="121"/>
      <c r="AK427" s="121"/>
      <c r="AL427" s="121"/>
      <c r="AM427" s="121"/>
      <c r="AN427" s="121"/>
      <c r="AO427" s="121"/>
      <c r="AP427" s="121"/>
      <c r="AQ427" s="121"/>
      <c r="AR427" s="121"/>
      <c r="AS427" s="27"/>
      <c r="AT427" s="27"/>
      <c r="AU427" s="27"/>
      <c r="AV427" s="27"/>
      <c r="AW427" s="27"/>
      <c r="AX427" s="27"/>
      <c r="AY427" s="27"/>
      <c r="AZ427" s="27"/>
      <c r="BA427" s="27"/>
      <c r="BB427" s="27"/>
      <c r="BC427" s="27"/>
      <c r="BD427" s="27"/>
    </row>
    <row r="428" spans="1:56" ht="15" customHeight="1">
      <c r="A428" s="107" t="b">
        <f>ROUND(C426+C412-(C427+C428+C429+C370),5)=0</f>
        <v>1</v>
      </c>
      <c r="C428" s="105">
        <f t="shared" si="330"/>
        <v>620.52112183265854</v>
      </c>
      <c r="D428" s="84" t="s">
        <v>232</v>
      </c>
      <c r="E428" s="40" t="s">
        <v>12</v>
      </c>
      <c r="G428" s="11">
        <f t="shared" ref="G428:S428" si="333">G421/G$355</f>
        <v>-250</v>
      </c>
      <c r="H428" s="11">
        <f t="shared" si="333"/>
        <v>-135.00000000000003</v>
      </c>
      <c r="I428" s="11">
        <f t="shared" si="333"/>
        <v>-61.580359398302107</v>
      </c>
      <c r="J428" s="11">
        <f t="shared" si="333"/>
        <v>85.513638977850306</v>
      </c>
      <c r="K428" s="11">
        <f t="shared" si="333"/>
        <v>310.08612628063651</v>
      </c>
      <c r="L428" s="11">
        <f t="shared" si="333"/>
        <v>149.72424613109047</v>
      </c>
      <c r="M428" s="11">
        <f t="shared" si="333"/>
        <v>99.833339130715103</v>
      </c>
      <c r="N428" s="11">
        <f t="shared" si="333"/>
        <v>124.17116873408312</v>
      </c>
      <c r="O428" s="11">
        <f t="shared" si="333"/>
        <v>105.26934237952746</v>
      </c>
      <c r="P428" s="11">
        <f t="shared" si="333"/>
        <v>86.738735009794837</v>
      </c>
      <c r="Q428" s="11">
        <f t="shared" si="333"/>
        <v>105.76488458726277</v>
      </c>
      <c r="R428" s="11">
        <f t="shared" si="333"/>
        <v>2.7031473438493313E-14</v>
      </c>
      <c r="S428" s="11">
        <f t="shared" si="333"/>
        <v>0</v>
      </c>
      <c r="W428" s="121"/>
      <c r="X428" s="121"/>
      <c r="Y428" s="11"/>
      <c r="Z428" s="11"/>
      <c r="AA428" s="11"/>
      <c r="AB428" s="11"/>
      <c r="AC428" s="11"/>
      <c r="AD428" s="11"/>
      <c r="AE428" s="11"/>
      <c r="AF428" s="11"/>
      <c r="AG428" s="11"/>
      <c r="AH428" s="11"/>
      <c r="AI428" s="11"/>
      <c r="AJ428" s="121"/>
      <c r="AK428" s="121"/>
      <c r="AL428" s="121"/>
      <c r="AM428" s="121"/>
      <c r="AN428" s="121"/>
      <c r="AO428" s="121"/>
      <c r="AP428" s="121"/>
      <c r="AQ428" s="121"/>
      <c r="AR428" s="121"/>
      <c r="AS428" s="27"/>
      <c r="AT428" s="27"/>
      <c r="AU428" s="27"/>
      <c r="AV428" s="27"/>
      <c r="AW428" s="27"/>
      <c r="AX428" s="27"/>
      <c r="AY428" s="27"/>
      <c r="AZ428" s="27"/>
      <c r="BA428" s="27"/>
      <c r="BB428" s="27"/>
      <c r="BC428" s="27"/>
      <c r="BD428" s="27"/>
    </row>
    <row r="429" spans="1:56" ht="15" customHeight="1">
      <c r="C429" s="105">
        <f t="shared" si="330"/>
        <v>48.084307140667988</v>
      </c>
      <c r="D429" s="169" t="s">
        <v>233</v>
      </c>
      <c r="E429" s="40" t="s">
        <v>12</v>
      </c>
      <c r="G429" s="11">
        <f t="shared" ref="G429:S429" si="334">G422/G$355</f>
        <v>0</v>
      </c>
      <c r="H429" s="11">
        <f t="shared" si="334"/>
        <v>-314.99999999999994</v>
      </c>
      <c r="I429" s="11">
        <f t="shared" si="334"/>
        <v>75.52096424259274</v>
      </c>
      <c r="J429" s="11">
        <f t="shared" si="334"/>
        <v>74.040161022149746</v>
      </c>
      <c r="K429" s="11">
        <f t="shared" si="334"/>
        <v>72.588393158970348</v>
      </c>
      <c r="L429" s="11">
        <f t="shared" si="334"/>
        <v>71.165091332323868</v>
      </c>
      <c r="M429" s="11">
        <f t="shared" si="334"/>
        <v>69.769697384631229</v>
      </c>
      <c r="N429" s="11">
        <f t="shared" si="334"/>
        <v>0</v>
      </c>
      <c r="O429" s="11">
        <f t="shared" si="334"/>
        <v>0</v>
      </c>
      <c r="P429" s="11">
        <f t="shared" si="334"/>
        <v>0</v>
      </c>
      <c r="Q429" s="11">
        <f t="shared" si="334"/>
        <v>0</v>
      </c>
      <c r="R429" s="11">
        <f t="shared" si="334"/>
        <v>0</v>
      </c>
      <c r="S429" s="11">
        <f t="shared" si="334"/>
        <v>0</v>
      </c>
      <c r="W429" s="121"/>
      <c r="X429" s="121"/>
      <c r="Y429" s="11"/>
      <c r="Z429" s="11"/>
      <c r="AA429" s="11"/>
      <c r="AB429" s="11"/>
      <c r="AC429" s="11"/>
      <c r="AD429" s="11"/>
      <c r="AE429" s="11"/>
      <c r="AF429" s="11"/>
      <c r="AG429" s="11"/>
      <c r="AH429" s="11"/>
      <c r="AI429" s="11"/>
      <c r="AJ429" s="121"/>
      <c r="AK429" s="121"/>
      <c r="AL429" s="121"/>
      <c r="AM429" s="121"/>
      <c r="AN429" s="121"/>
      <c r="AO429" s="121"/>
      <c r="AP429" s="121"/>
      <c r="AQ429" s="121"/>
      <c r="AR429" s="121"/>
      <c r="AS429" s="27"/>
      <c r="AT429" s="27"/>
      <c r="AU429" s="27"/>
      <c r="AV429" s="27"/>
      <c r="AW429" s="27"/>
      <c r="AX429" s="27"/>
      <c r="AY429" s="27"/>
      <c r="AZ429" s="27"/>
      <c r="BA429" s="27"/>
      <c r="BB429" s="27"/>
      <c r="BC429" s="27"/>
      <c r="BD429" s="27"/>
    </row>
    <row r="430" spans="1:56" ht="15" customHeight="1">
      <c r="C430" s="105">
        <f t="shared" si="330"/>
        <v>2869.5760320000009</v>
      </c>
      <c r="D430" s="84" t="s">
        <v>15</v>
      </c>
      <c r="E430" s="40" t="s">
        <v>12</v>
      </c>
      <c r="G430" s="11">
        <f t="shared" ref="G430:S430" si="335">G423/G$355</f>
        <v>0</v>
      </c>
      <c r="H430" s="11">
        <f t="shared" si="335"/>
        <v>0</v>
      </c>
      <c r="I430" s="11">
        <f t="shared" si="335"/>
        <v>79.900000000000006</v>
      </c>
      <c r="J430" s="11">
        <f t="shared" si="335"/>
        <v>222.25000000000006</v>
      </c>
      <c r="K430" s="11">
        <f t="shared" si="335"/>
        <v>696.75</v>
      </c>
      <c r="L430" s="11">
        <f t="shared" si="335"/>
        <v>554.4</v>
      </c>
      <c r="M430" s="11">
        <f t="shared" si="335"/>
        <v>440.52</v>
      </c>
      <c r="N430" s="11">
        <f t="shared" si="335"/>
        <v>364.41600000000017</v>
      </c>
      <c r="O430" s="11">
        <f t="shared" si="335"/>
        <v>291.53280000000007</v>
      </c>
      <c r="P430" s="11">
        <f t="shared" si="335"/>
        <v>233.22624000000025</v>
      </c>
      <c r="Q430" s="11">
        <f t="shared" si="335"/>
        <v>186.58099200000021</v>
      </c>
      <c r="R430" s="11">
        <f t="shared" si="335"/>
        <v>-200</v>
      </c>
      <c r="S430" s="11">
        <f t="shared" si="335"/>
        <v>0</v>
      </c>
      <c r="W430" s="121"/>
      <c r="X430" s="121"/>
      <c r="Y430" s="11"/>
      <c r="Z430" s="11"/>
      <c r="AA430" s="11"/>
      <c r="AB430" s="11"/>
      <c r="AC430" s="11"/>
      <c r="AD430" s="11"/>
      <c r="AE430" s="11"/>
      <c r="AF430" s="11"/>
      <c r="AG430" s="11"/>
      <c r="AH430" s="11"/>
      <c r="AI430" s="11"/>
      <c r="AJ430" s="121"/>
      <c r="AK430" s="121"/>
      <c r="AL430" s="121"/>
      <c r="AM430" s="121"/>
      <c r="AN430" s="121"/>
      <c r="AO430" s="121"/>
      <c r="AP430" s="121"/>
      <c r="AQ430" s="121"/>
      <c r="AR430" s="121"/>
      <c r="AS430" s="27"/>
      <c r="AT430" s="27"/>
      <c r="AU430" s="27"/>
      <c r="AV430" s="27"/>
      <c r="AW430" s="27"/>
      <c r="AX430" s="27"/>
      <c r="AY430" s="27"/>
      <c r="AZ430" s="27"/>
      <c r="BA430" s="27"/>
      <c r="BB430" s="27"/>
      <c r="BC430" s="27"/>
      <c r="BD430" s="27"/>
    </row>
    <row r="431" spans="1:56" ht="15" customHeight="1">
      <c r="D431" s="84"/>
      <c r="E431" s="40"/>
      <c r="H431" s="15"/>
      <c r="W431" s="121"/>
      <c r="X431" s="121"/>
      <c r="Y431" s="11"/>
      <c r="Z431" s="11"/>
      <c r="AA431" s="11"/>
      <c r="AB431" s="11"/>
      <c r="AC431" s="11"/>
      <c r="AD431" s="11"/>
      <c r="AE431" s="11"/>
      <c r="AF431" s="11"/>
      <c r="AG431" s="11"/>
      <c r="AH431" s="11"/>
      <c r="AI431" s="11"/>
      <c r="AJ431" s="121"/>
      <c r="AK431" s="121"/>
      <c r="AL431" s="121"/>
      <c r="AM431" s="121"/>
      <c r="AN431" s="121"/>
      <c r="AO431" s="121"/>
      <c r="AP431" s="121"/>
      <c r="AQ431" s="121"/>
      <c r="AR431" s="121"/>
      <c r="AS431" s="27"/>
      <c r="AT431" s="27"/>
      <c r="AU431" s="27"/>
      <c r="AV431" s="27"/>
      <c r="AW431" s="27"/>
      <c r="AX431" s="27"/>
      <c r="AY431" s="27"/>
      <c r="AZ431" s="27"/>
      <c r="BA431" s="27"/>
      <c r="BB431" s="27"/>
      <c r="BC431" s="27"/>
      <c r="BD431" s="27"/>
    </row>
    <row r="432" spans="1:56" ht="15" customHeight="1">
      <c r="C432" s="105">
        <f t="shared" ref="C432" si="336">SUM(G432:S432)</f>
        <v>668.60542897332653</v>
      </c>
      <c r="D432" s="169" t="s">
        <v>235</v>
      </c>
      <c r="E432" s="40" t="s">
        <v>12</v>
      </c>
      <c r="G432" s="11">
        <f>G428+G429</f>
        <v>-250</v>
      </c>
      <c r="H432" s="11">
        <f t="shared" ref="H432:S432" si="337">H428+H429</f>
        <v>-450</v>
      </c>
      <c r="I432" s="11">
        <f t="shared" si="337"/>
        <v>13.940604844290633</v>
      </c>
      <c r="J432" s="11">
        <f t="shared" si="337"/>
        <v>159.55380000000005</v>
      </c>
      <c r="K432" s="11">
        <f t="shared" si="337"/>
        <v>382.67451943960685</v>
      </c>
      <c r="L432" s="11">
        <f t="shared" si="337"/>
        <v>220.88933746341434</v>
      </c>
      <c r="M432" s="11">
        <f t="shared" si="337"/>
        <v>169.60303651534633</v>
      </c>
      <c r="N432" s="11">
        <f t="shared" si="337"/>
        <v>124.17116873408312</v>
      </c>
      <c r="O432" s="11">
        <f t="shared" si="337"/>
        <v>105.26934237952746</v>
      </c>
      <c r="P432" s="11">
        <f t="shared" si="337"/>
        <v>86.738735009794837</v>
      </c>
      <c r="Q432" s="11">
        <f t="shared" si="337"/>
        <v>105.76488458726277</v>
      </c>
      <c r="R432" s="11">
        <f t="shared" si="337"/>
        <v>2.7031473438493313E-14</v>
      </c>
      <c r="S432" s="11">
        <f t="shared" si="337"/>
        <v>0</v>
      </c>
      <c r="W432" s="121"/>
      <c r="X432" s="121"/>
      <c r="Y432" s="11"/>
      <c r="Z432" s="11"/>
      <c r="AA432" s="11"/>
      <c r="AB432" s="11"/>
      <c r="AC432" s="11"/>
      <c r="AD432" s="11"/>
      <c r="AE432" s="11"/>
      <c r="AF432" s="11"/>
      <c r="AG432" s="11"/>
      <c r="AH432" s="11"/>
      <c r="AI432" s="11"/>
      <c r="AJ432" s="121"/>
      <c r="AK432" s="121"/>
      <c r="AL432" s="121"/>
      <c r="AM432" s="121"/>
      <c r="AN432" s="121"/>
      <c r="AO432" s="121"/>
      <c r="AP432" s="121"/>
      <c r="AQ432" s="121"/>
      <c r="AR432" s="121"/>
      <c r="AS432" s="27"/>
      <c r="AT432" s="27"/>
      <c r="AU432" s="27"/>
      <c r="AV432" s="27"/>
      <c r="AW432" s="27"/>
      <c r="AX432" s="27"/>
      <c r="AY432" s="27"/>
      <c r="AZ432" s="27"/>
      <c r="BA432" s="27"/>
      <c r="BB432" s="27"/>
      <c r="BC432" s="27"/>
      <c r="BD432" s="27"/>
    </row>
    <row r="433" spans="1:56" ht="15" customHeight="1">
      <c r="C433" s="494">
        <f>IFERROR(IRR(G432:S432),0)</f>
        <v>0.15320364465252601</v>
      </c>
      <c r="D433" s="156" t="s">
        <v>236</v>
      </c>
      <c r="E433" s="40"/>
      <c r="H433" s="15"/>
      <c r="W433" s="121"/>
      <c r="X433" s="121"/>
      <c r="Y433" s="11"/>
      <c r="Z433" s="11"/>
      <c r="AA433" s="11"/>
      <c r="AB433" s="11"/>
      <c r="AC433" s="11"/>
      <c r="AD433" s="11"/>
      <c r="AE433" s="11"/>
      <c r="AF433" s="11"/>
      <c r="AG433" s="11"/>
      <c r="AH433" s="11"/>
      <c r="AI433" s="11"/>
      <c r="AJ433" s="121"/>
      <c r="AK433" s="121"/>
      <c r="AL433" s="121"/>
      <c r="AM433" s="121"/>
      <c r="AN433" s="121"/>
      <c r="AO433" s="121"/>
      <c r="AP433" s="121"/>
      <c r="AQ433" s="121"/>
      <c r="AR433" s="121"/>
      <c r="AS433" s="27"/>
      <c r="AT433" s="27"/>
      <c r="AU433" s="27"/>
      <c r="AV433" s="27"/>
      <c r="AW433" s="27"/>
      <c r="AX433" s="27"/>
      <c r="AY433" s="27"/>
      <c r="AZ433" s="27"/>
      <c r="BA433" s="27"/>
      <c r="BB433" s="27"/>
      <c r="BC433" s="27"/>
      <c r="BD433" s="27"/>
    </row>
    <row r="434" spans="1:56" ht="15" customHeight="1">
      <c r="C434" s="14"/>
      <c r="G434" s="121"/>
      <c r="H434" s="15"/>
      <c r="V434" s="121"/>
      <c r="W434" s="11"/>
      <c r="X434" s="11"/>
      <c r="Y434" s="11"/>
      <c r="Z434" s="11"/>
      <c r="AA434" s="11"/>
      <c r="AB434" s="11"/>
      <c r="AC434" s="11"/>
      <c r="AD434" s="11"/>
      <c r="AE434" s="11"/>
      <c r="AF434" s="11"/>
      <c r="AG434" s="11"/>
      <c r="AH434" s="121"/>
      <c r="AI434" s="121"/>
      <c r="AJ434" s="121"/>
      <c r="AK434" s="121"/>
      <c r="AL434" s="121"/>
      <c r="AM434" s="121"/>
      <c r="AN434" s="121"/>
      <c r="AO434" s="121"/>
      <c r="AP434" s="121"/>
      <c r="AQ434" s="27"/>
      <c r="AR434" s="27"/>
      <c r="AS434" s="27"/>
      <c r="AT434" s="27"/>
      <c r="AU434" s="27"/>
      <c r="AV434" s="27"/>
      <c r="AW434" s="27"/>
      <c r="AX434" s="27"/>
      <c r="AY434" s="27"/>
      <c r="AZ434" s="27"/>
      <c r="BA434" s="27"/>
      <c r="BB434" s="27"/>
    </row>
    <row r="435" spans="1:56" ht="15" customHeight="1">
      <c r="C435" s="14"/>
      <c r="D435" s="170" t="s">
        <v>237</v>
      </c>
      <c r="E435" s="171"/>
      <c r="F435" s="172"/>
      <c r="G435" s="504">
        <v>0</v>
      </c>
      <c r="H435" s="504">
        <v>0.1</v>
      </c>
      <c r="I435" s="504">
        <v>0.125</v>
      </c>
      <c r="J435" s="505">
        <v>0.15</v>
      </c>
      <c r="V435" s="121"/>
      <c r="W435" s="11"/>
      <c r="X435" s="11"/>
      <c r="Y435" s="11"/>
      <c r="Z435" s="11"/>
      <c r="AA435" s="11"/>
      <c r="AB435" s="11"/>
      <c r="AC435" s="11"/>
      <c r="AD435" s="11"/>
      <c r="AE435" s="11"/>
      <c r="AF435" s="11"/>
      <c r="AG435" s="11"/>
      <c r="AH435" s="121"/>
      <c r="AI435" s="121"/>
      <c r="AJ435" s="121"/>
      <c r="AK435" s="121"/>
      <c r="AL435" s="121"/>
      <c r="AM435" s="121"/>
      <c r="AN435" s="121"/>
      <c r="AO435" s="121"/>
      <c r="AP435" s="121"/>
      <c r="AQ435" s="27"/>
      <c r="AR435" s="27"/>
      <c r="AS435" s="27"/>
      <c r="AT435" s="27"/>
      <c r="AU435" s="27"/>
      <c r="AV435" s="27"/>
      <c r="AW435" s="27"/>
      <c r="AX435" s="27"/>
      <c r="AY435" s="27"/>
      <c r="AZ435" s="27"/>
      <c r="BA435" s="27"/>
      <c r="BB435" s="27"/>
    </row>
    <row r="436" spans="1:56" ht="15" customHeight="1">
      <c r="C436" s="14"/>
      <c r="D436" s="173" t="s">
        <v>238</v>
      </c>
      <c r="E436" s="40" t="s">
        <v>12</v>
      </c>
      <c r="F436" s="27"/>
      <c r="G436" s="145">
        <f>NPV(G$435,$H$426:$S$426)+$G$426</f>
        <v>2119.5760320000009</v>
      </c>
      <c r="H436" s="145">
        <f>NPV(H$435,$H$426:$S$426)+$G$426</f>
        <v>1021.0099740198245</v>
      </c>
      <c r="I436" s="145">
        <f>NPV(I$435,$H$426:$S$426)+$G$426</f>
        <v>841.62093541749618</v>
      </c>
      <c r="J436" s="174">
        <f>NPV(J$435,$H$426:$S$426)+$G$426</f>
        <v>687.94789990756794</v>
      </c>
      <c r="V436" s="121"/>
      <c r="W436" s="11"/>
      <c r="X436" s="11"/>
      <c r="Y436" s="11"/>
      <c r="Z436" s="11"/>
      <c r="AA436" s="11"/>
      <c r="AB436" s="11"/>
      <c r="AC436" s="11"/>
      <c r="AD436" s="11"/>
      <c r="AE436" s="11"/>
      <c r="AF436" s="11"/>
      <c r="AG436" s="11"/>
      <c r="AH436" s="121"/>
      <c r="AI436" s="121"/>
      <c r="AJ436" s="121"/>
      <c r="AK436" s="121"/>
      <c r="AL436" s="121"/>
      <c r="AM436" s="121"/>
      <c r="AN436" s="121"/>
      <c r="AO436" s="121"/>
      <c r="AP436" s="121"/>
      <c r="AQ436" s="27"/>
      <c r="AR436" s="27"/>
      <c r="AS436" s="27"/>
      <c r="AT436" s="27"/>
      <c r="AU436" s="27"/>
      <c r="AV436" s="27"/>
      <c r="AW436" s="27"/>
      <c r="AX436" s="27"/>
      <c r="AY436" s="27"/>
      <c r="AZ436" s="27"/>
      <c r="BA436" s="27"/>
      <c r="BB436" s="27"/>
    </row>
    <row r="437" spans="1:56" ht="15" customHeight="1">
      <c r="C437" s="14"/>
      <c r="D437" s="173" t="s">
        <v>223</v>
      </c>
      <c r="E437" s="40" t="s">
        <v>12</v>
      </c>
      <c r="F437" s="27"/>
      <c r="G437" s="145">
        <f>NPV(G$435,$H$427:$S$427)+$G$427</f>
        <v>1499.4007702765025</v>
      </c>
      <c r="H437" s="145">
        <f>NPV(H$435,$H$427:$S$427)+$G$427</f>
        <v>854.06958803161979</v>
      </c>
      <c r="I437" s="145">
        <f>NPV(I$435,$H$427:$S$427)+$G$427</f>
        <v>751.18092251740927</v>
      </c>
      <c r="J437" s="174">
        <f>NPV(J$435,$H$427:$S$427)+$G$427</f>
        <v>663.51510194167781</v>
      </c>
      <c r="V437" s="121"/>
      <c r="W437" s="11"/>
      <c r="X437" s="11"/>
      <c r="Y437" s="11"/>
      <c r="Z437" s="11"/>
      <c r="AA437" s="11"/>
      <c r="AB437" s="11"/>
      <c r="AC437" s="11"/>
      <c r="AD437" s="11"/>
      <c r="AE437" s="11"/>
      <c r="AF437" s="11"/>
      <c r="AG437" s="11"/>
      <c r="AH437" s="121"/>
      <c r="AI437" s="121"/>
      <c r="AJ437" s="121"/>
      <c r="AK437" s="121"/>
      <c r="AL437" s="121"/>
      <c r="AM437" s="121"/>
      <c r="AN437" s="121"/>
      <c r="AO437" s="121"/>
      <c r="AP437" s="121"/>
      <c r="AQ437" s="27"/>
      <c r="AR437" s="27"/>
      <c r="AS437" s="27"/>
      <c r="AT437" s="27"/>
      <c r="AU437" s="27"/>
      <c r="AV437" s="27"/>
      <c r="AW437" s="27"/>
      <c r="AX437" s="27"/>
      <c r="AY437" s="27"/>
      <c r="AZ437" s="27"/>
      <c r="BA437" s="27"/>
      <c r="BB437" s="27"/>
    </row>
    <row r="438" spans="1:56" ht="15" customHeight="1">
      <c r="C438" s="14"/>
      <c r="D438" s="173" t="s">
        <v>232</v>
      </c>
      <c r="E438" s="40" t="s">
        <v>12</v>
      </c>
      <c r="F438" s="27"/>
      <c r="G438" s="145">
        <f>NPV(G$435,$H$428:$S$428)+$G$428</f>
        <v>620.52112183265831</v>
      </c>
      <c r="H438" s="145">
        <f>NPV(H$435,$H$428:$S$428)+$G$428</f>
        <v>192.13182263601215</v>
      </c>
      <c r="I438" s="145">
        <f>NPV(I$435,$H$428:$S$428)+$G$428</f>
        <v>125.41136991301306</v>
      </c>
      <c r="J438" s="174">
        <f>NPV(J$435,$H$428:$S$428)+$G$428</f>
        <v>69.057871403616446</v>
      </c>
      <c r="V438" s="121"/>
      <c r="W438" s="11"/>
      <c r="X438" s="11"/>
      <c r="Y438" s="11"/>
      <c r="Z438" s="11"/>
      <c r="AA438" s="11"/>
      <c r="AB438" s="11"/>
      <c r="AC438" s="11"/>
      <c r="AD438" s="11"/>
      <c r="AE438" s="11"/>
      <c r="AF438" s="11"/>
      <c r="AG438" s="11"/>
      <c r="AH438" s="121"/>
      <c r="AI438" s="121"/>
      <c r="AJ438" s="121"/>
      <c r="AK438" s="121"/>
      <c r="AL438" s="121"/>
      <c r="AM438" s="121"/>
      <c r="AN438" s="121"/>
      <c r="AO438" s="121"/>
      <c r="AP438" s="121"/>
      <c r="AQ438" s="27"/>
      <c r="AR438" s="27"/>
      <c r="AS438" s="27"/>
      <c r="AT438" s="27"/>
      <c r="AU438" s="27"/>
      <c r="AV438" s="27"/>
      <c r="AW438" s="27"/>
      <c r="AX438" s="27"/>
      <c r="AY438" s="27"/>
      <c r="AZ438" s="27"/>
      <c r="BA438" s="27"/>
      <c r="BB438" s="27"/>
    </row>
    <row r="439" spans="1:56" ht="15" customHeight="1">
      <c r="C439" s="14"/>
      <c r="D439" s="175" t="s">
        <v>233</v>
      </c>
      <c r="E439" s="40" t="s">
        <v>12</v>
      </c>
      <c r="F439" s="27"/>
      <c r="G439" s="145">
        <f>NPV(G$435,$H$429:$S$429)+$G$429</f>
        <v>48.084307140667988</v>
      </c>
      <c r="H439" s="145">
        <f>NPV(H$435,$H$429:$S$429)+$G$429</f>
        <v>-35.172200313394278</v>
      </c>
      <c r="I439" s="145">
        <f>NPV(I$435,$H$429:$S$429)+$G$429</f>
        <v>-49.10488523575966</v>
      </c>
      <c r="J439" s="174">
        <f>NPV(J$435,$H$429:$S$429)+$G$429</f>
        <v>-61.078094199527378</v>
      </c>
      <c r="V439" s="121"/>
      <c r="W439" s="11"/>
      <c r="X439" s="11"/>
      <c r="Y439" s="11"/>
      <c r="Z439" s="11"/>
      <c r="AA439" s="11"/>
      <c r="AB439" s="11"/>
      <c r="AC439" s="11"/>
      <c r="AD439" s="11"/>
      <c r="AE439" s="11"/>
      <c r="AF439" s="11"/>
      <c r="AG439" s="11"/>
      <c r="AH439" s="121"/>
      <c r="AI439" s="121"/>
      <c r="AJ439" s="121"/>
      <c r="AK439" s="121"/>
      <c r="AL439" s="121"/>
      <c r="AM439" s="121"/>
      <c r="AN439" s="121"/>
      <c r="AO439" s="121"/>
      <c r="AP439" s="121"/>
      <c r="AQ439" s="27"/>
      <c r="AR439" s="27"/>
      <c r="AS439" s="27"/>
      <c r="AT439" s="27"/>
      <c r="AU439" s="27"/>
      <c r="AV439" s="27"/>
      <c r="AW439" s="27"/>
      <c r="AX439" s="27"/>
      <c r="AY439" s="27"/>
      <c r="AZ439" s="27"/>
      <c r="BA439" s="27"/>
      <c r="BB439" s="27"/>
    </row>
    <row r="440" spans="1:56" ht="15" customHeight="1">
      <c r="C440" s="14"/>
      <c r="D440" s="173" t="s">
        <v>239</v>
      </c>
      <c r="E440" s="25" t="s">
        <v>240</v>
      </c>
      <c r="F440" s="27"/>
      <c r="G440" s="176">
        <f>G437/G436</f>
        <v>0.70740598480050276</v>
      </c>
      <c r="H440" s="176">
        <f t="shared" ref="H440:J440" si="338">H437/H436</f>
        <v>0.83649485290438175</v>
      </c>
      <c r="I440" s="176">
        <f t="shared" si="338"/>
        <v>0.89254068061505265</v>
      </c>
      <c r="J440" s="177">
        <f t="shared" si="338"/>
        <v>0.96448452278265129</v>
      </c>
      <c r="V440" s="27"/>
      <c r="W440" s="91"/>
      <c r="X440" s="91"/>
      <c r="Y440" s="91"/>
      <c r="Z440" s="91"/>
      <c r="AA440" s="91"/>
      <c r="AB440" s="91"/>
      <c r="AC440" s="91"/>
      <c r="AD440" s="91"/>
      <c r="AE440" s="91"/>
      <c r="AF440" s="91"/>
      <c r="AG440" s="91"/>
      <c r="AH440" s="27"/>
      <c r="AI440" s="27"/>
      <c r="AJ440" s="27"/>
      <c r="AK440" s="27"/>
      <c r="AL440" s="27"/>
      <c r="AM440" s="27"/>
      <c r="AN440" s="27"/>
      <c r="AO440" s="27"/>
      <c r="AP440" s="27"/>
      <c r="AQ440" s="27"/>
      <c r="AR440" s="27"/>
      <c r="AS440" s="27"/>
      <c r="AT440" s="27"/>
      <c r="AU440" s="27"/>
      <c r="AV440" s="27"/>
      <c r="AW440" s="27"/>
      <c r="AX440" s="27"/>
      <c r="AY440" s="27"/>
      <c r="AZ440" s="27"/>
      <c r="BA440" s="27"/>
      <c r="BB440" s="27"/>
    </row>
    <row r="441" spans="1:56" ht="15" customHeight="1">
      <c r="C441" s="14"/>
      <c r="D441" s="173" t="s">
        <v>15</v>
      </c>
      <c r="E441" s="40" t="s">
        <v>12</v>
      </c>
      <c r="F441" s="27"/>
      <c r="G441" s="145">
        <f>NPV(G$435,$H$430:$S$430)+$G$430</f>
        <v>2869.5760320000009</v>
      </c>
      <c r="H441" s="145">
        <f>NPV(H$435,$H$430:$S$430)+$G$430</f>
        <v>1725.5554285652793</v>
      </c>
      <c r="I441" s="145">
        <f>NPV(I$435,$H$430:$S$430)+$G$430</f>
        <v>1536.0653798619408</v>
      </c>
      <c r="J441" s="174">
        <f>NPV(J$435,$H$430:$S$430)+$G$430</f>
        <v>1372.7305086032202</v>
      </c>
      <c r="V441" s="27"/>
      <c r="W441" s="91"/>
      <c r="X441" s="91"/>
      <c r="Y441" s="91"/>
      <c r="Z441" s="91"/>
      <c r="AA441" s="91"/>
      <c r="AB441" s="91"/>
      <c r="AC441" s="91"/>
      <c r="AD441" s="91"/>
      <c r="AE441" s="91"/>
      <c r="AF441" s="91"/>
      <c r="AG441" s="91"/>
      <c r="AH441" s="27"/>
      <c r="AI441" s="27"/>
      <c r="AJ441" s="27"/>
      <c r="AK441" s="27"/>
      <c r="AL441" s="27"/>
      <c r="AM441" s="27"/>
      <c r="AN441" s="27"/>
      <c r="AO441" s="27"/>
      <c r="AP441" s="27"/>
      <c r="AQ441" s="27"/>
      <c r="AR441" s="27"/>
      <c r="AS441" s="27"/>
      <c r="AT441" s="27"/>
      <c r="AU441" s="27"/>
      <c r="AV441" s="27"/>
      <c r="AW441" s="27"/>
      <c r="AX441" s="27"/>
      <c r="AY441" s="27"/>
      <c r="AZ441" s="27"/>
      <c r="BA441" s="27"/>
      <c r="BB441" s="27"/>
    </row>
    <row r="442" spans="1:56" ht="15" customHeight="1">
      <c r="C442" s="14"/>
      <c r="D442" s="173" t="s">
        <v>241</v>
      </c>
      <c r="E442" s="25" t="s">
        <v>240</v>
      </c>
      <c r="F442" s="27"/>
      <c r="G442" s="176">
        <f>G437/G441</f>
        <v>0.52251648102575943</v>
      </c>
      <c r="H442" s="176">
        <f t="shared" ref="H442:J442" si="339">H437/H441</f>
        <v>0.49495343579993817</v>
      </c>
      <c r="I442" s="176">
        <f t="shared" si="339"/>
        <v>0.48902926422632109</v>
      </c>
      <c r="J442" s="177">
        <f t="shared" si="339"/>
        <v>0.48335423288349383</v>
      </c>
      <c r="V442" s="27"/>
      <c r="W442" s="91"/>
      <c r="X442" s="91"/>
      <c r="Y442" s="91"/>
      <c r="Z442" s="91"/>
      <c r="AA442" s="91"/>
      <c r="AB442" s="91"/>
      <c r="AC442" s="91"/>
      <c r="AD442" s="91"/>
      <c r="AE442" s="91"/>
      <c r="AF442" s="91"/>
      <c r="AG442" s="91"/>
      <c r="AH442" s="27"/>
      <c r="AI442" s="27"/>
      <c r="AJ442" s="27"/>
      <c r="AK442" s="27"/>
      <c r="AL442" s="27"/>
      <c r="AM442" s="27"/>
      <c r="AN442" s="27"/>
      <c r="AO442" s="27"/>
      <c r="AP442" s="27"/>
      <c r="AQ442" s="27"/>
      <c r="AR442" s="27"/>
      <c r="AS442" s="27"/>
      <c r="AT442" s="27"/>
      <c r="AU442" s="27"/>
      <c r="AV442" s="27"/>
      <c r="AW442" s="27"/>
      <c r="AX442" s="27"/>
      <c r="AY442" s="27"/>
      <c r="AZ442" s="27"/>
      <c r="BA442" s="27"/>
      <c r="BB442" s="27"/>
    </row>
    <row r="443" spans="1:56" ht="15" customHeight="1">
      <c r="C443" s="14"/>
      <c r="D443" s="295" t="s">
        <v>386</v>
      </c>
      <c r="E443" s="40" t="s">
        <v>12</v>
      </c>
      <c r="F443" s="27"/>
      <c r="G443" s="145">
        <f>NPV(G$435,$H$412:$S$412)+$G$412</f>
        <v>62.088776160276005</v>
      </c>
      <c r="H443" s="145">
        <f t="shared" ref="H443:J443" si="340">NPV(H$435,$H$412:$S$412)+$G$412</f>
        <v>23.937910997486679</v>
      </c>
      <c r="I443" s="145">
        <f t="shared" si="340"/>
        <v>19.119999431322015</v>
      </c>
      <c r="J443" s="174">
        <f t="shared" si="340"/>
        <v>15.347395888644135</v>
      </c>
      <c r="V443" s="27"/>
      <c r="W443" s="91"/>
      <c r="X443" s="91"/>
      <c r="Y443" s="91"/>
      <c r="Z443" s="91"/>
      <c r="AA443" s="91"/>
      <c r="AB443" s="91"/>
      <c r="AC443" s="91"/>
      <c r="AD443" s="91"/>
      <c r="AE443" s="91"/>
      <c r="AF443" s="91"/>
      <c r="AG443" s="91"/>
      <c r="AH443" s="27"/>
      <c r="AI443" s="27"/>
      <c r="AJ443" s="27"/>
      <c r="AK443" s="27"/>
      <c r="AL443" s="27"/>
      <c r="AM443" s="27"/>
      <c r="AN443" s="27"/>
      <c r="AO443" s="27"/>
      <c r="AP443" s="27"/>
      <c r="AQ443" s="27"/>
      <c r="AR443" s="27"/>
      <c r="AS443" s="27"/>
      <c r="AT443" s="27"/>
      <c r="AU443" s="27"/>
      <c r="AV443" s="27"/>
      <c r="AW443" s="27"/>
      <c r="AX443" s="27"/>
      <c r="AY443" s="27"/>
      <c r="AZ443" s="27"/>
      <c r="BA443" s="27"/>
      <c r="BB443" s="27"/>
    </row>
    <row r="444" spans="1:56" ht="15" customHeight="1">
      <c r="C444" s="14"/>
      <c r="D444" s="178" t="s">
        <v>218</v>
      </c>
      <c r="E444" s="40" t="s">
        <v>12</v>
      </c>
      <c r="F444" s="27"/>
      <c r="G444" s="119">
        <f>NPV(G$435,$H$413:$S$413)+$G$413</f>
        <v>13.658608910447896</v>
      </c>
      <c r="H444" s="119">
        <f t="shared" ref="H444:J444" si="341">NPV(H$435,$H$413:$S$413)+$G$413</f>
        <v>33.918674663073638</v>
      </c>
      <c r="I444" s="119">
        <f t="shared" si="341"/>
        <v>33.253527654155356</v>
      </c>
      <c r="J444" s="179">
        <f t="shared" si="341"/>
        <v>31.800416650445275</v>
      </c>
      <c r="V444" s="27"/>
      <c r="W444" s="91"/>
      <c r="X444" s="91"/>
      <c r="Y444" s="91"/>
      <c r="Z444" s="91"/>
      <c r="AA444" s="91"/>
      <c r="AB444" s="91"/>
      <c r="AC444" s="91"/>
      <c r="AD444" s="91"/>
      <c r="AE444" s="91"/>
      <c r="AF444" s="91"/>
      <c r="AG444" s="91"/>
      <c r="AH444" s="27"/>
      <c r="AI444" s="27"/>
      <c r="AJ444" s="27"/>
      <c r="AK444" s="27"/>
      <c r="AL444" s="27"/>
      <c r="AM444" s="27"/>
      <c r="AN444" s="27"/>
      <c r="AO444" s="27"/>
      <c r="AP444" s="27"/>
      <c r="AQ444" s="27"/>
      <c r="AR444" s="27"/>
      <c r="AS444" s="27"/>
      <c r="AT444" s="27"/>
      <c r="AU444" s="27"/>
      <c r="AV444" s="27"/>
      <c r="AW444" s="27"/>
      <c r="AX444" s="27"/>
      <c r="AY444" s="27"/>
      <c r="AZ444" s="27"/>
      <c r="BA444" s="27"/>
      <c r="BB444" s="27"/>
    </row>
    <row r="445" spans="1:56" ht="15" customHeight="1">
      <c r="C445" s="14"/>
      <c r="D445" s="180" t="s">
        <v>242</v>
      </c>
      <c r="E445" s="181"/>
      <c r="F445" s="71"/>
      <c r="G445" s="182" t="b">
        <f>ROUND(G436+G443-SUM(G437:G439,G444),5)=0</f>
        <v>1</v>
      </c>
      <c r="H445" s="182" t="b">
        <f t="shared" ref="H445:J445" si="342">ROUND(H436+H443-SUM(H437:H439,H444),5)=0</f>
        <v>1</v>
      </c>
      <c r="I445" s="182" t="b">
        <f t="shared" si="342"/>
        <v>1</v>
      </c>
      <c r="J445" s="183" t="b">
        <f t="shared" si="342"/>
        <v>1</v>
      </c>
      <c r="V445" s="27"/>
      <c r="W445" s="91"/>
      <c r="X445" s="91"/>
      <c r="Y445" s="91"/>
      <c r="Z445" s="91"/>
      <c r="AA445" s="91"/>
      <c r="AB445" s="91"/>
      <c r="AC445" s="91"/>
      <c r="AD445" s="91"/>
      <c r="AE445" s="91"/>
      <c r="AF445" s="91"/>
      <c r="AG445" s="91"/>
      <c r="AH445" s="27"/>
      <c r="AI445" s="27"/>
      <c r="AJ445" s="27"/>
      <c r="AK445" s="27"/>
      <c r="AL445" s="27"/>
      <c r="AM445" s="27"/>
      <c r="AN445" s="27"/>
      <c r="AO445" s="27"/>
      <c r="AP445" s="27"/>
      <c r="AQ445" s="27"/>
      <c r="AR445" s="27"/>
      <c r="AS445" s="27"/>
      <c r="AT445" s="27"/>
      <c r="AU445" s="27"/>
      <c r="AV445" s="27"/>
      <c r="AW445" s="27"/>
      <c r="AX445" s="27"/>
      <c r="AY445" s="27"/>
      <c r="AZ445" s="27"/>
      <c r="BA445" s="27"/>
      <c r="BB445" s="27"/>
    </row>
    <row r="446" spans="1:56" ht="15" customHeight="1">
      <c r="C446" s="14"/>
      <c r="G446" s="27"/>
      <c r="H446" s="15"/>
      <c r="V446" s="27"/>
      <c r="W446" s="91"/>
      <c r="X446" s="91"/>
      <c r="Y446" s="91"/>
      <c r="Z446" s="91"/>
      <c r="AA446" s="91"/>
      <c r="AB446" s="91"/>
      <c r="AC446" s="91"/>
      <c r="AD446" s="91"/>
      <c r="AE446" s="91"/>
      <c r="AF446" s="91"/>
      <c r="AG446" s="91"/>
      <c r="AH446" s="27"/>
      <c r="AI446" s="27"/>
      <c r="AJ446" s="27"/>
      <c r="AK446" s="27"/>
      <c r="AL446" s="27"/>
      <c r="AM446" s="27"/>
      <c r="AN446" s="27"/>
      <c r="AO446" s="27"/>
      <c r="AP446" s="27"/>
      <c r="AQ446" s="27"/>
      <c r="AR446" s="27"/>
      <c r="AS446" s="27"/>
      <c r="AT446" s="27"/>
      <c r="AU446" s="27"/>
      <c r="AV446" s="27"/>
      <c r="AW446" s="27"/>
      <c r="AX446" s="27"/>
      <c r="AY446" s="27"/>
      <c r="AZ446" s="27"/>
      <c r="BA446" s="27"/>
      <c r="BB446" s="27"/>
    </row>
    <row r="447" spans="1:56" s="416" customFormat="1" ht="30" customHeight="1">
      <c r="A447" s="415" t="s">
        <v>243</v>
      </c>
    </row>
    <row r="448" spans="1:56" ht="15" customHeight="1">
      <c r="C448" s="14"/>
      <c r="G448" s="27"/>
      <c r="H448" s="15"/>
      <c r="V448" s="27"/>
      <c r="W448" s="91"/>
      <c r="X448" s="91"/>
      <c r="Y448" s="91"/>
      <c r="Z448" s="91"/>
      <c r="AA448" s="91"/>
      <c r="AB448" s="91"/>
      <c r="AC448" s="91"/>
      <c r="AD448" s="91"/>
      <c r="AE448" s="91"/>
      <c r="AF448" s="91"/>
      <c r="AG448" s="91"/>
      <c r="AH448" s="27"/>
      <c r="AI448" s="27"/>
      <c r="AJ448" s="27"/>
      <c r="AK448" s="27"/>
      <c r="AL448" s="27"/>
      <c r="AM448" s="27"/>
      <c r="AN448" s="27"/>
      <c r="AO448" s="27"/>
      <c r="AP448" s="27"/>
      <c r="AQ448" s="27"/>
      <c r="AR448" s="27"/>
      <c r="AS448" s="27"/>
      <c r="AT448" s="27"/>
      <c r="AU448" s="27"/>
      <c r="AV448" s="27"/>
      <c r="AW448" s="27"/>
      <c r="AX448" s="27"/>
      <c r="AY448" s="27"/>
      <c r="AZ448" s="27"/>
      <c r="BA448" s="27"/>
      <c r="BB448" s="27"/>
    </row>
    <row r="449" spans="1:21" s="202" customFormat="1" ht="15" customHeight="1">
      <c r="A449" s="201"/>
      <c r="C449" s="69" t="s">
        <v>378</v>
      </c>
      <c r="D449" s="200" t="str">
        <f>"Annual government revenue by tax mechanism - selected regime: "&amp;F6</f>
        <v>Annual government revenue by tax mechanism - selected regime: DROP</v>
      </c>
      <c r="E449" s="200"/>
      <c r="F449" s="284"/>
      <c r="G449" s="284"/>
      <c r="H449" s="284"/>
      <c r="I449" s="284"/>
      <c r="J449" s="284"/>
      <c r="K449" s="284"/>
      <c r="L449" s="284"/>
      <c r="M449" s="284"/>
      <c r="N449" s="284"/>
      <c r="O449" s="284"/>
      <c r="P449" s="284"/>
      <c r="Q449" s="284"/>
      <c r="R449" s="284"/>
      <c r="S449" s="284"/>
      <c r="T449" s="213"/>
      <c r="U449" s="213"/>
    </row>
    <row r="450" spans="1:21" s="202" customFormat="1" ht="15" customHeight="1">
      <c r="A450" s="201"/>
      <c r="C450" s="48">
        <f>SUM(G450:S450)</f>
        <v>0</v>
      </c>
      <c r="D450" s="465" t="str">
        <f>D393</f>
        <v>Royalty</v>
      </c>
      <c r="E450" s="73" t="s">
        <v>12</v>
      </c>
      <c r="F450" s="463"/>
      <c r="G450" s="11">
        <f>G393</f>
        <v>0</v>
      </c>
      <c r="H450" s="11">
        <f t="shared" ref="H450:S450" si="343">H393</f>
        <v>0</v>
      </c>
      <c r="I450" s="11">
        <f t="shared" si="343"/>
        <v>0</v>
      </c>
      <c r="J450" s="11">
        <f t="shared" si="343"/>
        <v>0</v>
      </c>
      <c r="K450" s="11">
        <f t="shared" si="343"/>
        <v>0</v>
      </c>
      <c r="L450" s="11">
        <f t="shared" si="343"/>
        <v>0</v>
      </c>
      <c r="M450" s="11">
        <f t="shared" si="343"/>
        <v>0</v>
      </c>
      <c r="N450" s="11">
        <f t="shared" si="343"/>
        <v>0</v>
      </c>
      <c r="O450" s="11">
        <f t="shared" si="343"/>
        <v>0</v>
      </c>
      <c r="P450" s="11">
        <f t="shared" si="343"/>
        <v>0</v>
      </c>
      <c r="Q450" s="11">
        <f t="shared" si="343"/>
        <v>0</v>
      </c>
      <c r="R450" s="11">
        <f t="shared" si="343"/>
        <v>0</v>
      </c>
      <c r="S450" s="11">
        <f t="shared" si="343"/>
        <v>0</v>
      </c>
      <c r="T450" s="464"/>
      <c r="U450" s="464"/>
    </row>
    <row r="451" spans="1:21" s="202" customFormat="1" ht="15" customHeight="1">
      <c r="A451" s="201"/>
      <c r="C451" s="48">
        <f t="shared" ref="C451:C455" si="344">SUM(G451:S451)</f>
        <v>48.058439061899271</v>
      </c>
      <c r="D451" s="465" t="str">
        <f t="shared" ref="D451:D455" si="345">D394</f>
        <v>Production bonus</v>
      </c>
      <c r="E451" s="73" t="s">
        <v>12</v>
      </c>
      <c r="F451" s="463"/>
      <c r="G451" s="11">
        <f t="shared" ref="G451:S455" si="346">G394</f>
        <v>0</v>
      </c>
      <c r="H451" s="11">
        <f t="shared" si="346"/>
        <v>0</v>
      </c>
      <c r="I451" s="11">
        <f t="shared" si="346"/>
        <v>48.058439061899271</v>
      </c>
      <c r="J451" s="11">
        <f t="shared" si="346"/>
        <v>0</v>
      </c>
      <c r="K451" s="11">
        <f t="shared" si="346"/>
        <v>0</v>
      </c>
      <c r="L451" s="11">
        <f t="shared" si="346"/>
        <v>0</v>
      </c>
      <c r="M451" s="11">
        <f t="shared" si="346"/>
        <v>0</v>
      </c>
      <c r="N451" s="11">
        <f t="shared" si="346"/>
        <v>0</v>
      </c>
      <c r="O451" s="11">
        <f t="shared" si="346"/>
        <v>0</v>
      </c>
      <c r="P451" s="11">
        <f t="shared" si="346"/>
        <v>0</v>
      </c>
      <c r="Q451" s="11">
        <f t="shared" si="346"/>
        <v>0</v>
      </c>
      <c r="R451" s="11">
        <f t="shared" si="346"/>
        <v>0</v>
      </c>
      <c r="S451" s="11">
        <f t="shared" si="346"/>
        <v>0</v>
      </c>
      <c r="T451" s="464"/>
      <c r="U451" s="464"/>
    </row>
    <row r="452" spans="1:21" s="202" customFormat="1" ht="15" customHeight="1">
      <c r="A452" s="201"/>
      <c r="C452" s="48">
        <f t="shared" si="344"/>
        <v>1104.2128674225964</v>
      </c>
      <c r="D452" s="465" t="str">
        <f t="shared" si="345"/>
        <v>Profit petroleum</v>
      </c>
      <c r="E452" s="73" t="s">
        <v>12</v>
      </c>
      <c r="F452" s="463"/>
      <c r="G452" s="11">
        <f t="shared" si="346"/>
        <v>0</v>
      </c>
      <c r="H452" s="11">
        <f t="shared" si="346"/>
        <v>0</v>
      </c>
      <c r="I452" s="11">
        <f t="shared" si="346"/>
        <v>16.35199999999999</v>
      </c>
      <c r="J452" s="11">
        <f t="shared" si="346"/>
        <v>44.967999999999996</v>
      </c>
      <c r="K452" s="11">
        <f t="shared" si="346"/>
        <v>211.63235431216305</v>
      </c>
      <c r="L452" s="11">
        <f t="shared" si="346"/>
        <v>250.13304657393033</v>
      </c>
      <c r="M452" s="11">
        <f t="shared" si="346"/>
        <v>147.6364069897065</v>
      </c>
      <c r="N452" s="11">
        <f t="shared" si="346"/>
        <v>146.79499697310598</v>
      </c>
      <c r="O452" s="11">
        <f t="shared" si="346"/>
        <v>110.21254821585644</v>
      </c>
      <c r="P452" s="11">
        <f t="shared" si="346"/>
        <v>85.162427951242933</v>
      </c>
      <c r="Q452" s="11">
        <f t="shared" si="346"/>
        <v>91.321086406591135</v>
      </c>
      <c r="R452" s="11">
        <f t="shared" si="346"/>
        <v>2.9055893198676278E-14</v>
      </c>
      <c r="S452" s="11">
        <f t="shared" si="346"/>
        <v>0</v>
      </c>
      <c r="T452" s="464"/>
      <c r="U452" s="464"/>
    </row>
    <row r="453" spans="1:21" s="202" customFormat="1" ht="15" customHeight="1">
      <c r="A453" s="201"/>
      <c r="C453" s="48">
        <f t="shared" si="344"/>
        <v>186.42332297420936</v>
      </c>
      <c r="D453" s="465" t="str">
        <f t="shared" si="345"/>
        <v>Corporate Income Tax</v>
      </c>
      <c r="E453" s="73" t="s">
        <v>12</v>
      </c>
      <c r="F453" s="463"/>
      <c r="G453" s="11">
        <f t="shared" si="346"/>
        <v>0</v>
      </c>
      <c r="H453" s="11">
        <f t="shared" si="346"/>
        <v>0</v>
      </c>
      <c r="I453" s="11">
        <f t="shared" si="346"/>
        <v>0</v>
      </c>
      <c r="J453" s="11">
        <f t="shared" si="346"/>
        <v>0</v>
      </c>
      <c r="K453" s="11">
        <f t="shared" si="346"/>
        <v>53.93136167944634</v>
      </c>
      <c r="L453" s="11">
        <f t="shared" si="346"/>
        <v>46.280241175699324</v>
      </c>
      <c r="M453" s="11">
        <f t="shared" si="346"/>
        <v>34.120961804413241</v>
      </c>
      <c r="N453" s="11">
        <f t="shared" si="346"/>
        <v>21.096152717359683</v>
      </c>
      <c r="O453" s="11">
        <f t="shared" si="346"/>
        <v>16.34905593885491</v>
      </c>
      <c r="P453" s="11">
        <f t="shared" si="346"/>
        <v>11.695196052144475</v>
      </c>
      <c r="Q453" s="11">
        <f t="shared" si="346"/>
        <v>2.9503536062914102</v>
      </c>
      <c r="R453" s="11">
        <f t="shared" si="346"/>
        <v>7.1135456417087656E-15</v>
      </c>
      <c r="S453" s="11">
        <f t="shared" si="346"/>
        <v>0</v>
      </c>
      <c r="T453" s="464"/>
      <c r="U453" s="464"/>
    </row>
    <row r="454" spans="1:21" s="202" customFormat="1" ht="15" customHeight="1">
      <c r="A454" s="201"/>
      <c r="C454" s="48">
        <f t="shared" si="344"/>
        <v>34.132651541263868</v>
      </c>
      <c r="D454" s="465" t="str">
        <f t="shared" si="345"/>
        <v>Dividend Withholding Tax</v>
      </c>
      <c r="E454" s="73" t="s">
        <v>12</v>
      </c>
      <c r="F454" s="463"/>
      <c r="G454" s="11">
        <f t="shared" si="346"/>
        <v>0</v>
      </c>
      <c r="H454" s="11">
        <f t="shared" si="346"/>
        <v>0</v>
      </c>
      <c r="I454" s="11">
        <f t="shared" si="346"/>
        <v>0</v>
      </c>
      <c r="J454" s="11">
        <f t="shared" si="346"/>
        <v>0</v>
      </c>
      <c r="K454" s="11">
        <f t="shared" si="346"/>
        <v>0</v>
      </c>
      <c r="L454" s="11">
        <f t="shared" si="346"/>
        <v>6.6706794443489583</v>
      </c>
      <c r="M454" s="11">
        <f t="shared" si="346"/>
        <v>5.254386270037636</v>
      </c>
      <c r="N454" s="11">
        <f t="shared" si="346"/>
        <v>6.5353246702149024</v>
      </c>
      <c r="O454" s="11">
        <f t="shared" si="346"/>
        <v>5.5404917041856541</v>
      </c>
      <c r="P454" s="11">
        <f t="shared" si="346"/>
        <v>4.565196579462885</v>
      </c>
      <c r="Q454" s="11">
        <f t="shared" si="346"/>
        <v>5.5665728730138317</v>
      </c>
      <c r="R454" s="11">
        <f t="shared" si="346"/>
        <v>1.4227091283417532E-15</v>
      </c>
      <c r="S454" s="11">
        <f t="shared" si="346"/>
        <v>0</v>
      </c>
      <c r="T454" s="464"/>
      <c r="U454" s="464"/>
    </row>
    <row r="455" spans="1:21" s="202" customFormat="1" ht="15" customHeight="1">
      <c r="A455" s="201"/>
      <c r="C455" s="48">
        <f t="shared" si="344"/>
        <v>126.57348927653337</v>
      </c>
      <c r="D455" s="465" t="str">
        <f t="shared" si="345"/>
        <v>SOC</v>
      </c>
      <c r="E455" s="73" t="s">
        <v>12</v>
      </c>
      <c r="F455" s="463"/>
      <c r="G455" s="11">
        <f t="shared" si="346"/>
        <v>0</v>
      </c>
      <c r="H455" s="11">
        <f t="shared" si="346"/>
        <v>-50</v>
      </c>
      <c r="I455" s="11">
        <f t="shared" si="346"/>
        <v>1.5489560938100759</v>
      </c>
      <c r="J455" s="11">
        <f t="shared" si="346"/>
        <v>17.728200000000005</v>
      </c>
      <c r="K455" s="11">
        <f t="shared" si="346"/>
        <v>48.511764568783683</v>
      </c>
      <c r="L455" s="11">
        <f t="shared" si="346"/>
        <v>30.42669534260698</v>
      </c>
      <c r="M455" s="11">
        <f t="shared" si="346"/>
        <v>23.219820509977474</v>
      </c>
      <c r="N455" s="11">
        <f t="shared" si="346"/>
        <v>16.866960680184203</v>
      </c>
      <c r="O455" s="11">
        <f t="shared" si="346"/>
        <v>14.128765558063117</v>
      </c>
      <c r="P455" s="11">
        <f t="shared" si="346"/>
        <v>11.444347515711357</v>
      </c>
      <c r="Q455" s="11">
        <f t="shared" si="346"/>
        <v>12.697979007396455</v>
      </c>
      <c r="R455" s="11">
        <f t="shared" si="346"/>
        <v>3.9519698009493147E-15</v>
      </c>
      <c r="S455" s="11">
        <f t="shared" si="346"/>
        <v>0</v>
      </c>
      <c r="T455" s="464"/>
      <c r="U455" s="464"/>
    </row>
    <row r="456" spans="1:21" s="376" customFormat="1" ht="15" customHeight="1">
      <c r="C456" s="489">
        <f t="shared" ref="C456" si="347">SUM(G456:S456)</f>
        <v>1499.4007702765023</v>
      </c>
      <c r="D456" s="373" t="s">
        <v>244</v>
      </c>
      <c r="E456" s="373" t="s">
        <v>12</v>
      </c>
      <c r="F456" s="374"/>
      <c r="G456" s="377">
        <f>SUM(G450:G455)</f>
        <v>0</v>
      </c>
      <c r="H456" s="377">
        <f t="shared" ref="H456:S456" si="348">SUM(H450:H455)</f>
        <v>-50</v>
      </c>
      <c r="I456" s="377">
        <f t="shared" si="348"/>
        <v>65.959395155709345</v>
      </c>
      <c r="J456" s="377">
        <f t="shared" si="348"/>
        <v>62.696200000000005</v>
      </c>
      <c r="K456" s="377">
        <f t="shared" si="348"/>
        <v>314.07548056039309</v>
      </c>
      <c r="L456" s="377">
        <f t="shared" si="348"/>
        <v>333.51066253658558</v>
      </c>
      <c r="M456" s="377">
        <f t="shared" si="348"/>
        <v>210.23157557413484</v>
      </c>
      <c r="N456" s="377">
        <f t="shared" si="348"/>
        <v>191.29343504086475</v>
      </c>
      <c r="O456" s="377">
        <f t="shared" si="348"/>
        <v>146.23086141696012</v>
      </c>
      <c r="P456" s="377">
        <f t="shared" si="348"/>
        <v>112.86716809856163</v>
      </c>
      <c r="Q456" s="377">
        <f t="shared" si="348"/>
        <v>112.53599189329283</v>
      </c>
      <c r="R456" s="377">
        <f t="shared" si="348"/>
        <v>4.1544117769676113E-14</v>
      </c>
      <c r="S456" s="377">
        <f t="shared" si="348"/>
        <v>0</v>
      </c>
      <c r="T456" s="381"/>
      <c r="U456" s="381"/>
    </row>
    <row r="457" spans="1:21" s="202" customFormat="1" ht="15" customHeight="1">
      <c r="A457" s="201"/>
      <c r="C457" s="259"/>
      <c r="D457" s="465"/>
      <c r="E457" s="462"/>
      <c r="F457" s="463"/>
      <c r="G457" s="463"/>
      <c r="H457" s="463"/>
      <c r="I457" s="463"/>
      <c r="J457" s="463"/>
      <c r="K457" s="463"/>
      <c r="L457" s="463"/>
      <c r="M457" s="463"/>
      <c r="N457" s="463"/>
      <c r="O457" s="463"/>
      <c r="P457" s="463"/>
      <c r="Q457" s="463"/>
      <c r="R457" s="463"/>
      <c r="S457" s="463"/>
      <c r="T457" s="464"/>
      <c r="U457" s="464"/>
    </row>
    <row r="458" spans="1:21" s="202" customFormat="1" ht="15" customHeight="1">
      <c r="A458" s="201"/>
      <c r="C458" s="259"/>
      <c r="D458" s="465"/>
      <c r="E458" s="462"/>
      <c r="F458" s="463"/>
      <c r="G458" s="463"/>
      <c r="H458" s="463"/>
      <c r="I458" s="463"/>
      <c r="J458" s="463"/>
      <c r="K458" s="463"/>
      <c r="L458" s="463"/>
      <c r="M458" s="463"/>
      <c r="N458" s="463"/>
      <c r="O458" s="463"/>
      <c r="P458" s="463"/>
      <c r="Q458" s="463"/>
      <c r="R458" s="463"/>
      <c r="S458" s="463"/>
      <c r="T458" s="464"/>
      <c r="U458" s="464"/>
    </row>
    <row r="459" spans="1:21" s="202" customFormat="1" ht="15" customHeight="1">
      <c r="A459" s="201"/>
      <c r="C459" s="259"/>
      <c r="D459" s="465"/>
      <c r="E459" s="462"/>
      <c r="F459" s="463"/>
      <c r="G459" s="463"/>
      <c r="H459" s="463"/>
      <c r="I459" s="463"/>
      <c r="J459" s="463"/>
      <c r="K459" s="463"/>
      <c r="L459" s="463"/>
      <c r="M459" s="463"/>
      <c r="N459" s="463"/>
      <c r="O459" s="463"/>
      <c r="P459" s="463"/>
      <c r="Q459" s="463"/>
      <c r="R459" s="463"/>
      <c r="S459" s="463"/>
      <c r="T459" s="464"/>
      <c r="U459" s="464"/>
    </row>
    <row r="460" spans="1:21" s="202" customFormat="1" ht="15" customHeight="1">
      <c r="A460" s="201"/>
      <c r="C460" s="259"/>
      <c r="D460" s="465"/>
      <c r="E460" s="462"/>
      <c r="F460" s="463"/>
      <c r="G460" s="463"/>
      <c r="H460" s="463"/>
      <c r="I460" s="463"/>
      <c r="J460" s="463"/>
      <c r="K460" s="463"/>
      <c r="L460" s="463"/>
      <c r="M460" s="463"/>
      <c r="N460" s="463"/>
      <c r="O460" s="463"/>
      <c r="P460" s="463"/>
      <c r="Q460" s="463"/>
      <c r="R460" s="463"/>
      <c r="S460" s="463"/>
      <c r="T460" s="464"/>
      <c r="U460" s="464"/>
    </row>
    <row r="461" spans="1:21" s="202" customFormat="1" ht="15" customHeight="1">
      <c r="A461" s="201"/>
      <c r="C461" s="259"/>
      <c r="D461" s="465"/>
      <c r="E461" s="462"/>
      <c r="F461" s="463"/>
      <c r="G461" s="185" t="s">
        <v>245</v>
      </c>
      <c r="H461" s="463"/>
      <c r="I461" s="463"/>
      <c r="J461" s="463"/>
      <c r="K461" s="463"/>
      <c r="L461" s="463"/>
      <c r="M461" s="463"/>
      <c r="N461" s="463"/>
      <c r="O461" s="463"/>
      <c r="P461" s="463"/>
      <c r="Q461" s="463"/>
      <c r="R461" s="463"/>
      <c r="S461" s="463"/>
      <c r="T461" s="464"/>
      <c r="U461" s="464"/>
    </row>
    <row r="462" spans="1:21" s="202" customFormat="1" ht="15" customHeight="1">
      <c r="A462" s="201"/>
      <c r="C462" s="259"/>
      <c r="D462" s="465"/>
      <c r="E462" s="462"/>
      <c r="F462" s="463"/>
      <c r="G462" s="185" t="str">
        <f>"Government Revenue ($mm), regime: "&amp;F6</f>
        <v>Government Revenue ($mm), regime: DROP</v>
      </c>
      <c r="H462" s="463"/>
      <c r="I462" s="463"/>
      <c r="J462" s="463"/>
      <c r="K462" s="463"/>
      <c r="L462" s="463"/>
      <c r="M462" s="463"/>
      <c r="N462" s="463"/>
      <c r="O462" s="463"/>
      <c r="P462" s="463"/>
      <c r="Q462" s="463"/>
      <c r="R462" s="463"/>
      <c r="S462" s="463"/>
      <c r="T462" s="464"/>
      <c r="U462" s="464"/>
    </row>
    <row r="463" spans="1:21" s="202" customFormat="1" ht="15" customHeight="1">
      <c r="A463" s="201"/>
      <c r="C463" s="259"/>
      <c r="D463" s="465"/>
      <c r="E463" s="462"/>
      <c r="F463" s="463"/>
      <c r="G463" s="463"/>
      <c r="H463" s="463"/>
      <c r="I463" s="463"/>
      <c r="J463" s="463"/>
      <c r="K463" s="463"/>
      <c r="L463" s="463"/>
      <c r="M463" s="463"/>
      <c r="N463" s="463"/>
      <c r="O463" s="463"/>
      <c r="P463" s="463"/>
      <c r="Q463" s="463"/>
      <c r="R463" s="463"/>
      <c r="S463" s="463"/>
      <c r="T463" s="464"/>
      <c r="U463" s="464"/>
    </row>
    <row r="464" spans="1:21" s="202" customFormat="1" ht="15" customHeight="1">
      <c r="A464" s="201"/>
      <c r="C464" s="259"/>
      <c r="D464" s="465"/>
      <c r="E464" s="462"/>
      <c r="F464" s="463"/>
      <c r="G464" s="463"/>
      <c r="H464" s="463"/>
      <c r="I464" s="463"/>
      <c r="J464" s="463"/>
      <c r="K464" s="463"/>
      <c r="L464" s="463"/>
      <c r="M464" s="463"/>
      <c r="N464" s="463"/>
      <c r="O464" s="463"/>
      <c r="P464" s="463"/>
      <c r="Q464" s="463"/>
      <c r="R464" s="463"/>
      <c r="S464" s="463"/>
      <c r="T464" s="464"/>
      <c r="U464" s="464"/>
    </row>
    <row r="465" spans="1:54" s="202" customFormat="1" ht="15" customHeight="1">
      <c r="A465" s="201"/>
      <c r="C465" s="259"/>
      <c r="D465" s="465"/>
      <c r="E465" s="462"/>
      <c r="F465" s="463"/>
      <c r="G465" s="463"/>
      <c r="H465" s="463"/>
      <c r="I465" s="463"/>
      <c r="J465" s="463"/>
      <c r="K465" s="463"/>
      <c r="L465" s="463"/>
      <c r="M465" s="463"/>
      <c r="N465" s="463"/>
      <c r="O465" s="463"/>
      <c r="P465" s="463"/>
      <c r="Q465" s="463"/>
      <c r="R465" s="463"/>
      <c r="S465" s="463"/>
      <c r="T465" s="464"/>
      <c r="U465" s="464"/>
    </row>
    <row r="466" spans="1:54" s="202" customFormat="1" ht="15" customHeight="1">
      <c r="A466" s="201"/>
      <c r="C466" s="259"/>
      <c r="D466" s="465"/>
      <c r="E466" s="462"/>
      <c r="F466" s="463"/>
      <c r="G466" s="463"/>
      <c r="H466" s="463"/>
      <c r="I466" s="463"/>
      <c r="J466" s="463"/>
      <c r="K466" s="463"/>
      <c r="L466" s="463"/>
      <c r="M466" s="463"/>
      <c r="N466" s="463"/>
      <c r="O466" s="463"/>
      <c r="P466" s="463"/>
      <c r="Q466" s="463"/>
      <c r="R466" s="463"/>
      <c r="S466" s="463"/>
      <c r="T466" s="464"/>
      <c r="U466" s="464"/>
    </row>
    <row r="467" spans="1:54" s="202" customFormat="1" ht="15" customHeight="1">
      <c r="A467" s="201"/>
      <c r="C467" s="259"/>
      <c r="D467" s="465"/>
      <c r="E467" s="462"/>
      <c r="F467" s="463"/>
      <c r="G467" s="463"/>
      <c r="H467" s="463"/>
      <c r="I467" s="463"/>
      <c r="J467" s="463"/>
      <c r="K467" s="463"/>
      <c r="L467" s="463"/>
      <c r="M467" s="463"/>
      <c r="N467" s="463"/>
      <c r="O467" s="463"/>
      <c r="P467" s="463"/>
      <c r="Q467" s="463"/>
      <c r="R467" s="463"/>
      <c r="S467" s="463"/>
      <c r="T467" s="464"/>
      <c r="U467" s="464"/>
    </row>
    <row r="468" spans="1:54" s="202" customFormat="1" ht="15" customHeight="1">
      <c r="A468" s="201"/>
      <c r="C468" s="259"/>
      <c r="D468" s="465"/>
      <c r="E468" s="462"/>
      <c r="F468" s="463"/>
      <c r="G468" s="463"/>
      <c r="H468" s="463"/>
      <c r="I468" s="463"/>
      <c r="J468" s="463"/>
      <c r="K468" s="463"/>
      <c r="L468" s="463"/>
      <c r="M468" s="463"/>
      <c r="N468" s="463"/>
      <c r="O468" s="463"/>
      <c r="P468" s="463"/>
      <c r="Q468" s="463"/>
      <c r="R468" s="463"/>
      <c r="S468" s="463"/>
      <c r="T468" s="464"/>
      <c r="U468" s="464"/>
    </row>
    <row r="469" spans="1:54" s="202" customFormat="1" ht="15" customHeight="1">
      <c r="A469" s="201"/>
      <c r="C469" s="259"/>
      <c r="D469" s="462"/>
      <c r="E469" s="462"/>
      <c r="F469" s="463"/>
      <c r="G469" s="463"/>
      <c r="H469" s="463"/>
      <c r="I469" s="463"/>
      <c r="J469" s="463"/>
      <c r="K469" s="463"/>
      <c r="L469" s="463"/>
      <c r="M469" s="463"/>
      <c r="N469" s="463"/>
      <c r="O469" s="463"/>
      <c r="P469" s="463"/>
      <c r="Q469" s="463"/>
      <c r="R469" s="463"/>
      <c r="S469" s="463"/>
      <c r="T469" s="464"/>
      <c r="U469" s="464"/>
    </row>
    <row r="470" spans="1:54" s="202" customFormat="1" ht="15" customHeight="1">
      <c r="A470" s="201"/>
      <c r="C470" s="259"/>
      <c r="D470" s="462"/>
      <c r="E470" s="462"/>
      <c r="F470" s="463"/>
      <c r="G470" s="463"/>
      <c r="H470" s="463"/>
      <c r="I470" s="463"/>
      <c r="J470" s="463"/>
      <c r="K470" s="463"/>
      <c r="L470" s="463"/>
      <c r="M470" s="463"/>
      <c r="N470" s="463"/>
      <c r="O470" s="463"/>
      <c r="P470" s="463"/>
      <c r="Q470" s="463"/>
      <c r="R470" s="463"/>
      <c r="S470" s="463"/>
      <c r="T470" s="464"/>
      <c r="U470" s="464"/>
    </row>
    <row r="471" spans="1:54" s="202" customFormat="1" ht="15" customHeight="1">
      <c r="A471" s="201"/>
      <c r="C471" s="259"/>
      <c r="D471" s="462"/>
      <c r="E471" s="462"/>
      <c r="F471" s="463"/>
      <c r="G471" s="463"/>
      <c r="H471" s="463"/>
      <c r="I471" s="463"/>
      <c r="J471" s="463"/>
      <c r="K471" s="463"/>
      <c r="L471" s="463"/>
      <c r="M471" s="463"/>
      <c r="N471" s="463"/>
      <c r="O471" s="463"/>
      <c r="P471" s="463"/>
      <c r="Q471" s="463"/>
      <c r="R471" s="463"/>
      <c r="S471" s="463"/>
      <c r="T471" s="464"/>
      <c r="U471" s="464"/>
    </row>
    <row r="472" spans="1:54" s="202" customFormat="1" ht="15" customHeight="1">
      <c r="A472" s="201"/>
      <c r="C472" s="259"/>
      <c r="D472" s="462"/>
      <c r="E472" s="462"/>
      <c r="F472" s="463"/>
      <c r="G472" s="463"/>
      <c r="H472" s="463"/>
      <c r="I472" s="463"/>
      <c r="J472" s="463"/>
      <c r="K472" s="463"/>
      <c r="L472" s="463"/>
      <c r="M472" s="463"/>
      <c r="N472" s="463"/>
      <c r="O472" s="463"/>
      <c r="P472" s="463"/>
      <c r="Q472" s="463"/>
      <c r="R472" s="463"/>
      <c r="S472" s="463"/>
      <c r="T472" s="464"/>
      <c r="U472" s="464"/>
    </row>
    <row r="473" spans="1:54" s="202" customFormat="1" ht="15" customHeight="1">
      <c r="A473" s="201"/>
      <c r="C473" s="259"/>
      <c r="D473" s="462"/>
      <c r="E473" s="462"/>
      <c r="F473" s="463"/>
      <c r="G473" s="463"/>
      <c r="H473" s="463"/>
      <c r="I473" s="463"/>
      <c r="J473" s="463"/>
      <c r="K473" s="463"/>
      <c r="L473" s="463"/>
      <c r="M473" s="463"/>
      <c r="N473" s="463"/>
      <c r="O473" s="463"/>
      <c r="P473" s="463"/>
      <c r="Q473" s="463"/>
      <c r="R473" s="463"/>
      <c r="S473" s="463"/>
      <c r="T473" s="464"/>
      <c r="U473" s="464"/>
    </row>
    <row r="474" spans="1:54" s="202" customFormat="1" ht="15" customHeight="1">
      <c r="A474" s="201"/>
      <c r="C474" s="259"/>
      <c r="D474" s="462"/>
      <c r="E474" s="462"/>
      <c r="F474" s="463"/>
      <c r="G474" s="463"/>
      <c r="H474" s="463"/>
      <c r="I474" s="463"/>
      <c r="J474" s="463"/>
      <c r="K474" s="463"/>
      <c r="L474" s="463"/>
      <c r="M474" s="463"/>
      <c r="N474" s="463"/>
      <c r="O474" s="463"/>
      <c r="P474" s="463"/>
      <c r="Q474" s="463"/>
      <c r="R474" s="463"/>
      <c r="S474" s="463"/>
      <c r="T474" s="464"/>
      <c r="U474" s="464"/>
    </row>
    <row r="475" spans="1:54" s="202" customFormat="1" ht="15" customHeight="1">
      <c r="A475" s="201"/>
      <c r="C475" s="259"/>
      <c r="D475" s="200" t="s">
        <v>374</v>
      </c>
      <c r="E475" s="200"/>
      <c r="F475" s="284"/>
      <c r="G475" s="284"/>
      <c r="H475" s="284"/>
      <c r="I475" s="284"/>
      <c r="J475" s="284"/>
      <c r="K475" s="284"/>
      <c r="L475" s="284"/>
      <c r="M475" s="284"/>
      <c r="N475" s="284"/>
      <c r="O475" s="284"/>
      <c r="P475" s="284"/>
      <c r="Q475" s="284"/>
      <c r="R475" s="284"/>
      <c r="S475" s="284"/>
      <c r="T475" s="213"/>
      <c r="U475" s="213"/>
    </row>
    <row r="476" spans="1:54" s="287" customFormat="1" ht="26">
      <c r="A476" s="286"/>
      <c r="B476" s="314"/>
      <c r="C476" s="288"/>
      <c r="E476" s="289"/>
      <c r="G476" s="389" t="str">
        <f>H6</f>
        <v>DROP</v>
      </c>
      <c r="H476" s="389" t="str">
        <f t="shared" ref="H476:K476" si="349">I6</f>
        <v>Rfactor</v>
      </c>
      <c r="I476" s="389" t="str">
        <f t="shared" si="349"/>
        <v>Royalty + CIT</v>
      </c>
      <c r="J476" s="389" t="str">
        <f t="shared" si="349"/>
        <v>Alt1</v>
      </c>
      <c r="K476" s="389" t="str">
        <f t="shared" si="349"/>
        <v>Alt2</v>
      </c>
      <c r="L476" s="291"/>
      <c r="M476" s="291"/>
      <c r="N476" s="291"/>
      <c r="O476" s="291"/>
      <c r="P476" s="291"/>
      <c r="Q476" s="291"/>
      <c r="R476" s="291"/>
      <c r="S476" s="291"/>
      <c r="V476" s="291"/>
      <c r="W476" s="299"/>
      <c r="X476" s="299"/>
      <c r="Y476" s="299"/>
      <c r="Z476" s="299"/>
      <c r="AA476" s="299"/>
      <c r="AB476" s="299"/>
      <c r="AC476" s="299"/>
      <c r="AD476" s="299"/>
      <c r="AE476" s="299"/>
      <c r="AF476" s="299"/>
      <c r="AG476" s="299"/>
      <c r="AH476" s="291"/>
      <c r="AI476" s="291"/>
      <c r="AJ476" s="291"/>
      <c r="AK476" s="291"/>
      <c r="AL476" s="291"/>
      <c r="AM476" s="291"/>
      <c r="AN476" s="291"/>
      <c r="AO476" s="291"/>
      <c r="AP476" s="291"/>
      <c r="AQ476" s="291"/>
      <c r="AR476" s="291"/>
      <c r="AS476" s="291"/>
      <c r="AT476" s="291"/>
      <c r="AU476" s="291"/>
      <c r="AV476" s="291"/>
      <c r="AW476" s="291"/>
      <c r="AX476" s="291"/>
      <c r="AY476" s="291"/>
      <c r="AZ476" s="291"/>
      <c r="BA476" s="291"/>
      <c r="BB476" s="291"/>
    </row>
    <row r="477" spans="1:54" s="287" customFormat="1" ht="15" customHeight="1">
      <c r="A477" s="286"/>
      <c r="B477" s="314"/>
      <c r="C477" s="288"/>
      <c r="D477" s="289" t="s">
        <v>246</v>
      </c>
      <c r="E477" s="289"/>
      <c r="G477" s="390">
        <f t="shared" ref="G477" si="350">H7</f>
        <v>1</v>
      </c>
      <c r="H477" s="390">
        <f t="shared" ref="H477:K477" si="351">I7</f>
        <v>2</v>
      </c>
      <c r="I477" s="390">
        <f t="shared" si="351"/>
        <v>3</v>
      </c>
      <c r="J477" s="390">
        <f t="shared" si="351"/>
        <v>4</v>
      </c>
      <c r="K477" s="390">
        <f t="shared" si="351"/>
        <v>5</v>
      </c>
      <c r="L477" s="291"/>
      <c r="M477" s="291"/>
      <c r="N477" s="291"/>
      <c r="O477" s="291"/>
      <c r="P477" s="291"/>
      <c r="Q477" s="291"/>
      <c r="R477" s="291"/>
      <c r="S477" s="291"/>
      <c r="V477" s="291"/>
      <c r="W477" s="299"/>
      <c r="X477" s="299"/>
      <c r="Y477" s="299"/>
      <c r="Z477" s="299"/>
      <c r="AA477" s="299"/>
      <c r="AB477" s="299"/>
      <c r="AC477" s="299"/>
      <c r="AD477" s="299"/>
      <c r="AE477" s="299"/>
      <c r="AF477" s="299"/>
      <c r="AG477" s="299"/>
      <c r="AH477" s="291"/>
      <c r="AI477" s="291"/>
      <c r="AJ477" s="291"/>
      <c r="AK477" s="291"/>
      <c r="AL477" s="291"/>
      <c r="AM477" s="291"/>
      <c r="AN477" s="291"/>
      <c r="AO477" s="291"/>
      <c r="AP477" s="291"/>
      <c r="AQ477" s="291"/>
      <c r="AR477" s="291"/>
      <c r="AS477" s="291"/>
      <c r="AT477" s="291"/>
      <c r="AU477" s="291"/>
      <c r="AV477" s="291"/>
      <c r="AW477" s="291"/>
      <c r="AX477" s="291"/>
      <c r="AY477" s="291"/>
      <c r="AZ477" s="291"/>
      <c r="BA477" s="291"/>
      <c r="BB477" s="291"/>
    </row>
    <row r="478" spans="1:54" s="287" customFormat="1" ht="15" customHeight="1">
      <c r="A478" s="286"/>
      <c r="B478" s="314"/>
      <c r="C478" s="288"/>
      <c r="D478" s="289" t="str">
        <f t="shared" ref="D478:D484" si="352">D450</f>
        <v>Royalty</v>
      </c>
      <c r="E478" s="289" t="s">
        <v>12</v>
      </c>
      <c r="F478" s="387">
        <f>C450</f>
        <v>0</v>
      </c>
      <c r="G478" s="469">
        <f t="dataTable" ref="G478:K484" dt2D="0" dtr="1" r1="F7"/>
        <v>0</v>
      </c>
      <c r="H478" s="469">
        <v>0</v>
      </c>
      <c r="I478" s="469">
        <v>1015.9399488000003</v>
      </c>
      <c r="J478" s="469">
        <v>0</v>
      </c>
      <c r="K478" s="469">
        <v>0</v>
      </c>
      <c r="L478" s="291"/>
      <c r="M478" s="291"/>
      <c r="N478" s="291"/>
      <c r="O478" s="291"/>
      <c r="P478" s="291"/>
      <c r="Q478" s="291"/>
      <c r="R478" s="291"/>
      <c r="S478" s="291"/>
      <c r="V478" s="291"/>
      <c r="W478" s="299"/>
      <c r="X478" s="299"/>
      <c r="Y478" s="299"/>
      <c r="Z478" s="299"/>
      <c r="AA478" s="299"/>
      <c r="AB478" s="299"/>
      <c r="AC478" s="299"/>
      <c r="AD478" s="299"/>
      <c r="AE478" s="299"/>
      <c r="AF478" s="299"/>
      <c r="AG478" s="299"/>
      <c r="AH478" s="291"/>
      <c r="AI478" s="291"/>
      <c r="AJ478" s="291"/>
      <c r="AK478" s="291"/>
      <c r="AL478" s="291"/>
      <c r="AM478" s="291"/>
      <c r="AN478" s="291"/>
      <c r="AO478" s="291"/>
      <c r="AP478" s="291"/>
      <c r="AQ478" s="291"/>
      <c r="AR478" s="291"/>
      <c r="AS478" s="291"/>
      <c r="AT478" s="291"/>
      <c r="AU478" s="291"/>
      <c r="AV478" s="291"/>
      <c r="AW478" s="291"/>
      <c r="AX478" s="291"/>
      <c r="AY478" s="291"/>
      <c r="AZ478" s="291"/>
      <c r="BA478" s="291"/>
      <c r="BB478" s="291"/>
    </row>
    <row r="479" spans="1:54" s="287" customFormat="1" ht="15" customHeight="1">
      <c r="A479" s="286"/>
      <c r="B479" s="314"/>
      <c r="C479" s="288"/>
      <c r="D479" s="289" t="str">
        <f t="shared" si="352"/>
        <v>Production bonus</v>
      </c>
      <c r="E479" s="289" t="s">
        <v>12</v>
      </c>
      <c r="F479" s="387">
        <f t="shared" ref="F479:F483" si="353">C451</f>
        <v>48.058439061899271</v>
      </c>
      <c r="G479" s="311">
        <v>48.058439061899271</v>
      </c>
      <c r="H479" s="311">
        <v>48.058439061899271</v>
      </c>
      <c r="I479" s="311">
        <v>48.058439061899271</v>
      </c>
      <c r="J479" s="311">
        <v>0</v>
      </c>
      <c r="K479" s="311">
        <v>0</v>
      </c>
      <c r="L479" s="291"/>
      <c r="M479" s="291"/>
      <c r="N479" s="291"/>
      <c r="O479" s="291"/>
      <c r="P479" s="291"/>
      <c r="Q479" s="291"/>
      <c r="R479" s="291"/>
      <c r="S479" s="291"/>
      <c r="V479" s="291"/>
      <c r="W479" s="299"/>
      <c r="X479" s="299"/>
      <c r="Y479" s="299"/>
      <c r="Z479" s="299"/>
      <c r="AA479" s="299"/>
      <c r="AB479" s="299"/>
      <c r="AC479" s="299"/>
      <c r="AD479" s="299"/>
      <c r="AE479" s="299"/>
      <c r="AF479" s="299"/>
      <c r="AG479" s="299"/>
      <c r="AH479" s="291"/>
      <c r="AI479" s="291"/>
      <c r="AJ479" s="291"/>
      <c r="AK479" s="291"/>
      <c r="AL479" s="291"/>
      <c r="AM479" s="291"/>
      <c r="AN479" s="291"/>
      <c r="AO479" s="291"/>
      <c r="AP479" s="291"/>
      <c r="AQ479" s="291"/>
      <c r="AR479" s="291"/>
      <c r="AS479" s="291"/>
      <c r="AT479" s="291"/>
      <c r="AU479" s="291"/>
      <c r="AV479" s="291"/>
      <c r="AW479" s="291"/>
      <c r="AX479" s="291"/>
      <c r="AY479" s="291"/>
      <c r="AZ479" s="291"/>
      <c r="BA479" s="291"/>
      <c r="BB479" s="291"/>
    </row>
    <row r="480" spans="1:54" s="287" customFormat="1" ht="15" customHeight="1">
      <c r="A480" s="286"/>
      <c r="B480" s="314"/>
      <c r="C480" s="288"/>
      <c r="D480" s="289" t="str">
        <f t="shared" si="352"/>
        <v>Profit petroleum</v>
      </c>
      <c r="E480" s="289" t="s">
        <v>12</v>
      </c>
      <c r="F480" s="387">
        <f t="shared" si="353"/>
        <v>1104.2128674225964</v>
      </c>
      <c r="G480" s="311">
        <v>1104.2128674225964</v>
      </c>
      <c r="H480" s="311">
        <v>1122.273346752324</v>
      </c>
      <c r="I480" s="311">
        <v>0</v>
      </c>
      <c r="J480" s="311">
        <v>0</v>
      </c>
      <c r="K480" s="311">
        <v>0</v>
      </c>
      <c r="L480" s="291"/>
      <c r="M480" s="291"/>
      <c r="N480" s="291"/>
      <c r="O480" s="291"/>
      <c r="P480" s="291"/>
      <c r="Q480" s="291"/>
      <c r="R480" s="291"/>
      <c r="S480" s="291"/>
      <c r="V480" s="291"/>
      <c r="W480" s="299"/>
      <c r="X480" s="299"/>
      <c r="Y480" s="299"/>
      <c r="Z480" s="299"/>
      <c r="AA480" s="299"/>
      <c r="AB480" s="299"/>
      <c r="AC480" s="299"/>
      <c r="AD480" s="299"/>
      <c r="AE480" s="299"/>
      <c r="AF480" s="299"/>
      <c r="AG480" s="299"/>
      <c r="AH480" s="291"/>
      <c r="AI480" s="291"/>
      <c r="AJ480" s="291"/>
      <c r="AK480" s="291"/>
      <c r="AL480" s="291"/>
      <c r="AM480" s="291"/>
      <c r="AN480" s="291"/>
      <c r="AO480" s="291"/>
      <c r="AP480" s="291"/>
      <c r="AQ480" s="291"/>
      <c r="AR480" s="291"/>
      <c r="AS480" s="291"/>
      <c r="AT480" s="291"/>
      <c r="AU480" s="291"/>
      <c r="AV480" s="291"/>
      <c r="AW480" s="291"/>
      <c r="AX480" s="291"/>
      <c r="AY480" s="291"/>
      <c r="AZ480" s="291"/>
      <c r="BA480" s="291"/>
      <c r="BB480" s="291"/>
    </row>
    <row r="481" spans="1:54" s="287" customFormat="1" ht="15" customHeight="1">
      <c r="A481" s="286"/>
      <c r="B481" s="314"/>
      <c r="C481" s="288"/>
      <c r="D481" s="289" t="str">
        <f t="shared" si="352"/>
        <v>Corporate Income Tax</v>
      </c>
      <c r="E481" s="289" t="s">
        <v>12</v>
      </c>
      <c r="F481" s="387">
        <f t="shared" si="353"/>
        <v>186.42332297420936</v>
      </c>
      <c r="G481" s="311">
        <v>186.42332297420936</v>
      </c>
      <c r="H481" s="311">
        <v>168.21664019063329</v>
      </c>
      <c r="I481" s="311">
        <v>281.37435953238526</v>
      </c>
      <c r="J481" s="311">
        <v>0</v>
      </c>
      <c r="K481" s="311">
        <v>0</v>
      </c>
      <c r="L481" s="291"/>
      <c r="M481" s="291"/>
      <c r="N481" s="291"/>
      <c r="O481" s="291"/>
      <c r="P481" s="291"/>
      <c r="Q481" s="291"/>
      <c r="R481" s="291"/>
      <c r="S481" s="291"/>
      <c r="V481" s="291"/>
      <c r="W481" s="299"/>
      <c r="X481" s="299"/>
      <c r="Y481" s="299"/>
      <c r="Z481" s="299"/>
      <c r="AA481" s="299"/>
      <c r="AB481" s="299"/>
      <c r="AC481" s="299"/>
      <c r="AD481" s="299"/>
      <c r="AE481" s="299"/>
      <c r="AF481" s="299"/>
      <c r="AG481" s="299"/>
      <c r="AH481" s="291"/>
      <c r="AI481" s="291"/>
      <c r="AJ481" s="291"/>
      <c r="AK481" s="291"/>
      <c r="AL481" s="291"/>
      <c r="AM481" s="291"/>
      <c r="AN481" s="291"/>
      <c r="AO481" s="291"/>
      <c r="AP481" s="291"/>
      <c r="AQ481" s="291"/>
      <c r="AR481" s="291"/>
      <c r="AS481" s="291"/>
      <c r="AT481" s="291"/>
      <c r="AU481" s="291"/>
      <c r="AV481" s="291"/>
      <c r="AW481" s="291"/>
      <c r="AX481" s="291"/>
      <c r="AY481" s="291"/>
      <c r="AZ481" s="291"/>
      <c r="BA481" s="291"/>
      <c r="BB481" s="291"/>
    </row>
    <row r="482" spans="1:54" s="287" customFormat="1" ht="15" customHeight="1">
      <c r="A482" s="286"/>
      <c r="B482" s="314"/>
      <c r="C482" s="288"/>
      <c r="D482" s="289" t="str">
        <f t="shared" si="352"/>
        <v>Dividend Withholding Tax</v>
      </c>
      <c r="E482" s="289" t="s">
        <v>12</v>
      </c>
      <c r="F482" s="387">
        <f t="shared" si="353"/>
        <v>34.132651541263868</v>
      </c>
      <c r="G482" s="311">
        <v>34.132651541263868</v>
      </c>
      <c r="H482" s="311">
        <v>31.409680787880525</v>
      </c>
      <c r="I482" s="311">
        <v>30.6420359469031</v>
      </c>
      <c r="J482" s="311">
        <v>0</v>
      </c>
      <c r="K482" s="311">
        <v>0</v>
      </c>
      <c r="L482" s="291"/>
      <c r="M482" s="291"/>
      <c r="N482" s="291"/>
      <c r="O482" s="291"/>
      <c r="P482" s="291"/>
      <c r="Q482" s="291"/>
      <c r="R482" s="291"/>
      <c r="S482" s="291"/>
      <c r="V482" s="291"/>
      <c r="W482" s="299"/>
      <c r="X482" s="299"/>
      <c r="Y482" s="299"/>
      <c r="Z482" s="299"/>
      <c r="AA482" s="299"/>
      <c r="AB482" s="299"/>
      <c r="AC482" s="299"/>
      <c r="AD482" s="299"/>
      <c r="AE482" s="299"/>
      <c r="AF482" s="299"/>
      <c r="AG482" s="299"/>
      <c r="AH482" s="291"/>
      <c r="AI482" s="291"/>
      <c r="AJ482" s="291"/>
      <c r="AK482" s="291"/>
      <c r="AL482" s="291"/>
      <c r="AM482" s="291"/>
      <c r="AN482" s="291"/>
      <c r="AO482" s="291"/>
      <c r="AP482" s="291"/>
      <c r="AQ482" s="291"/>
      <c r="AR482" s="291"/>
      <c r="AS482" s="291"/>
      <c r="AT482" s="291"/>
      <c r="AU482" s="291"/>
      <c r="AV482" s="291"/>
      <c r="AW482" s="291"/>
      <c r="AX482" s="291"/>
      <c r="AY482" s="291"/>
      <c r="AZ482" s="291"/>
      <c r="BA482" s="291"/>
      <c r="BB482" s="291"/>
    </row>
    <row r="483" spans="1:54" s="287" customFormat="1" ht="15" customHeight="1">
      <c r="A483" s="286"/>
      <c r="B483" s="314"/>
      <c r="C483" s="288"/>
      <c r="D483" s="289" t="str">
        <f t="shared" si="352"/>
        <v>SOC</v>
      </c>
      <c r="E483" s="289" t="s">
        <v>12</v>
      </c>
      <c r="F483" s="387">
        <f t="shared" si="353"/>
        <v>126.57348927653337</v>
      </c>
      <c r="G483" s="311">
        <v>126.57348927653337</v>
      </c>
      <c r="H483" s="311">
        <v>118.55856372753298</v>
      </c>
      <c r="I483" s="311">
        <v>129.19190352276536</v>
      </c>
      <c r="J483" s="311">
        <v>0</v>
      </c>
      <c r="K483" s="311">
        <v>0</v>
      </c>
      <c r="L483" s="291"/>
      <c r="M483" s="291"/>
      <c r="N483" s="291"/>
      <c r="O483" s="291"/>
      <c r="P483" s="291"/>
      <c r="Q483" s="291"/>
      <c r="R483" s="291"/>
      <c r="S483" s="291"/>
      <c r="V483" s="291"/>
      <c r="W483" s="299"/>
      <c r="X483" s="299"/>
      <c r="Y483" s="299"/>
      <c r="Z483" s="299"/>
      <c r="AA483" s="299"/>
      <c r="AB483" s="299"/>
      <c r="AC483" s="299"/>
      <c r="AD483" s="299"/>
      <c r="AE483" s="299"/>
      <c r="AF483" s="299"/>
      <c r="AG483" s="299"/>
      <c r="AH483" s="291"/>
      <c r="AI483" s="291"/>
      <c r="AJ483" s="291"/>
      <c r="AK483" s="291"/>
      <c r="AL483" s="291"/>
      <c r="AM483" s="291"/>
      <c r="AN483" s="291"/>
      <c r="AO483" s="291"/>
      <c r="AP483" s="291"/>
      <c r="AQ483" s="291"/>
      <c r="AR483" s="291"/>
      <c r="AS483" s="291"/>
      <c r="AT483" s="291"/>
      <c r="AU483" s="291"/>
      <c r="AV483" s="291"/>
      <c r="AW483" s="291"/>
      <c r="AX483" s="291"/>
      <c r="AY483" s="291"/>
      <c r="AZ483" s="291"/>
      <c r="BA483" s="291"/>
      <c r="BB483" s="291"/>
    </row>
    <row r="484" spans="1:54" s="287" customFormat="1" ht="15" customHeight="1">
      <c r="A484" s="286"/>
      <c r="B484" s="314"/>
      <c r="C484" s="288"/>
      <c r="D484" s="289" t="str">
        <f t="shared" si="352"/>
        <v>Total government revenue</v>
      </c>
      <c r="E484" s="289" t="s">
        <v>12</v>
      </c>
      <c r="F484" s="387">
        <f t="shared" ref="F484" si="354">C456</f>
        <v>1499.4007702765023</v>
      </c>
      <c r="G484" s="388">
        <v>1499.4007702765023</v>
      </c>
      <c r="H484" s="388">
        <v>1488.5166705202701</v>
      </c>
      <c r="I484" s="388">
        <v>1505.2066868639533</v>
      </c>
      <c r="J484" s="388">
        <v>0</v>
      </c>
      <c r="K484" s="388">
        <v>0</v>
      </c>
      <c r="L484" s="291"/>
      <c r="M484" s="291"/>
      <c r="N484" s="291"/>
      <c r="O484" s="291"/>
      <c r="P484" s="291"/>
      <c r="Q484" s="291"/>
      <c r="R484" s="291"/>
      <c r="S484" s="291"/>
      <c r="V484" s="291"/>
      <c r="W484" s="299"/>
      <c r="X484" s="299"/>
      <c r="Y484" s="299"/>
      <c r="Z484" s="299"/>
      <c r="AA484" s="299"/>
      <c r="AB484" s="299"/>
      <c r="AC484" s="299"/>
      <c r="AD484" s="299"/>
      <c r="AE484" s="299"/>
      <c r="AF484" s="299"/>
      <c r="AG484" s="299"/>
      <c r="AH484" s="291"/>
      <c r="AI484" s="291"/>
      <c r="AJ484" s="291"/>
      <c r="AK484" s="291"/>
      <c r="AL484" s="291"/>
      <c r="AM484" s="291"/>
      <c r="AN484" s="291"/>
      <c r="AO484" s="291"/>
      <c r="AP484" s="291"/>
      <c r="AQ484" s="291"/>
      <c r="AR484" s="291"/>
      <c r="AS484" s="291"/>
      <c r="AT484" s="291"/>
      <c r="AU484" s="291"/>
      <c r="AV484" s="291"/>
      <c r="AW484" s="291"/>
      <c r="AX484" s="291"/>
      <c r="AY484" s="291"/>
      <c r="AZ484" s="291"/>
      <c r="BA484" s="291"/>
      <c r="BB484" s="291"/>
    </row>
    <row r="485" spans="1:54" s="291" customFormat="1" ht="15" customHeight="1">
      <c r="A485" s="467"/>
      <c r="B485" s="468"/>
      <c r="C485" s="301"/>
      <c r="D485" s="298"/>
      <c r="E485" s="298"/>
      <c r="G485" s="301"/>
      <c r="H485" s="466"/>
      <c r="I485" s="466"/>
      <c r="J485" s="466"/>
      <c r="W485" s="299"/>
      <c r="X485" s="299"/>
      <c r="Y485" s="299"/>
      <c r="Z485" s="299"/>
      <c r="AA485" s="299"/>
      <c r="AB485" s="299"/>
      <c r="AC485" s="299"/>
      <c r="AD485" s="299"/>
      <c r="AE485" s="299"/>
      <c r="AF485" s="299"/>
      <c r="AG485" s="299"/>
    </row>
    <row r="486" spans="1:54" s="202" customFormat="1" ht="15" customHeight="1">
      <c r="A486" s="201"/>
      <c r="C486" s="259"/>
      <c r="D486" s="200" t="s">
        <v>363</v>
      </c>
      <c r="E486" s="200"/>
      <c r="F486" s="284"/>
      <c r="G486" s="284"/>
      <c r="H486" s="284"/>
      <c r="I486" s="284"/>
      <c r="J486" s="284"/>
      <c r="K486" s="284"/>
      <c r="L486" s="284"/>
      <c r="M486" s="284"/>
      <c r="N486" s="284"/>
      <c r="O486" s="284"/>
      <c r="P486" s="284"/>
      <c r="Q486" s="284"/>
      <c r="R486" s="284"/>
      <c r="S486" s="284"/>
      <c r="T486" s="213"/>
      <c r="U486" s="213"/>
    </row>
    <row r="487" spans="1:54" s="372" customFormat="1" ht="15" customHeight="1">
      <c r="C487" s="48">
        <f>SUM(G487:S487)</f>
        <v>1499.4007702765023</v>
      </c>
      <c r="D487" s="384" t="s">
        <v>244</v>
      </c>
      <c r="E487" s="384" t="s">
        <v>12</v>
      </c>
      <c r="F487" s="385"/>
      <c r="G487" s="246">
        <f>G456</f>
        <v>0</v>
      </c>
      <c r="H487" s="246">
        <f t="shared" ref="H487:S487" si="355">H456</f>
        <v>-50</v>
      </c>
      <c r="I487" s="246">
        <f t="shared" si="355"/>
        <v>65.959395155709345</v>
      </c>
      <c r="J487" s="246">
        <f t="shared" si="355"/>
        <v>62.696200000000005</v>
      </c>
      <c r="K487" s="246">
        <f t="shared" si="355"/>
        <v>314.07548056039309</v>
      </c>
      <c r="L487" s="246">
        <f t="shared" si="355"/>
        <v>333.51066253658558</v>
      </c>
      <c r="M487" s="246">
        <f t="shared" si="355"/>
        <v>210.23157557413484</v>
      </c>
      <c r="N487" s="246">
        <f t="shared" si="355"/>
        <v>191.29343504086475</v>
      </c>
      <c r="O487" s="246">
        <f t="shared" si="355"/>
        <v>146.23086141696012</v>
      </c>
      <c r="P487" s="246">
        <f t="shared" si="355"/>
        <v>112.86716809856163</v>
      </c>
      <c r="Q487" s="246">
        <f t="shared" si="355"/>
        <v>112.53599189329283</v>
      </c>
      <c r="R487" s="246">
        <f t="shared" si="355"/>
        <v>4.1544117769676113E-14</v>
      </c>
      <c r="S487" s="246">
        <f t="shared" si="355"/>
        <v>0</v>
      </c>
      <c r="T487" s="386"/>
      <c r="U487" s="386"/>
    </row>
    <row r="488" spans="1:54" ht="15" customHeight="1">
      <c r="C488" s="48">
        <f>SUM(G488:S488)</f>
        <v>1499.4007702765023</v>
      </c>
      <c r="D488" s="15" t="str">
        <f t="array" ref="D488:D492">TRANSPOSE(H6:M6)</f>
        <v>DROP</v>
      </c>
      <c r="E488" s="73" t="s">
        <v>12</v>
      </c>
      <c r="F488" s="184">
        <v>1</v>
      </c>
      <c r="G488" s="11">
        <f t="dataTable" ref="G488:S492" dt2D="0" dtr="0" r1="F7" ca="1"/>
        <v>0</v>
      </c>
      <c r="H488" s="11">
        <v>-50</v>
      </c>
      <c r="I488" s="11">
        <v>65.959395155709345</v>
      </c>
      <c r="J488" s="11">
        <v>62.696200000000005</v>
      </c>
      <c r="K488" s="11">
        <v>314.07548056039309</v>
      </c>
      <c r="L488" s="11">
        <v>333.51066253658558</v>
      </c>
      <c r="M488" s="11">
        <v>210.23157557413484</v>
      </c>
      <c r="N488" s="11">
        <v>191.29343504086475</v>
      </c>
      <c r="O488" s="11">
        <v>146.23086141696012</v>
      </c>
      <c r="P488" s="11">
        <v>112.86716809856163</v>
      </c>
      <c r="Q488" s="11">
        <v>112.53599189329283</v>
      </c>
      <c r="R488" s="11">
        <v>4.1544117769676113E-14</v>
      </c>
      <c r="S488" s="11">
        <v>0</v>
      </c>
      <c r="T488" s="11"/>
      <c r="U488" s="11"/>
      <c r="W488" s="38"/>
      <c r="X488" s="38"/>
      <c r="Y488" s="38"/>
      <c r="Z488" s="38"/>
      <c r="AA488" s="38"/>
      <c r="AB488" s="38"/>
      <c r="AC488" s="38"/>
      <c r="AD488" s="38"/>
      <c r="AE488" s="38"/>
      <c r="AF488" s="38"/>
      <c r="AG488" s="38"/>
    </row>
    <row r="489" spans="1:54" ht="15" customHeight="1">
      <c r="C489" s="48">
        <f t="shared" ref="C489:C492" si="356">SUM(G489:S489)</f>
        <v>1488.5166705202701</v>
      </c>
      <c r="D489" s="15" t="str">
        <v>Rfactor</v>
      </c>
      <c r="E489" s="73" t="s">
        <v>12</v>
      </c>
      <c r="F489" s="184">
        <f>F488+1</f>
        <v>2</v>
      </c>
      <c r="G489" s="11">
        <v>0</v>
      </c>
      <c r="H489" s="11">
        <v>-50</v>
      </c>
      <c r="I489" s="11">
        <v>65.959395155709345</v>
      </c>
      <c r="J489" s="11">
        <v>59.01700000000001</v>
      </c>
      <c r="K489" s="11">
        <v>227.22872772264418</v>
      </c>
      <c r="L489" s="11">
        <v>301.31728846642676</v>
      </c>
      <c r="M489" s="11">
        <v>212.75717894883124</v>
      </c>
      <c r="N489" s="11">
        <v>221.80883644982333</v>
      </c>
      <c r="O489" s="11">
        <v>185.50386466027066</v>
      </c>
      <c r="P489" s="11">
        <v>148.00044710013071</v>
      </c>
      <c r="Q489" s="11">
        <v>116.92393201643378</v>
      </c>
      <c r="R489" s="11">
        <v>5.6849165111572445E-14</v>
      </c>
      <c r="S489" s="11">
        <v>0</v>
      </c>
      <c r="T489" s="11"/>
      <c r="U489" s="11"/>
      <c r="W489" s="38"/>
      <c r="X489" s="38"/>
      <c r="Y489" s="38"/>
      <c r="Z489" s="38"/>
      <c r="AA489" s="38"/>
      <c r="AB489" s="38"/>
      <c r="AC489" s="38"/>
      <c r="AD489" s="38"/>
      <c r="AE489" s="38"/>
      <c r="AF489" s="38"/>
      <c r="AG489" s="38"/>
    </row>
    <row r="490" spans="1:54" ht="15" customHeight="1">
      <c r="C490" s="48">
        <f t="shared" si="356"/>
        <v>1505.2066868639533</v>
      </c>
      <c r="D490" s="15" t="str">
        <v>Royalty + CIT</v>
      </c>
      <c r="E490" s="73" t="s">
        <v>12</v>
      </c>
      <c r="F490" s="184">
        <f t="shared" ref="F490:F492" si="357">F489+1</f>
        <v>3</v>
      </c>
      <c r="G490" s="11">
        <v>0</v>
      </c>
      <c r="H490" s="11">
        <v>-50</v>
      </c>
      <c r="I490" s="11">
        <v>78.836595155709333</v>
      </c>
      <c r="J490" s="11">
        <v>91.210000000000008</v>
      </c>
      <c r="K490" s="11">
        <v>299.95072536440199</v>
      </c>
      <c r="L490" s="11">
        <v>301.26190462514739</v>
      </c>
      <c r="M490" s="11">
        <v>212.69291959500822</v>
      </c>
      <c r="N490" s="11">
        <v>194.19302958201175</v>
      </c>
      <c r="O490" s="11">
        <v>155.17292707536578</v>
      </c>
      <c r="P490" s="11">
        <v>123.80273858224378</v>
      </c>
      <c r="Q490" s="11">
        <v>98.085846884064864</v>
      </c>
      <c r="R490" s="11">
        <v>2.7533099870080024E-14</v>
      </c>
      <c r="S490" s="11">
        <v>0</v>
      </c>
      <c r="T490" s="11"/>
      <c r="U490" s="11"/>
      <c r="W490" s="38"/>
      <c r="X490" s="38"/>
      <c r="Y490" s="38"/>
      <c r="Z490" s="38"/>
      <c r="AA490" s="38"/>
      <c r="AB490" s="38"/>
      <c r="AC490" s="38"/>
      <c r="AD490" s="38"/>
      <c r="AE490" s="38"/>
      <c r="AF490" s="38"/>
      <c r="AG490" s="38"/>
    </row>
    <row r="491" spans="1:54" ht="15" customHeight="1">
      <c r="C491" s="48">
        <f t="shared" si="356"/>
        <v>0</v>
      </c>
      <c r="D491" s="15" t="str">
        <v>Alt1</v>
      </c>
      <c r="E491" s="73" t="s">
        <v>12</v>
      </c>
      <c r="F491" s="184">
        <f t="shared" si="357"/>
        <v>4</v>
      </c>
      <c r="G491" s="11">
        <v>0</v>
      </c>
      <c r="H491" s="11">
        <v>0</v>
      </c>
      <c r="I491" s="11">
        <v>0</v>
      </c>
      <c r="J491" s="11">
        <v>0</v>
      </c>
      <c r="K491" s="11">
        <v>0</v>
      </c>
      <c r="L491" s="11">
        <v>0</v>
      </c>
      <c r="M491" s="11">
        <v>0</v>
      </c>
      <c r="N491" s="11">
        <v>0</v>
      </c>
      <c r="O491" s="11">
        <v>0</v>
      </c>
      <c r="P491" s="11">
        <v>0</v>
      </c>
      <c r="Q491" s="11">
        <v>0</v>
      </c>
      <c r="R491" s="11">
        <v>0</v>
      </c>
      <c r="S491" s="11">
        <v>0</v>
      </c>
      <c r="T491" s="11"/>
      <c r="U491" s="11"/>
      <c r="W491" s="38"/>
      <c r="X491" s="38"/>
      <c r="Y491" s="38"/>
      <c r="Z491" s="38"/>
      <c r="AA491" s="38"/>
      <c r="AB491" s="38"/>
      <c r="AC491" s="38"/>
      <c r="AD491" s="38"/>
      <c r="AE491" s="38"/>
      <c r="AF491" s="38"/>
      <c r="AG491" s="38"/>
    </row>
    <row r="492" spans="1:54" ht="15" customHeight="1">
      <c r="C492" s="48">
        <f t="shared" si="356"/>
        <v>0</v>
      </c>
      <c r="D492" s="15" t="str">
        <v>Alt2</v>
      </c>
      <c r="E492" s="73" t="s">
        <v>12</v>
      </c>
      <c r="F492" s="184">
        <f t="shared" si="357"/>
        <v>5</v>
      </c>
      <c r="G492" s="11">
        <v>0</v>
      </c>
      <c r="H492" s="11">
        <v>0</v>
      </c>
      <c r="I492" s="11">
        <v>0</v>
      </c>
      <c r="J492" s="11">
        <v>0</v>
      </c>
      <c r="K492" s="11">
        <v>0</v>
      </c>
      <c r="L492" s="11">
        <v>0</v>
      </c>
      <c r="M492" s="11">
        <v>0</v>
      </c>
      <c r="N492" s="11">
        <v>0</v>
      </c>
      <c r="O492" s="11">
        <v>0</v>
      </c>
      <c r="P492" s="11">
        <v>0</v>
      </c>
      <c r="Q492" s="11">
        <v>0</v>
      </c>
      <c r="R492" s="11">
        <v>0</v>
      </c>
      <c r="S492" s="11">
        <v>0</v>
      </c>
      <c r="T492" s="11"/>
      <c r="U492" s="11"/>
      <c r="W492" s="38"/>
      <c r="X492" s="38"/>
      <c r="Y492" s="38"/>
      <c r="Z492" s="38"/>
      <c r="AA492" s="38"/>
      <c r="AB492" s="38"/>
      <c r="AC492" s="38"/>
      <c r="AD492" s="38"/>
      <c r="AE492" s="38"/>
      <c r="AF492" s="38"/>
      <c r="AG492" s="38"/>
    </row>
    <row r="493" spans="1:54" s="27" customFormat="1" ht="15" customHeight="1">
      <c r="C493" s="119"/>
      <c r="E493" s="25"/>
      <c r="W493" s="91"/>
      <c r="X493" s="91"/>
      <c r="Y493" s="91"/>
      <c r="Z493" s="91"/>
      <c r="AA493" s="91"/>
      <c r="AB493" s="91"/>
      <c r="AC493" s="91"/>
      <c r="AD493" s="91"/>
      <c r="AE493" s="91"/>
      <c r="AF493" s="91"/>
      <c r="AG493" s="91"/>
    </row>
    <row r="494" spans="1:54" s="27" customFormat="1" ht="15" customHeight="1">
      <c r="C494" s="119"/>
      <c r="E494" s="25"/>
      <c r="W494" s="91"/>
      <c r="X494" s="91"/>
      <c r="Y494" s="91"/>
      <c r="Z494" s="91"/>
      <c r="AA494" s="91"/>
      <c r="AB494" s="91"/>
      <c r="AC494" s="91"/>
      <c r="AD494" s="91"/>
      <c r="AE494" s="91"/>
      <c r="AF494" s="91"/>
      <c r="AG494" s="91"/>
    </row>
    <row r="495" spans="1:54" s="27" customFormat="1" ht="15" customHeight="1">
      <c r="C495" s="119"/>
      <c r="E495" s="25"/>
      <c r="W495" s="91"/>
      <c r="X495" s="91"/>
      <c r="Y495" s="91"/>
      <c r="Z495" s="91"/>
      <c r="AA495" s="91"/>
      <c r="AB495" s="91"/>
      <c r="AC495" s="91"/>
      <c r="AD495" s="91"/>
      <c r="AE495" s="91"/>
      <c r="AF495" s="91"/>
      <c r="AG495" s="91"/>
    </row>
    <row r="496" spans="1:54" s="27" customFormat="1" ht="15" customHeight="1">
      <c r="C496" s="119"/>
      <c r="E496" s="25"/>
      <c r="W496" s="91"/>
      <c r="X496" s="91"/>
      <c r="Y496" s="91"/>
      <c r="Z496" s="91"/>
      <c r="AA496" s="91"/>
      <c r="AB496" s="91"/>
      <c r="AC496" s="91"/>
      <c r="AD496" s="91"/>
      <c r="AE496" s="91"/>
      <c r="AF496" s="91"/>
      <c r="AG496" s="91"/>
    </row>
    <row r="497" spans="1:33" s="27" customFormat="1" ht="15" customHeight="1">
      <c r="C497" s="119"/>
      <c r="E497" s="25"/>
      <c r="W497" s="91"/>
      <c r="X497" s="91"/>
      <c r="Y497" s="91"/>
      <c r="Z497" s="91"/>
      <c r="AA497" s="91"/>
      <c r="AB497" s="91"/>
      <c r="AC497" s="91"/>
      <c r="AD497" s="91"/>
      <c r="AE497" s="91"/>
      <c r="AF497" s="91"/>
      <c r="AG497" s="91"/>
    </row>
    <row r="498" spans="1:33" s="27" customFormat="1" ht="15" customHeight="1">
      <c r="C498" s="119"/>
      <c r="E498" s="25"/>
      <c r="W498" s="91"/>
      <c r="X498" s="91"/>
      <c r="Y498" s="91"/>
      <c r="Z498" s="91"/>
      <c r="AA498" s="91"/>
      <c r="AB498" s="91"/>
      <c r="AC498" s="91"/>
      <c r="AD498" s="91"/>
      <c r="AE498" s="91"/>
      <c r="AF498" s="91"/>
      <c r="AG498" s="91"/>
    </row>
    <row r="499" spans="1:33" s="27" customFormat="1" ht="15" customHeight="1">
      <c r="C499" s="119"/>
      <c r="E499" s="25"/>
      <c r="W499" s="91"/>
      <c r="X499" s="91"/>
      <c r="Y499" s="91"/>
      <c r="Z499" s="91"/>
      <c r="AA499" s="91"/>
      <c r="AB499" s="91"/>
      <c r="AC499" s="91"/>
      <c r="AD499" s="91"/>
      <c r="AE499" s="91"/>
      <c r="AF499" s="91"/>
      <c r="AG499" s="91"/>
    </row>
    <row r="500" spans="1:33" s="27" customFormat="1" ht="15" customHeight="1">
      <c r="C500" s="119"/>
      <c r="E500" s="25"/>
      <c r="W500" s="91"/>
      <c r="X500" s="91"/>
      <c r="Y500" s="91"/>
      <c r="Z500" s="91"/>
      <c r="AA500" s="91"/>
      <c r="AB500" s="91"/>
      <c r="AC500" s="91"/>
      <c r="AD500" s="91"/>
      <c r="AE500" s="91"/>
      <c r="AF500" s="91"/>
      <c r="AG500" s="91"/>
    </row>
    <row r="501" spans="1:33" s="27" customFormat="1" ht="15" customHeight="1">
      <c r="C501" s="119"/>
      <c r="E501" s="25"/>
      <c r="W501" s="91"/>
      <c r="X501" s="91"/>
      <c r="Y501" s="91"/>
      <c r="Z501" s="91"/>
      <c r="AA501" s="91"/>
      <c r="AB501" s="91"/>
      <c r="AC501" s="91"/>
      <c r="AD501" s="91"/>
      <c r="AE501" s="91"/>
      <c r="AF501" s="91"/>
      <c r="AG501" s="91"/>
    </row>
    <row r="502" spans="1:33" s="27" customFormat="1" ht="15" customHeight="1">
      <c r="C502" s="119"/>
      <c r="E502" s="25"/>
      <c r="W502" s="91"/>
      <c r="X502" s="91"/>
      <c r="Y502" s="91"/>
      <c r="Z502" s="91"/>
      <c r="AA502" s="91"/>
      <c r="AB502" s="91"/>
      <c r="AC502" s="91"/>
      <c r="AD502" s="91"/>
      <c r="AE502" s="91"/>
      <c r="AF502" s="91"/>
      <c r="AG502" s="91"/>
    </row>
    <row r="503" spans="1:33" s="27" customFormat="1" ht="15" customHeight="1">
      <c r="C503" s="119"/>
      <c r="E503" s="25"/>
      <c r="W503" s="91"/>
      <c r="X503" s="91"/>
      <c r="Y503" s="91"/>
      <c r="Z503" s="91"/>
      <c r="AA503" s="91"/>
      <c r="AB503" s="91"/>
      <c r="AC503" s="91"/>
      <c r="AD503" s="91"/>
      <c r="AE503" s="91"/>
      <c r="AF503" s="91"/>
      <c r="AG503" s="91"/>
    </row>
    <row r="504" spans="1:33" s="27" customFormat="1" ht="15" customHeight="1">
      <c r="C504" s="119"/>
      <c r="E504" s="25"/>
      <c r="W504" s="91"/>
      <c r="X504" s="91"/>
      <c r="Y504" s="91"/>
      <c r="Z504" s="91"/>
      <c r="AA504" s="91"/>
      <c r="AB504" s="91"/>
      <c r="AC504" s="91"/>
      <c r="AD504" s="91"/>
      <c r="AE504" s="91"/>
      <c r="AF504" s="91"/>
      <c r="AG504" s="91"/>
    </row>
    <row r="505" spans="1:33" s="27" customFormat="1" ht="15" customHeight="1">
      <c r="C505" s="119"/>
      <c r="E505" s="25"/>
      <c r="W505" s="91"/>
      <c r="X505" s="91"/>
      <c r="Y505" s="91"/>
      <c r="Z505" s="91"/>
      <c r="AA505" s="91"/>
      <c r="AB505" s="91"/>
      <c r="AC505" s="91"/>
      <c r="AD505" s="91"/>
      <c r="AE505" s="91"/>
      <c r="AF505" s="91"/>
      <c r="AG505" s="91"/>
    </row>
    <row r="506" spans="1:33" s="27" customFormat="1" ht="15" customHeight="1">
      <c r="C506" s="119"/>
      <c r="E506" s="25"/>
      <c r="W506" s="91"/>
      <c r="X506" s="91"/>
      <c r="Y506" s="91"/>
      <c r="Z506" s="91"/>
      <c r="AA506" s="91"/>
      <c r="AB506" s="91"/>
      <c r="AC506" s="91"/>
      <c r="AD506" s="91"/>
      <c r="AE506" s="91"/>
      <c r="AF506" s="91"/>
      <c r="AG506" s="91"/>
    </row>
    <row r="507" spans="1:33" s="27" customFormat="1" ht="15" customHeight="1">
      <c r="C507" s="119"/>
      <c r="E507" s="25"/>
      <c r="W507" s="91"/>
      <c r="X507" s="91"/>
      <c r="Y507" s="91"/>
      <c r="Z507" s="91"/>
      <c r="AA507" s="91"/>
      <c r="AB507" s="91"/>
      <c r="AC507" s="91"/>
      <c r="AD507" s="91"/>
      <c r="AE507" s="91"/>
      <c r="AF507" s="91"/>
      <c r="AG507" s="91"/>
    </row>
    <row r="508" spans="1:33" s="27" customFormat="1" ht="15" customHeight="1">
      <c r="C508" s="119"/>
      <c r="E508" s="25"/>
      <c r="W508" s="91"/>
      <c r="X508" s="91"/>
      <c r="Y508" s="91"/>
      <c r="Z508" s="91"/>
      <c r="AA508" s="91"/>
      <c r="AB508" s="91"/>
      <c r="AC508" s="91"/>
      <c r="AD508" s="91"/>
      <c r="AE508" s="91"/>
      <c r="AF508" s="91"/>
      <c r="AG508" s="91"/>
    </row>
    <row r="509" spans="1:33" s="27" customFormat="1" ht="15" customHeight="1">
      <c r="C509" s="119"/>
      <c r="E509" s="25"/>
      <c r="W509" s="91"/>
      <c r="X509" s="91"/>
      <c r="Y509" s="91"/>
      <c r="Z509" s="91"/>
      <c r="AA509" s="91"/>
      <c r="AB509" s="91"/>
      <c r="AC509" s="91"/>
      <c r="AD509" s="91"/>
      <c r="AE509" s="91"/>
      <c r="AF509" s="91"/>
      <c r="AG509" s="91"/>
    </row>
    <row r="510" spans="1:33" s="27" customFormat="1" ht="15" customHeight="1">
      <c r="C510" s="119"/>
      <c r="E510" s="25"/>
      <c r="W510" s="91"/>
      <c r="X510" s="91"/>
      <c r="Y510" s="91"/>
      <c r="Z510" s="91"/>
      <c r="AA510" s="91"/>
      <c r="AB510" s="91"/>
      <c r="AC510" s="91"/>
      <c r="AD510" s="91"/>
      <c r="AE510" s="91"/>
      <c r="AF510" s="91"/>
      <c r="AG510" s="91"/>
    </row>
    <row r="511" spans="1:33" s="202" customFormat="1" ht="15" customHeight="1">
      <c r="A511" s="201"/>
      <c r="C511" s="391"/>
      <c r="D511" s="200" t="str">
        <f>"Average Effective Tax Rate (AETR) - selected regime: "&amp;F6</f>
        <v>Average Effective Tax Rate (AETR) - selected regime: DROP</v>
      </c>
      <c r="E511" s="200"/>
      <c r="F511" s="284"/>
      <c r="G511" s="284"/>
      <c r="H511" s="284"/>
      <c r="I511" s="284"/>
      <c r="J511" s="284"/>
      <c r="K511" s="284"/>
      <c r="L511" s="284"/>
      <c r="M511" s="284"/>
      <c r="N511" s="284"/>
      <c r="O511" s="284"/>
      <c r="P511" s="284"/>
      <c r="Q511" s="284"/>
      <c r="R511" s="284"/>
      <c r="S511" s="284"/>
      <c r="T511" s="213"/>
      <c r="U511" s="213"/>
    </row>
    <row r="512" spans="1:33" s="202" customFormat="1" ht="15" customHeight="1">
      <c r="A512" s="201"/>
      <c r="C512" s="383"/>
      <c r="D512" s="202" t="s">
        <v>365</v>
      </c>
      <c r="E512" s="202" t="s">
        <v>17</v>
      </c>
      <c r="F512" s="308"/>
      <c r="G512" s="313">
        <f>G$435</f>
        <v>0</v>
      </c>
      <c r="H512" s="313">
        <f t="shared" ref="H512:J512" si="358">H$435</f>
        <v>0.1</v>
      </c>
      <c r="I512" s="313">
        <f t="shared" si="358"/>
        <v>0.125</v>
      </c>
      <c r="J512" s="313">
        <f t="shared" si="358"/>
        <v>0.15</v>
      </c>
      <c r="K512" s="246"/>
      <c r="L512" s="246"/>
      <c r="M512" s="246"/>
      <c r="N512" s="246"/>
      <c r="O512" s="246"/>
      <c r="P512" s="246"/>
      <c r="Q512" s="246"/>
      <c r="R512" s="246"/>
      <c r="S512" s="246"/>
    </row>
    <row r="513" spans="1:33" s="202" customFormat="1" ht="15" customHeight="1">
      <c r="A513" s="201"/>
      <c r="C513" s="267"/>
      <c r="D513" s="202" t="s">
        <v>361</v>
      </c>
      <c r="E513" s="202" t="s">
        <v>12</v>
      </c>
      <c r="F513" s="308"/>
      <c r="G513" s="393">
        <f>G$437</f>
        <v>1499.4007702765025</v>
      </c>
      <c r="H513" s="393">
        <f t="shared" ref="H513:J513" si="359">H$437</f>
        <v>854.06958803161979</v>
      </c>
      <c r="I513" s="393">
        <f t="shared" si="359"/>
        <v>751.18092251740927</v>
      </c>
      <c r="J513" s="393">
        <f t="shared" si="359"/>
        <v>663.51510194167781</v>
      </c>
      <c r="K513" s="246"/>
      <c r="L513" s="246"/>
      <c r="M513" s="246"/>
      <c r="N513" s="246"/>
      <c r="O513" s="246"/>
      <c r="P513" s="246"/>
      <c r="Q513" s="246"/>
      <c r="R513" s="246"/>
      <c r="S513" s="246"/>
    </row>
    <row r="514" spans="1:33" s="202" customFormat="1" ht="15" customHeight="1">
      <c r="A514" s="201"/>
      <c r="C514" s="267"/>
      <c r="D514" s="202" t="s">
        <v>366</v>
      </c>
      <c r="E514" s="202" t="s">
        <v>12</v>
      </c>
      <c r="G514" s="250">
        <f>G$436</f>
        <v>2119.5760320000009</v>
      </c>
      <c r="H514" s="250">
        <f t="shared" ref="H514:J514" si="360">H$436</f>
        <v>1021.0099740198245</v>
      </c>
      <c r="I514" s="250">
        <f t="shared" si="360"/>
        <v>841.62093541749618</v>
      </c>
      <c r="J514" s="250">
        <f t="shared" si="360"/>
        <v>687.94789990756794</v>
      </c>
      <c r="K514" s="267"/>
      <c r="L514" s="267"/>
      <c r="M514" s="267"/>
      <c r="N514" s="267"/>
      <c r="O514" s="267"/>
      <c r="P514" s="267"/>
      <c r="Q514" s="267"/>
      <c r="R514" s="267"/>
      <c r="S514" s="267"/>
    </row>
    <row r="515" spans="1:33" s="198" customFormat="1" ht="15" customHeight="1">
      <c r="A515" s="392"/>
      <c r="C515" s="383"/>
      <c r="D515" s="394" t="s">
        <v>25</v>
      </c>
      <c r="E515" s="394" t="s">
        <v>17</v>
      </c>
      <c r="F515" s="394"/>
      <c r="G515" s="395">
        <f>G513/G514</f>
        <v>0.70740598480050276</v>
      </c>
      <c r="H515" s="395">
        <f t="shared" ref="H515:J515" si="361">H513/H514</f>
        <v>0.83649485290438175</v>
      </c>
      <c r="I515" s="395">
        <f t="shared" si="361"/>
        <v>0.89254068061505265</v>
      </c>
      <c r="J515" s="395">
        <f t="shared" si="361"/>
        <v>0.96448452278265129</v>
      </c>
      <c r="K515" s="377"/>
      <c r="L515" s="377"/>
      <c r="M515" s="377"/>
      <c r="N515" s="377"/>
      <c r="O515" s="377"/>
      <c r="P515" s="377"/>
      <c r="Q515" s="377"/>
      <c r="R515" s="377"/>
      <c r="S515" s="377"/>
    </row>
    <row r="516" spans="1:33" s="27" customFormat="1" ht="15" customHeight="1">
      <c r="C516" s="119"/>
      <c r="E516" s="25"/>
      <c r="W516" s="91"/>
      <c r="X516" s="91"/>
      <c r="Y516" s="91"/>
      <c r="Z516" s="91"/>
      <c r="AA516" s="91"/>
      <c r="AB516" s="91"/>
      <c r="AC516" s="91"/>
      <c r="AD516" s="91"/>
      <c r="AE516" s="91"/>
      <c r="AF516" s="91"/>
      <c r="AG516" s="91"/>
    </row>
    <row r="517" spans="1:33" s="202" customFormat="1" ht="15" customHeight="1">
      <c r="A517" s="201"/>
      <c r="C517" s="391"/>
      <c r="D517" s="200" t="s">
        <v>364</v>
      </c>
      <c r="E517" s="200"/>
      <c r="F517" s="284"/>
      <c r="G517" s="284"/>
      <c r="H517" s="284"/>
      <c r="I517" s="284"/>
      <c r="J517" s="284"/>
      <c r="K517" s="284"/>
      <c r="L517" s="284"/>
      <c r="M517" s="284"/>
      <c r="N517" s="284"/>
      <c r="O517" s="284"/>
      <c r="P517" s="284"/>
      <c r="Q517" s="284"/>
      <c r="R517" s="284"/>
      <c r="S517" s="284"/>
      <c r="T517" s="213"/>
      <c r="U517" s="213"/>
    </row>
    <row r="518" spans="1:33" s="27" customFormat="1" ht="26">
      <c r="C518" s="119"/>
      <c r="D518" s="289" t="s">
        <v>246</v>
      </c>
      <c r="E518" s="289"/>
      <c r="G518" s="389" t="str">
        <f>H6</f>
        <v>DROP</v>
      </c>
      <c r="H518" s="389" t="str">
        <f t="shared" ref="H518:K518" si="362">I6</f>
        <v>Rfactor</v>
      </c>
      <c r="I518" s="389" t="str">
        <f t="shared" si="362"/>
        <v>Royalty + CIT</v>
      </c>
      <c r="J518" s="389" t="str">
        <f t="shared" si="362"/>
        <v>Alt1</v>
      </c>
      <c r="K518" s="389" t="str">
        <f t="shared" si="362"/>
        <v>Alt2</v>
      </c>
      <c r="W518" s="91"/>
      <c r="X518" s="91"/>
      <c r="Y518" s="91"/>
      <c r="Z518" s="91"/>
      <c r="AA518" s="91"/>
      <c r="AB518" s="91"/>
      <c r="AC518" s="91"/>
      <c r="AD518" s="91"/>
      <c r="AE518" s="91"/>
      <c r="AF518" s="91"/>
      <c r="AG518" s="91"/>
    </row>
    <row r="519" spans="1:33" s="27" customFormat="1" ht="15" customHeight="1">
      <c r="C519" s="119"/>
      <c r="D519" s="289"/>
      <c r="E519" s="289"/>
      <c r="G519" s="390">
        <f>H7</f>
        <v>1</v>
      </c>
      <c r="H519" s="390">
        <f t="shared" ref="H519:K519" si="363">I7</f>
        <v>2</v>
      </c>
      <c r="I519" s="390">
        <f t="shared" si="363"/>
        <v>3</v>
      </c>
      <c r="J519" s="390">
        <f t="shared" si="363"/>
        <v>4</v>
      </c>
      <c r="K519" s="390">
        <f t="shared" si="363"/>
        <v>5</v>
      </c>
      <c r="W519" s="91"/>
      <c r="X519" s="91"/>
      <c r="Y519" s="91"/>
      <c r="Z519" s="91"/>
      <c r="AA519" s="91"/>
      <c r="AB519" s="91"/>
      <c r="AC519" s="91"/>
      <c r="AD519" s="91"/>
      <c r="AE519" s="91"/>
      <c r="AF519" s="91"/>
      <c r="AG519" s="91"/>
    </row>
    <row r="520" spans="1:33" s="27" customFormat="1" ht="15" customHeight="1">
      <c r="C520" s="119"/>
      <c r="D520" s="202" t="str">
        <f>"Average Effective Tax Rate (AETR) NPV"&amp;G435*100</f>
        <v>Average Effective Tax Rate (AETR) NPV0</v>
      </c>
      <c r="E520" s="202" t="s">
        <v>17</v>
      </c>
      <c r="F520" s="312">
        <f>G440</f>
        <v>0.70740598480050276</v>
      </c>
      <c r="G520" s="397">
        <f t="dataTable" ref="G520:K523" dt2D="0" dtr="1" r1="F7" ca="1"/>
        <v>0.70740598480050276</v>
      </c>
      <c r="H520" s="397">
        <v>0.7022709485517854</v>
      </c>
      <c r="I520" s="397">
        <v>0.71014517249643649</v>
      </c>
      <c r="J520" s="397">
        <v>0</v>
      </c>
      <c r="K520" s="397">
        <v>0</v>
      </c>
      <c r="W520" s="91"/>
      <c r="X520" s="91"/>
      <c r="Y520" s="91"/>
      <c r="Z520" s="91"/>
      <c r="AA520" s="91"/>
      <c r="AB520" s="91"/>
      <c r="AC520" s="91"/>
      <c r="AD520" s="91"/>
      <c r="AE520" s="91"/>
      <c r="AF520" s="91"/>
      <c r="AG520" s="91"/>
    </row>
    <row r="521" spans="1:33" s="27" customFormat="1" ht="15" customHeight="1">
      <c r="C521" s="119"/>
      <c r="D521" s="202" t="str">
        <f>"Average Effective Tax Rate (AETR) NPV"&amp;H435*100</f>
        <v>Average Effective Tax Rate (AETR) NPV10</v>
      </c>
      <c r="E521" s="202" t="s">
        <v>17</v>
      </c>
      <c r="F521" s="312">
        <f>H440</f>
        <v>0.83649485290438175</v>
      </c>
      <c r="G521" s="398">
        <v>0.83649485290438175</v>
      </c>
      <c r="H521" s="398">
        <v>0.80704009590570847</v>
      </c>
      <c r="I521" s="398">
        <v>0.84482901471196981</v>
      </c>
      <c r="J521" s="398">
        <v>0</v>
      </c>
      <c r="K521" s="398">
        <v>0</v>
      </c>
      <c r="W521" s="91"/>
      <c r="X521" s="91"/>
      <c r="Y521" s="91"/>
      <c r="Z521" s="91"/>
      <c r="AA521" s="91"/>
      <c r="AB521" s="91"/>
      <c r="AC521" s="91"/>
      <c r="AD521" s="91"/>
      <c r="AE521" s="91"/>
      <c r="AF521" s="91"/>
      <c r="AG521" s="91"/>
    </row>
    <row r="522" spans="1:33" s="27" customFormat="1" ht="15" customHeight="1">
      <c r="C522" s="119"/>
      <c r="D522" s="202" t="str">
        <f>"Average Effective Tax Rate (AETR) NPV"&amp;I435*100</f>
        <v>Average Effective Tax Rate (AETR) NPV12.5</v>
      </c>
      <c r="E522" s="202" t="s">
        <v>17</v>
      </c>
      <c r="F522" s="312">
        <f>I440</f>
        <v>0.89254068061505265</v>
      </c>
      <c r="G522" s="398">
        <v>0.89254068061505265</v>
      </c>
      <c r="H522" s="398">
        <v>0.85545490854657036</v>
      </c>
      <c r="I522" s="398">
        <v>0.90299215845987768</v>
      </c>
      <c r="J522" s="398">
        <v>0</v>
      </c>
      <c r="K522" s="398">
        <v>0</v>
      </c>
      <c r="W522" s="91"/>
      <c r="X522" s="91"/>
      <c r="Y522" s="91"/>
      <c r="Z522" s="91"/>
      <c r="AA522" s="91"/>
      <c r="AB522" s="91"/>
      <c r="AC522" s="91"/>
      <c r="AD522" s="91"/>
      <c r="AE522" s="91"/>
      <c r="AF522" s="91"/>
      <c r="AG522" s="91"/>
    </row>
    <row r="523" spans="1:33" s="27" customFormat="1" ht="15" customHeight="1">
      <c r="C523" s="119"/>
      <c r="D523" s="202" t="str">
        <f>"Average Effective Tax Rate (AETR) NPV"&amp;J435*100</f>
        <v>Average Effective Tax Rate (AETR) NPV15</v>
      </c>
      <c r="E523" s="202" t="s">
        <v>17</v>
      </c>
      <c r="F523" s="312">
        <f>J440</f>
        <v>0.96448452278265129</v>
      </c>
      <c r="G523" s="399">
        <v>0.96448452278265129</v>
      </c>
      <c r="H523" s="399">
        <v>0.91854213573546195</v>
      </c>
      <c r="I523" s="399">
        <v>0.97755260342147265</v>
      </c>
      <c r="J523" s="399">
        <v>0</v>
      </c>
      <c r="K523" s="399">
        <v>0</v>
      </c>
      <c r="W523" s="91"/>
      <c r="X523" s="91"/>
      <c r="Y523" s="91"/>
      <c r="Z523" s="91"/>
      <c r="AA523" s="91"/>
      <c r="AB523" s="91"/>
      <c r="AC523" s="91"/>
      <c r="AD523" s="91"/>
      <c r="AE523" s="91"/>
      <c r="AF523" s="91"/>
      <c r="AG523" s="91"/>
    </row>
    <row r="524" spans="1:33" s="27" customFormat="1" ht="15" customHeight="1">
      <c r="C524" s="119"/>
      <c r="E524" s="25"/>
      <c r="W524" s="91"/>
      <c r="X524" s="91"/>
      <c r="Y524" s="91"/>
      <c r="Z524" s="91"/>
      <c r="AA524" s="91"/>
      <c r="AB524" s="91"/>
      <c r="AC524" s="91"/>
      <c r="AD524" s="91"/>
      <c r="AE524" s="91"/>
      <c r="AF524" s="91"/>
      <c r="AG524" s="91"/>
    </row>
    <row r="525" spans="1:33" s="27" customFormat="1" ht="15" customHeight="1">
      <c r="C525" s="119"/>
      <c r="E525" s="25"/>
      <c r="W525" s="91"/>
      <c r="X525" s="91"/>
      <c r="Y525" s="91"/>
      <c r="Z525" s="91"/>
      <c r="AA525" s="91"/>
      <c r="AB525" s="91"/>
      <c r="AC525" s="91"/>
      <c r="AD525" s="91"/>
      <c r="AE525" s="91"/>
      <c r="AF525" s="91"/>
      <c r="AG525" s="91"/>
    </row>
    <row r="526" spans="1:33" s="27" customFormat="1" ht="15" customHeight="1">
      <c r="C526" s="119"/>
      <c r="E526" s="25"/>
      <c r="W526" s="91"/>
      <c r="X526" s="91"/>
      <c r="Y526" s="91"/>
      <c r="Z526" s="91"/>
      <c r="AA526" s="91"/>
      <c r="AB526" s="91"/>
      <c r="AC526" s="91"/>
      <c r="AD526" s="91"/>
      <c r="AE526" s="91"/>
      <c r="AF526" s="91"/>
      <c r="AG526" s="91"/>
    </row>
    <row r="527" spans="1:33" s="27" customFormat="1" ht="15" customHeight="1">
      <c r="C527" s="119"/>
      <c r="E527" s="25"/>
      <c r="W527" s="91"/>
      <c r="X527" s="91"/>
      <c r="Y527" s="91"/>
      <c r="Z527" s="91"/>
      <c r="AA527" s="91"/>
      <c r="AB527" s="91"/>
      <c r="AC527" s="91"/>
      <c r="AD527" s="91"/>
      <c r="AE527" s="91"/>
      <c r="AF527" s="91"/>
      <c r="AG527" s="91"/>
    </row>
    <row r="528" spans="1:33" s="27" customFormat="1" ht="15" customHeight="1">
      <c r="C528" s="119"/>
      <c r="E528" s="25"/>
      <c r="W528" s="91"/>
      <c r="X528" s="91"/>
      <c r="Y528" s="91"/>
      <c r="Z528" s="91"/>
      <c r="AA528" s="91"/>
      <c r="AB528" s="91"/>
      <c r="AC528" s="91"/>
      <c r="AD528" s="91"/>
      <c r="AE528" s="91"/>
      <c r="AF528" s="91"/>
      <c r="AG528" s="91"/>
    </row>
    <row r="529" spans="1:33" s="27" customFormat="1" ht="15" customHeight="1">
      <c r="C529" s="119"/>
      <c r="E529" s="25"/>
      <c r="W529" s="91"/>
      <c r="X529" s="91"/>
      <c r="Y529" s="91"/>
      <c r="Z529" s="91"/>
      <c r="AA529" s="91"/>
      <c r="AB529" s="91"/>
      <c r="AC529" s="91"/>
      <c r="AD529" s="91"/>
      <c r="AE529" s="91"/>
      <c r="AF529" s="91"/>
      <c r="AG529" s="91"/>
    </row>
    <row r="530" spans="1:33" s="27" customFormat="1" ht="15" customHeight="1">
      <c r="C530" s="119"/>
      <c r="E530" s="25"/>
      <c r="W530" s="91"/>
      <c r="X530" s="91"/>
      <c r="Y530" s="91"/>
      <c r="Z530" s="91"/>
      <c r="AA530" s="91"/>
      <c r="AB530" s="91"/>
      <c r="AC530" s="91"/>
      <c r="AD530" s="91"/>
      <c r="AE530" s="91"/>
      <c r="AF530" s="91"/>
      <c r="AG530" s="91"/>
    </row>
    <row r="531" spans="1:33" s="27" customFormat="1" ht="15" customHeight="1">
      <c r="C531" s="119"/>
      <c r="E531" s="25"/>
      <c r="W531" s="91"/>
      <c r="X531" s="91"/>
      <c r="Y531" s="91"/>
      <c r="Z531" s="91"/>
      <c r="AA531" s="91"/>
      <c r="AB531" s="91"/>
      <c r="AC531" s="91"/>
      <c r="AD531" s="91"/>
      <c r="AE531" s="91"/>
      <c r="AF531" s="91"/>
      <c r="AG531" s="91"/>
    </row>
    <row r="532" spans="1:33" s="27" customFormat="1" ht="15" customHeight="1">
      <c r="C532" s="119"/>
      <c r="E532" s="25"/>
      <c r="W532" s="91"/>
      <c r="X532" s="91"/>
      <c r="Y532" s="91"/>
      <c r="Z532" s="91"/>
      <c r="AA532" s="91"/>
      <c r="AB532" s="91"/>
      <c r="AC532" s="91"/>
      <c r="AD532" s="91"/>
      <c r="AE532" s="91"/>
      <c r="AF532" s="91"/>
      <c r="AG532" s="91"/>
    </row>
    <row r="533" spans="1:33" s="27" customFormat="1" ht="15" customHeight="1">
      <c r="C533" s="119"/>
      <c r="E533" s="25"/>
      <c r="W533" s="91"/>
      <c r="X533" s="91"/>
      <c r="Y533" s="91"/>
      <c r="Z533" s="91"/>
      <c r="AA533" s="91"/>
      <c r="AB533" s="91"/>
      <c r="AC533" s="91"/>
      <c r="AD533" s="91"/>
      <c r="AE533" s="91"/>
      <c r="AF533" s="91"/>
      <c r="AG533" s="91"/>
    </row>
    <row r="534" spans="1:33" s="27" customFormat="1" ht="15" customHeight="1">
      <c r="C534" s="119"/>
      <c r="E534" s="25"/>
      <c r="W534" s="91"/>
      <c r="X534" s="91"/>
      <c r="Y534" s="91"/>
      <c r="Z534" s="91"/>
      <c r="AA534" s="91"/>
      <c r="AB534" s="91"/>
      <c r="AC534" s="91"/>
      <c r="AD534" s="91"/>
      <c r="AE534" s="91"/>
      <c r="AF534" s="91"/>
      <c r="AG534" s="91"/>
    </row>
    <row r="535" spans="1:33" s="27" customFormat="1" ht="15" customHeight="1">
      <c r="C535" s="119"/>
      <c r="E535" s="25"/>
      <c r="W535" s="91"/>
      <c r="X535" s="91"/>
      <c r="Y535" s="91"/>
      <c r="Z535" s="91"/>
      <c r="AA535" s="91"/>
      <c r="AB535" s="91"/>
      <c r="AC535" s="91"/>
      <c r="AD535" s="91"/>
      <c r="AE535" s="91"/>
      <c r="AF535" s="91"/>
      <c r="AG535" s="91"/>
    </row>
    <row r="536" spans="1:33" s="27" customFormat="1" ht="15" customHeight="1">
      <c r="C536" s="119"/>
      <c r="E536" s="25"/>
      <c r="W536" s="91"/>
      <c r="X536" s="91"/>
      <c r="Y536" s="91"/>
      <c r="Z536" s="91"/>
      <c r="AA536" s="91"/>
      <c r="AB536" s="91"/>
      <c r="AC536" s="91"/>
      <c r="AD536" s="91"/>
      <c r="AE536" s="91"/>
      <c r="AF536" s="91"/>
      <c r="AG536" s="91"/>
    </row>
    <row r="537" spans="1:33" s="27" customFormat="1" ht="15" customHeight="1">
      <c r="C537" s="119"/>
      <c r="E537" s="25"/>
      <c r="W537" s="91"/>
      <c r="X537" s="91"/>
      <c r="Y537" s="91"/>
      <c r="Z537" s="91"/>
      <c r="AA537" s="91"/>
      <c r="AB537" s="91"/>
      <c r="AC537" s="91"/>
      <c r="AD537" s="91"/>
      <c r="AE537" s="91"/>
      <c r="AF537" s="91"/>
      <c r="AG537" s="91"/>
    </row>
    <row r="538" spans="1:33" s="27" customFormat="1" ht="15" customHeight="1">
      <c r="C538" s="119"/>
      <c r="E538" s="25"/>
      <c r="W538" s="91"/>
      <c r="X538" s="91"/>
      <c r="Y538" s="91"/>
      <c r="Z538" s="91"/>
      <c r="AA538" s="91"/>
      <c r="AB538" s="91"/>
      <c r="AC538" s="91"/>
      <c r="AD538" s="91"/>
      <c r="AE538" s="91"/>
      <c r="AF538" s="91"/>
      <c r="AG538" s="91"/>
    </row>
    <row r="539" spans="1:33" s="27" customFormat="1" ht="15" customHeight="1">
      <c r="C539" s="119"/>
      <c r="E539" s="25"/>
      <c r="W539" s="91"/>
      <c r="X539" s="91"/>
      <c r="Y539" s="91"/>
      <c r="Z539" s="91"/>
      <c r="AA539" s="91"/>
      <c r="AB539" s="91"/>
      <c r="AC539" s="91"/>
      <c r="AD539" s="91"/>
      <c r="AE539" s="91"/>
      <c r="AF539" s="91"/>
      <c r="AG539" s="91"/>
    </row>
    <row r="540" spans="1:33" s="27" customFormat="1" ht="15" customHeight="1">
      <c r="C540" s="119"/>
      <c r="E540" s="25"/>
      <c r="W540" s="91"/>
      <c r="X540" s="91"/>
      <c r="Y540" s="91"/>
      <c r="Z540" s="91"/>
      <c r="AA540" s="91"/>
      <c r="AB540" s="91"/>
      <c r="AC540" s="91"/>
      <c r="AD540" s="91"/>
      <c r="AE540" s="91"/>
      <c r="AF540" s="91"/>
      <c r="AG540" s="91"/>
    </row>
    <row r="541" spans="1:33" s="27" customFormat="1" ht="15" customHeight="1">
      <c r="C541" s="119"/>
      <c r="E541" s="25"/>
      <c r="W541" s="91"/>
      <c r="X541" s="91"/>
      <c r="Y541" s="91"/>
      <c r="Z541" s="91"/>
      <c r="AA541" s="91"/>
      <c r="AB541" s="91"/>
      <c r="AC541" s="91"/>
      <c r="AD541" s="91"/>
      <c r="AE541" s="91"/>
      <c r="AF541" s="91"/>
      <c r="AG541" s="91"/>
    </row>
    <row r="542" spans="1:33" s="202" customFormat="1" ht="15" customHeight="1">
      <c r="A542" s="201"/>
      <c r="C542" s="391"/>
      <c r="D542" s="200" t="str">
        <f>"Average Effective Tax Rate (AETR) NPV"&amp;I435*100&amp;" Price Sensitivity - regime comparison"</f>
        <v>Average Effective Tax Rate (AETR) NPV12.5 Price Sensitivity - regime comparison</v>
      </c>
      <c r="E542" s="200"/>
      <c r="F542" s="284"/>
      <c r="G542" s="284"/>
      <c r="H542" s="284"/>
      <c r="I542" s="284"/>
      <c r="J542" s="284"/>
      <c r="K542" s="284"/>
      <c r="L542" s="284"/>
      <c r="M542" s="284"/>
      <c r="N542" s="284"/>
      <c r="O542" s="284"/>
      <c r="P542" s="284"/>
      <c r="Q542" s="284"/>
      <c r="R542" s="284"/>
      <c r="S542" s="284"/>
      <c r="T542" s="213"/>
      <c r="U542" s="213"/>
    </row>
    <row r="543" spans="1:33" s="202" customFormat="1" ht="15" customHeight="1">
      <c r="A543" s="201"/>
      <c r="C543" s="371"/>
      <c r="D543" s="15" t="s">
        <v>80</v>
      </c>
      <c r="E543" s="15" t="s">
        <v>373</v>
      </c>
      <c r="F543" s="477">
        <f>I440</f>
        <v>0.89254068061505265</v>
      </c>
      <c r="G543" s="485">
        <v>50</v>
      </c>
      <c r="H543" s="486">
        <f>G543+10</f>
        <v>60</v>
      </c>
      <c r="I543" s="486">
        <f t="shared" ref="I543" si="364">H543+10</f>
        <v>70</v>
      </c>
      <c r="J543" s="486">
        <f t="shared" ref="J543" si="365">I543+10</f>
        <v>80</v>
      </c>
      <c r="K543" s="486">
        <f t="shared" ref="K543" si="366">J543+10</f>
        <v>90</v>
      </c>
      <c r="L543" s="487">
        <f t="shared" ref="L543" si="367">K543+10</f>
        <v>100</v>
      </c>
      <c r="N543" s="370"/>
      <c r="O543" s="370"/>
      <c r="P543" s="370"/>
      <c r="Q543" s="370"/>
      <c r="R543" s="370"/>
      <c r="S543" s="370"/>
    </row>
    <row r="544" spans="1:33" s="202" customFormat="1" ht="15" customHeight="1">
      <c r="A544" s="201"/>
      <c r="C544" s="371"/>
      <c r="D544" s="120" t="str">
        <f>D488</f>
        <v>DROP</v>
      </c>
      <c r="E544" s="15" t="s">
        <v>17</v>
      </c>
      <c r="F544" s="186">
        <v>1</v>
      </c>
      <c r="G544" s="187">
        <f t="dataTable" ref="G544:L548" dt2D="1" dtr="1" r1="F55" r2="F7" ca="1"/>
        <v>1.8000622920706741</v>
      </c>
      <c r="H544" s="188">
        <v>0.89254068061505265</v>
      </c>
      <c r="I544" s="188">
        <v>0.79463537422094133</v>
      </c>
      <c r="J544" s="188">
        <v>0.75621616709954487</v>
      </c>
      <c r="K544" s="188">
        <v>0.73502400214481722</v>
      </c>
      <c r="L544" s="189">
        <v>0.72136989010640029</v>
      </c>
      <c r="N544" s="370"/>
      <c r="O544" s="370"/>
      <c r="P544" s="370"/>
      <c r="Q544" s="370"/>
      <c r="R544" s="370"/>
      <c r="S544" s="370"/>
    </row>
    <row r="545" spans="1:54" s="202" customFormat="1" ht="15" customHeight="1">
      <c r="A545" s="201"/>
      <c r="C545" s="371"/>
      <c r="D545" s="120" t="str">
        <f t="shared" ref="D545:D548" si="368">D489</f>
        <v>Rfactor</v>
      </c>
      <c r="E545" s="15" t="s">
        <v>17</v>
      </c>
      <c r="F545" s="186">
        <f>F544+1</f>
        <v>2</v>
      </c>
      <c r="G545" s="190">
        <v>1.5952323900679959</v>
      </c>
      <c r="H545" s="191">
        <v>0.85545490854657036</v>
      </c>
      <c r="I545" s="191">
        <v>0.80928459611551018</v>
      </c>
      <c r="J545" s="191">
        <v>0.78972831975407454</v>
      </c>
      <c r="K545" s="191">
        <v>0.77716685718677347</v>
      </c>
      <c r="L545" s="192">
        <v>0.78000483339987248</v>
      </c>
      <c r="N545" s="370"/>
      <c r="O545" s="370"/>
      <c r="P545" s="370"/>
      <c r="Q545" s="370"/>
      <c r="R545" s="370"/>
      <c r="S545" s="370"/>
    </row>
    <row r="546" spans="1:54" s="202" customFormat="1" ht="15" customHeight="1">
      <c r="A546" s="201"/>
      <c r="C546" s="371"/>
      <c r="D546" s="120" t="str">
        <f t="shared" si="368"/>
        <v>Royalty + CIT</v>
      </c>
      <c r="E546" s="15" t="s">
        <v>17</v>
      </c>
      <c r="F546" s="186">
        <f t="shared" ref="F546:F548" si="369">F545+1</f>
        <v>3</v>
      </c>
      <c r="G546" s="190">
        <v>2.2262996451825554</v>
      </c>
      <c r="H546" s="191">
        <v>0.90299215845987768</v>
      </c>
      <c r="I546" s="191">
        <v>0.72394084668901193</v>
      </c>
      <c r="J546" s="191">
        <v>0.65233973454274885</v>
      </c>
      <c r="K546" s="191">
        <v>0.61413344841831663</v>
      </c>
      <c r="L546" s="192">
        <v>0.59073368803254367</v>
      </c>
      <c r="N546" s="370"/>
      <c r="O546" s="370"/>
      <c r="P546" s="370"/>
      <c r="Q546" s="370"/>
      <c r="R546" s="370"/>
      <c r="S546" s="370"/>
    </row>
    <row r="547" spans="1:54" s="202" customFormat="1" ht="15" customHeight="1">
      <c r="A547" s="201"/>
      <c r="C547" s="371"/>
      <c r="D547" s="120" t="str">
        <f t="shared" si="368"/>
        <v>Alt1</v>
      </c>
      <c r="E547" s="15" t="s">
        <v>17</v>
      </c>
      <c r="F547" s="186">
        <f t="shared" si="369"/>
        <v>4</v>
      </c>
      <c r="G547" s="190">
        <v>0</v>
      </c>
      <c r="H547" s="191">
        <v>0</v>
      </c>
      <c r="I547" s="191">
        <v>0</v>
      </c>
      <c r="J547" s="191">
        <v>0</v>
      </c>
      <c r="K547" s="191">
        <v>0</v>
      </c>
      <c r="L547" s="192">
        <v>0</v>
      </c>
      <c r="N547" s="370"/>
      <c r="O547" s="370"/>
      <c r="P547" s="370"/>
      <c r="Q547" s="370"/>
      <c r="R547" s="370"/>
      <c r="S547" s="370"/>
    </row>
    <row r="548" spans="1:54" s="202" customFormat="1" ht="15" customHeight="1">
      <c r="A548" s="201"/>
      <c r="C548" s="371"/>
      <c r="D548" s="120" t="str">
        <f t="shared" si="368"/>
        <v>Alt2</v>
      </c>
      <c r="E548" s="15" t="s">
        <v>17</v>
      </c>
      <c r="F548" s="186">
        <f t="shared" si="369"/>
        <v>5</v>
      </c>
      <c r="G548" s="193">
        <v>0</v>
      </c>
      <c r="H548" s="194">
        <v>0</v>
      </c>
      <c r="I548" s="194">
        <v>0</v>
      </c>
      <c r="J548" s="194">
        <v>0</v>
      </c>
      <c r="K548" s="194">
        <v>0</v>
      </c>
      <c r="L548" s="195">
        <v>0</v>
      </c>
      <c r="N548" s="370"/>
      <c r="O548" s="370"/>
      <c r="P548" s="370"/>
      <c r="Q548" s="370"/>
      <c r="R548" s="370"/>
      <c r="S548" s="370"/>
    </row>
    <row r="549" spans="1:54" ht="15" customHeight="1">
      <c r="H549" s="15"/>
    </row>
    <row r="550" spans="1:54" s="202" customFormat="1" ht="15" customHeight="1">
      <c r="A550" s="201"/>
      <c r="C550" s="391"/>
      <c r="D550" s="200" t="str">
        <f>"Government Share of Total Benefits - selected regime: "&amp;F6</f>
        <v>Government Share of Total Benefits - selected regime: DROP</v>
      </c>
      <c r="E550" s="200"/>
      <c r="F550" s="284"/>
      <c r="G550" s="284"/>
      <c r="H550" s="284"/>
      <c r="I550" s="284"/>
      <c r="J550" s="284"/>
      <c r="K550" s="284"/>
      <c r="L550" s="284"/>
      <c r="M550" s="284"/>
      <c r="N550" s="284"/>
      <c r="O550" s="284"/>
      <c r="P550" s="284"/>
      <c r="Q550" s="284"/>
      <c r="R550" s="284"/>
      <c r="S550" s="284"/>
      <c r="T550" s="213"/>
      <c r="U550" s="213"/>
    </row>
    <row r="551" spans="1:54" s="202" customFormat="1" ht="15" customHeight="1">
      <c r="A551" s="201"/>
      <c r="C551" s="383"/>
      <c r="D551" s="202" t="s">
        <v>365</v>
      </c>
      <c r="E551" s="202" t="s">
        <v>17</v>
      </c>
      <c r="F551" s="308"/>
      <c r="G551" s="313">
        <f>G$435</f>
        <v>0</v>
      </c>
      <c r="H551" s="313">
        <f t="shared" ref="H551:J551" si="370">H$435</f>
        <v>0.1</v>
      </c>
      <c r="I551" s="313">
        <f t="shared" si="370"/>
        <v>0.125</v>
      </c>
      <c r="J551" s="313">
        <f t="shared" si="370"/>
        <v>0.15</v>
      </c>
      <c r="K551" s="246"/>
      <c r="L551" s="246"/>
      <c r="M551" s="246"/>
      <c r="N551" s="246"/>
      <c r="O551" s="246"/>
      <c r="P551" s="246"/>
      <c r="Q551" s="246"/>
      <c r="R551" s="246"/>
      <c r="S551" s="246"/>
    </row>
    <row r="552" spans="1:54" s="202" customFormat="1" ht="15" customHeight="1">
      <c r="A552" s="201"/>
      <c r="C552" s="267"/>
      <c r="D552" s="202" t="s">
        <v>361</v>
      </c>
      <c r="E552" s="202" t="s">
        <v>12</v>
      </c>
      <c r="F552" s="308"/>
      <c r="G552" s="393">
        <f>G$437</f>
        <v>1499.4007702765025</v>
      </c>
      <c r="H552" s="393">
        <f t="shared" ref="H552:J552" si="371">H$437</f>
        <v>854.06958803161979</v>
      </c>
      <c r="I552" s="393">
        <f t="shared" si="371"/>
        <v>751.18092251740927</v>
      </c>
      <c r="J552" s="393">
        <f t="shared" si="371"/>
        <v>663.51510194167781</v>
      </c>
      <c r="K552" s="246"/>
      <c r="L552" s="246"/>
      <c r="M552" s="246"/>
      <c r="N552" s="246"/>
      <c r="O552" s="246"/>
      <c r="P552" s="246"/>
      <c r="Q552" s="246"/>
      <c r="R552" s="246"/>
      <c r="S552" s="246"/>
    </row>
    <row r="553" spans="1:54" s="202" customFormat="1" ht="15" customHeight="1">
      <c r="A553" s="201"/>
      <c r="C553" s="267"/>
      <c r="D553" s="202" t="s">
        <v>362</v>
      </c>
      <c r="E553" s="202" t="s">
        <v>12</v>
      </c>
      <c r="G553" s="250">
        <f>G$441</f>
        <v>2869.5760320000009</v>
      </c>
      <c r="H553" s="250">
        <f t="shared" ref="H553:J553" si="372">H$441</f>
        <v>1725.5554285652793</v>
      </c>
      <c r="I553" s="250">
        <f t="shared" si="372"/>
        <v>1536.0653798619408</v>
      </c>
      <c r="J553" s="250">
        <f t="shared" si="372"/>
        <v>1372.7305086032202</v>
      </c>
      <c r="K553" s="267"/>
      <c r="L553" s="267"/>
      <c r="M553" s="267"/>
      <c r="N553" s="267"/>
      <c r="O553" s="267"/>
      <c r="P553" s="267"/>
      <c r="Q553" s="267"/>
      <c r="R553" s="267"/>
      <c r="S553" s="267"/>
    </row>
    <row r="554" spans="1:54" s="198" customFormat="1" ht="15" customHeight="1">
      <c r="A554" s="392"/>
      <c r="C554" s="383"/>
      <c r="D554" s="394" t="s">
        <v>368</v>
      </c>
      <c r="E554" s="394" t="s">
        <v>17</v>
      </c>
      <c r="F554" s="394"/>
      <c r="G554" s="395">
        <f>G552/G553</f>
        <v>0.52251648102575943</v>
      </c>
      <c r="H554" s="395">
        <f t="shared" ref="H554:J554" si="373">H552/H553</f>
        <v>0.49495343579993817</v>
      </c>
      <c r="I554" s="395">
        <f t="shared" si="373"/>
        <v>0.48902926422632109</v>
      </c>
      <c r="J554" s="395">
        <f t="shared" si="373"/>
        <v>0.48335423288349383</v>
      </c>
      <c r="K554" s="377"/>
      <c r="L554" s="377"/>
      <c r="M554" s="377"/>
      <c r="N554" s="377"/>
      <c r="O554" s="377"/>
      <c r="P554" s="377"/>
      <c r="Q554" s="377"/>
      <c r="R554" s="377"/>
      <c r="S554" s="377"/>
    </row>
    <row r="555" spans="1:54" s="202" customFormat="1" ht="15" customHeight="1">
      <c r="A555" s="201"/>
      <c r="C555" s="267"/>
      <c r="G555" s="267"/>
      <c r="H555" s="267"/>
      <c r="I555" s="267"/>
      <c r="J555" s="267"/>
      <c r="K555" s="267"/>
      <c r="L555" s="267"/>
      <c r="M555" s="267"/>
      <c r="N555" s="267"/>
      <c r="O555" s="267"/>
      <c r="P555" s="267"/>
      <c r="Q555" s="267"/>
      <c r="R555" s="267"/>
      <c r="S555" s="267"/>
    </row>
    <row r="556" spans="1:54" s="202" customFormat="1" ht="15" customHeight="1">
      <c r="A556" s="201"/>
      <c r="C556" s="391"/>
      <c r="D556" s="200" t="s">
        <v>369</v>
      </c>
      <c r="E556" s="200"/>
      <c r="F556" s="284"/>
      <c r="G556" s="284"/>
      <c r="H556" s="284"/>
      <c r="I556" s="284"/>
      <c r="J556" s="284"/>
      <c r="K556" s="284"/>
      <c r="L556" s="284"/>
      <c r="M556" s="284"/>
      <c r="N556" s="284"/>
      <c r="O556" s="284"/>
      <c r="P556" s="284"/>
      <c r="Q556" s="284"/>
      <c r="R556" s="284"/>
      <c r="S556" s="284"/>
      <c r="T556" s="213"/>
      <c r="U556" s="213"/>
    </row>
    <row r="557" spans="1:54" s="287" customFormat="1" ht="26">
      <c r="A557" s="286"/>
      <c r="B557" s="314"/>
      <c r="C557" s="288"/>
      <c r="D557" s="289" t="s">
        <v>246</v>
      </c>
      <c r="E557" s="289"/>
      <c r="G557" s="389" t="str">
        <f>H6</f>
        <v>DROP</v>
      </c>
      <c r="H557" s="389" t="str">
        <f t="shared" ref="H557:K557" si="374">I6</f>
        <v>Rfactor</v>
      </c>
      <c r="I557" s="389" t="str">
        <f t="shared" si="374"/>
        <v>Royalty + CIT</v>
      </c>
      <c r="J557" s="389" t="str">
        <f t="shared" si="374"/>
        <v>Alt1</v>
      </c>
      <c r="K557" s="389" t="str">
        <f t="shared" si="374"/>
        <v>Alt2</v>
      </c>
      <c r="L557" s="291"/>
      <c r="M557" s="291"/>
      <c r="N557" s="291"/>
      <c r="O557" s="291"/>
      <c r="P557" s="291"/>
      <c r="Q557" s="291"/>
      <c r="R557" s="291"/>
      <c r="S557" s="291"/>
      <c r="V557" s="291"/>
      <c r="W557" s="299"/>
      <c r="X557" s="299"/>
      <c r="Y557" s="299"/>
      <c r="Z557" s="299"/>
      <c r="AA557" s="299"/>
      <c r="AB557" s="299"/>
      <c r="AC557" s="299"/>
      <c r="AD557" s="299"/>
      <c r="AE557" s="299"/>
      <c r="AF557" s="299"/>
      <c r="AG557" s="299"/>
      <c r="AH557" s="291"/>
      <c r="AI557" s="291"/>
      <c r="AJ557" s="291"/>
      <c r="AK557" s="291"/>
      <c r="AL557" s="291"/>
      <c r="AM557" s="291"/>
      <c r="AN557" s="291"/>
      <c r="AO557" s="291"/>
      <c r="AP557" s="291"/>
      <c r="AQ557" s="291"/>
      <c r="AR557" s="291"/>
      <c r="AS557" s="291"/>
      <c r="AT557" s="291"/>
      <c r="AU557" s="291"/>
      <c r="AV557" s="291"/>
      <c r="AW557" s="291"/>
      <c r="AX557" s="291"/>
      <c r="AY557" s="291"/>
      <c r="AZ557" s="291"/>
      <c r="BA557" s="291"/>
      <c r="BB557" s="291"/>
    </row>
    <row r="558" spans="1:54" s="287" customFormat="1" ht="15" customHeight="1">
      <c r="A558" s="286"/>
      <c r="B558" s="314"/>
      <c r="C558" s="288"/>
      <c r="G558" s="390">
        <f t="shared" ref="G558:K558" si="375">H7</f>
        <v>1</v>
      </c>
      <c r="H558" s="390">
        <f t="shared" si="375"/>
        <v>2</v>
      </c>
      <c r="I558" s="390">
        <f t="shared" si="375"/>
        <v>3</v>
      </c>
      <c r="J558" s="390">
        <f t="shared" si="375"/>
        <v>4</v>
      </c>
      <c r="K558" s="390">
        <f t="shared" si="375"/>
        <v>5</v>
      </c>
      <c r="L558" s="291"/>
      <c r="M558" s="291"/>
      <c r="N558" s="291"/>
      <c r="O558" s="291"/>
      <c r="P558" s="291"/>
      <c r="Q558" s="291"/>
      <c r="R558" s="291"/>
      <c r="S558" s="291"/>
      <c r="V558" s="291"/>
      <c r="W558" s="299"/>
      <c r="X558" s="299"/>
      <c r="Y558" s="299"/>
      <c r="Z558" s="299"/>
      <c r="AA558" s="299"/>
      <c r="AB558" s="299"/>
      <c r="AC558" s="299"/>
      <c r="AD558" s="299"/>
      <c r="AE558" s="299"/>
      <c r="AF558" s="299"/>
      <c r="AG558" s="299"/>
      <c r="AH558" s="291"/>
      <c r="AI558" s="291"/>
      <c r="AJ558" s="291"/>
      <c r="AK558" s="291"/>
      <c r="AL558" s="291"/>
      <c r="AM558" s="291"/>
      <c r="AN558" s="291"/>
      <c r="AO558" s="291"/>
      <c r="AP558" s="291"/>
      <c r="AQ558" s="291"/>
      <c r="AR558" s="291"/>
      <c r="AS558" s="291"/>
      <c r="AT558" s="291"/>
      <c r="AU558" s="291"/>
      <c r="AV558" s="291"/>
      <c r="AW558" s="291"/>
      <c r="AX558" s="291"/>
      <c r="AY558" s="291"/>
      <c r="AZ558" s="291"/>
      <c r="BA558" s="291"/>
      <c r="BB558" s="291"/>
    </row>
    <row r="559" spans="1:54" s="287" customFormat="1" ht="15" customHeight="1">
      <c r="A559" s="286"/>
      <c r="B559" s="314"/>
      <c r="C559" s="288"/>
      <c r="D559" s="289" t="str">
        <f>"Government Share of Total Benefits NPV"&amp;G435*100</f>
        <v>Government Share of Total Benefits NPV0</v>
      </c>
      <c r="E559" s="289" t="s">
        <v>17</v>
      </c>
      <c r="F559" s="312">
        <f>G442</f>
        <v>0.52251648102575943</v>
      </c>
      <c r="G559" s="397">
        <f t="dataTable" ref="G559:K562" dt2D="0" dtr="1" r1="F7" ca="1"/>
        <v>0.52251648102575943</v>
      </c>
      <c r="H559" s="397">
        <v>0.51872355146583182</v>
      </c>
      <c r="I559" s="397">
        <v>0.52453974736291376</v>
      </c>
      <c r="J559" s="397">
        <v>0</v>
      </c>
      <c r="K559" s="397">
        <v>0</v>
      </c>
      <c r="L559" s="291"/>
      <c r="M559" s="291"/>
      <c r="N559" s="291"/>
      <c r="O559" s="291"/>
      <c r="P559" s="291"/>
      <c r="Q559" s="291"/>
      <c r="R559" s="291"/>
      <c r="S559" s="291"/>
      <c r="V559" s="291"/>
      <c r="W559" s="299"/>
      <c r="X559" s="299"/>
      <c r="Y559" s="299"/>
      <c r="Z559" s="299"/>
      <c r="AA559" s="299"/>
      <c r="AB559" s="299"/>
      <c r="AC559" s="299"/>
      <c r="AD559" s="299"/>
      <c r="AE559" s="299"/>
      <c r="AF559" s="299"/>
      <c r="AG559" s="299"/>
      <c r="AH559" s="291"/>
      <c r="AI559" s="291"/>
      <c r="AJ559" s="291"/>
      <c r="AK559" s="291"/>
      <c r="AL559" s="291"/>
      <c r="AM559" s="291"/>
      <c r="AN559" s="291"/>
      <c r="AO559" s="291"/>
      <c r="AP559" s="291"/>
      <c r="AQ559" s="291"/>
      <c r="AR559" s="291"/>
      <c r="AS559" s="291"/>
      <c r="AT559" s="291"/>
      <c r="AU559" s="291"/>
      <c r="AV559" s="291"/>
      <c r="AW559" s="291"/>
      <c r="AX559" s="291"/>
      <c r="AY559" s="291"/>
      <c r="AZ559" s="291"/>
      <c r="BA559" s="291"/>
      <c r="BB559" s="291"/>
    </row>
    <row r="560" spans="1:54" s="287" customFormat="1" ht="15" customHeight="1">
      <c r="A560" s="286"/>
      <c r="B560" s="314"/>
      <c r="C560" s="288"/>
      <c r="D560" s="289" t="str">
        <f>"Government Share of Total Benefits NPV"&amp;H435*100</f>
        <v>Government Share of Total Benefits NPV10</v>
      </c>
      <c r="E560" s="289" t="s">
        <v>17</v>
      </c>
      <c r="F560" s="312">
        <f>H442</f>
        <v>0.49495343579993817</v>
      </c>
      <c r="G560" s="398">
        <v>0.49495343579993817</v>
      </c>
      <c r="H560" s="398">
        <v>0.47752507610767347</v>
      </c>
      <c r="I560" s="398">
        <v>0.49988475367578156</v>
      </c>
      <c r="J560" s="398">
        <v>0</v>
      </c>
      <c r="K560" s="398">
        <v>0</v>
      </c>
      <c r="L560" s="291"/>
      <c r="M560" s="291"/>
      <c r="N560" s="291"/>
      <c r="O560" s="291"/>
      <c r="P560" s="291"/>
      <c r="Q560" s="291"/>
      <c r="R560" s="291"/>
      <c r="S560" s="291"/>
      <c r="V560" s="291"/>
      <c r="W560" s="299"/>
      <c r="X560" s="299"/>
      <c r="Y560" s="299"/>
      <c r="Z560" s="299"/>
      <c r="AA560" s="299"/>
      <c r="AB560" s="299"/>
      <c r="AC560" s="299"/>
      <c r="AD560" s="299"/>
      <c r="AE560" s="299"/>
      <c r="AF560" s="299"/>
      <c r="AG560" s="299"/>
      <c r="AH560" s="291"/>
      <c r="AI560" s="291"/>
      <c r="AJ560" s="291"/>
      <c r="AK560" s="291"/>
      <c r="AL560" s="291"/>
      <c r="AM560" s="291"/>
      <c r="AN560" s="291"/>
      <c r="AO560" s="291"/>
      <c r="AP560" s="291"/>
      <c r="AQ560" s="291"/>
      <c r="AR560" s="291"/>
      <c r="AS560" s="291"/>
      <c r="AT560" s="291"/>
      <c r="AU560" s="291"/>
      <c r="AV560" s="291"/>
      <c r="AW560" s="291"/>
      <c r="AX560" s="291"/>
      <c r="AY560" s="291"/>
      <c r="AZ560" s="291"/>
      <c r="BA560" s="291"/>
      <c r="BB560" s="291"/>
    </row>
    <row r="561" spans="1:54" s="287" customFormat="1" ht="15" customHeight="1">
      <c r="A561" s="286"/>
      <c r="B561" s="314"/>
      <c r="C561" s="288"/>
      <c r="D561" s="289" t="str">
        <f>"Government Share of Total Benefits NPV"&amp;I435*100</f>
        <v>Government Share of Total Benefits NPV12.5</v>
      </c>
      <c r="E561" s="289" t="s">
        <v>17</v>
      </c>
      <c r="F561" s="312">
        <f>I442</f>
        <v>0.48902926422632109</v>
      </c>
      <c r="G561" s="398">
        <v>0.48902926422632109</v>
      </c>
      <c r="H561" s="398">
        <v>0.46870971104313469</v>
      </c>
      <c r="I561" s="398">
        <v>0.49475570183475642</v>
      </c>
      <c r="J561" s="398">
        <v>0</v>
      </c>
      <c r="K561" s="398">
        <v>0</v>
      </c>
      <c r="L561" s="291"/>
      <c r="M561" s="291"/>
      <c r="N561" s="291"/>
      <c r="O561" s="291"/>
      <c r="P561" s="291"/>
      <c r="Q561" s="291"/>
      <c r="R561" s="291"/>
      <c r="S561" s="291"/>
      <c r="V561" s="291"/>
      <c r="W561" s="299"/>
      <c r="X561" s="299"/>
      <c r="Y561" s="299"/>
      <c r="Z561" s="299"/>
      <c r="AA561" s="299"/>
      <c r="AB561" s="299"/>
      <c r="AC561" s="299"/>
      <c r="AD561" s="299"/>
      <c r="AE561" s="299"/>
      <c r="AF561" s="299"/>
      <c r="AG561" s="299"/>
      <c r="AH561" s="291"/>
      <c r="AI561" s="291"/>
      <c r="AJ561" s="291"/>
      <c r="AK561" s="291"/>
      <c r="AL561" s="291"/>
      <c r="AM561" s="291"/>
      <c r="AN561" s="291"/>
      <c r="AO561" s="291"/>
      <c r="AP561" s="291"/>
      <c r="AQ561" s="291"/>
      <c r="AR561" s="291"/>
      <c r="AS561" s="291"/>
      <c r="AT561" s="291"/>
      <c r="AU561" s="291"/>
      <c r="AV561" s="291"/>
      <c r="AW561" s="291"/>
      <c r="AX561" s="291"/>
      <c r="AY561" s="291"/>
      <c r="AZ561" s="291"/>
      <c r="BA561" s="291"/>
      <c r="BB561" s="291"/>
    </row>
    <row r="562" spans="1:54" s="287" customFormat="1" ht="15" customHeight="1">
      <c r="A562" s="286"/>
      <c r="B562" s="314"/>
      <c r="C562" s="288"/>
      <c r="D562" s="289" t="str">
        <f>"Government Share of Total Benefits NPV"&amp;J435*100</f>
        <v>Government Share of Total Benefits NPV15</v>
      </c>
      <c r="E562" s="289" t="s">
        <v>17</v>
      </c>
      <c r="F562" s="312">
        <f>J442</f>
        <v>0.48335423288349383</v>
      </c>
      <c r="G562" s="399">
        <v>0.48335423288349383</v>
      </c>
      <c r="H562" s="399">
        <v>0.46033007155847583</v>
      </c>
      <c r="I562" s="399">
        <v>0.489903339627284</v>
      </c>
      <c r="J562" s="399">
        <v>0</v>
      </c>
      <c r="K562" s="399">
        <v>0</v>
      </c>
      <c r="L562" s="291"/>
      <c r="M562" s="291"/>
      <c r="N562" s="291"/>
      <c r="O562" s="291"/>
      <c r="P562" s="291"/>
      <c r="Q562" s="291"/>
      <c r="R562" s="291"/>
      <c r="S562" s="291"/>
      <c r="V562" s="291"/>
      <c r="W562" s="299"/>
      <c r="X562" s="299"/>
      <c r="Y562" s="299"/>
      <c r="Z562" s="299"/>
      <c r="AA562" s="299"/>
      <c r="AB562" s="299"/>
      <c r="AC562" s="299"/>
      <c r="AD562" s="299"/>
      <c r="AE562" s="299"/>
      <c r="AF562" s="299"/>
      <c r="AG562" s="299"/>
      <c r="AH562" s="291"/>
      <c r="AI562" s="291"/>
      <c r="AJ562" s="291"/>
      <c r="AK562" s="291"/>
      <c r="AL562" s="291"/>
      <c r="AM562" s="291"/>
      <c r="AN562" s="291"/>
      <c r="AO562" s="291"/>
      <c r="AP562" s="291"/>
      <c r="AQ562" s="291"/>
      <c r="AR562" s="291"/>
      <c r="AS562" s="291"/>
      <c r="AT562" s="291"/>
      <c r="AU562" s="291"/>
      <c r="AV562" s="291"/>
      <c r="AW562" s="291"/>
      <c r="AX562" s="291"/>
      <c r="AY562" s="291"/>
      <c r="AZ562" s="291"/>
      <c r="BA562" s="291"/>
      <c r="BB562" s="291"/>
    </row>
    <row r="563" spans="1:54" s="202" customFormat="1" ht="15" customHeight="1">
      <c r="A563" s="201"/>
      <c r="C563" s="267"/>
      <c r="G563" s="267"/>
      <c r="H563" s="267"/>
      <c r="I563" s="267"/>
      <c r="J563" s="267"/>
      <c r="K563" s="267"/>
      <c r="L563" s="267"/>
      <c r="M563" s="267"/>
      <c r="N563" s="267"/>
      <c r="O563" s="267"/>
      <c r="P563" s="267"/>
      <c r="Q563" s="267"/>
      <c r="R563" s="267"/>
      <c r="S563" s="267"/>
    </row>
    <row r="564" spans="1:54" s="202" customFormat="1" ht="15" customHeight="1">
      <c r="A564" s="201"/>
      <c r="C564" s="391"/>
      <c r="D564" s="200" t="str">
        <f>"Government Share of Total Benefits NPV"&amp;I435*100&amp;" Price Sensitivity (Progressivity) - regime comparison"</f>
        <v>Government Share of Total Benefits NPV12.5 Price Sensitivity (Progressivity) - regime comparison</v>
      </c>
      <c r="E564" s="200"/>
      <c r="F564" s="284"/>
      <c r="G564" s="284"/>
      <c r="H564" s="284"/>
      <c r="I564" s="284"/>
      <c r="J564" s="284"/>
      <c r="K564" s="284"/>
      <c r="L564" s="284"/>
      <c r="M564" s="284"/>
      <c r="N564" s="284"/>
      <c r="O564" s="284"/>
      <c r="P564" s="284"/>
      <c r="Q564" s="284"/>
      <c r="R564" s="284"/>
      <c r="S564" s="284"/>
      <c r="T564" s="213"/>
      <c r="U564" s="213"/>
    </row>
    <row r="565" spans="1:54" s="202" customFormat="1" ht="15" customHeight="1">
      <c r="A565" s="201"/>
      <c r="C565" s="371"/>
      <c r="D565" s="202" t="s">
        <v>80</v>
      </c>
      <c r="E565" s="202" t="s">
        <v>373</v>
      </c>
      <c r="F565" s="312">
        <f>I442</f>
        <v>0.48902926422632109</v>
      </c>
      <c r="G565" s="485">
        <v>50</v>
      </c>
      <c r="H565" s="486">
        <f>G565+10</f>
        <v>60</v>
      </c>
      <c r="I565" s="486">
        <f t="shared" ref="I565" si="376">H565+10</f>
        <v>70</v>
      </c>
      <c r="J565" s="486">
        <f t="shared" ref="J565" si="377">I565+10</f>
        <v>80</v>
      </c>
      <c r="K565" s="486">
        <f t="shared" ref="K565" si="378">J565+10</f>
        <v>90</v>
      </c>
      <c r="L565" s="487">
        <f t="shared" ref="L565" si="379">K565+10</f>
        <v>100</v>
      </c>
      <c r="M565" s="370"/>
      <c r="N565" s="370"/>
      <c r="O565" s="370"/>
      <c r="P565" s="370"/>
      <c r="Q565" s="370"/>
      <c r="R565" s="370"/>
      <c r="S565" s="370"/>
    </row>
    <row r="566" spans="1:54" s="202" customFormat="1" ht="15" customHeight="1">
      <c r="A566" s="201"/>
      <c r="C566" s="267"/>
      <c r="D566" s="400" t="str">
        <f>D544</f>
        <v>DROP</v>
      </c>
      <c r="E566" s="202" t="s">
        <v>17</v>
      </c>
      <c r="F566" s="308">
        <v>1</v>
      </c>
      <c r="G566" s="404">
        <f t="dataTable" ref="G566:L570" dt2D="1" dtr="1" r1="F55" r2="F7" ca="1"/>
        <v>0.42025587202733555</v>
      </c>
      <c r="H566" s="396">
        <v>0.48902926422632109</v>
      </c>
      <c r="I566" s="396">
        <v>0.5398867676679352</v>
      </c>
      <c r="J566" s="396">
        <v>0.56841338534128771</v>
      </c>
      <c r="K566" s="396">
        <v>0.58605304406182324</v>
      </c>
      <c r="L566" s="405">
        <v>0.59787655274398677</v>
      </c>
      <c r="M566" s="267"/>
      <c r="N566" s="267"/>
      <c r="O566" s="267"/>
      <c r="P566" s="267"/>
      <c r="Q566" s="267"/>
      <c r="R566" s="267"/>
      <c r="S566" s="267"/>
    </row>
    <row r="567" spans="1:54" s="202" customFormat="1" ht="15" customHeight="1">
      <c r="A567" s="201"/>
      <c r="C567" s="267"/>
      <c r="D567" s="400" t="str">
        <f t="shared" ref="D567:D570" si="380">D545</f>
        <v>Rfactor</v>
      </c>
      <c r="E567" s="202" t="s">
        <v>17</v>
      </c>
      <c r="F567" s="308">
        <f>F566+1</f>
        <v>2</v>
      </c>
      <c r="G567" s="404">
        <v>0.37243476635638273</v>
      </c>
      <c r="H567" s="396">
        <v>0.46870971104313469</v>
      </c>
      <c r="I567" s="396">
        <v>0.5498396609244971</v>
      </c>
      <c r="J567" s="396">
        <v>0.59360295013662445</v>
      </c>
      <c r="K567" s="396">
        <v>0.61965459776717902</v>
      </c>
      <c r="L567" s="405">
        <v>0.64647361542630855</v>
      </c>
      <c r="M567" s="267"/>
      <c r="N567" s="267"/>
      <c r="O567" s="267"/>
      <c r="P567" s="267"/>
      <c r="Q567" s="267"/>
      <c r="R567" s="267"/>
      <c r="S567" s="267"/>
    </row>
    <row r="568" spans="1:54" s="202" customFormat="1" ht="15" customHeight="1">
      <c r="A568" s="201"/>
      <c r="C568" s="267"/>
      <c r="D568" s="400" t="str">
        <f t="shared" si="380"/>
        <v>Royalty + CIT</v>
      </c>
      <c r="E568" s="202" t="s">
        <v>17</v>
      </c>
      <c r="F568" s="308">
        <f t="shared" ref="F568:F569" si="381">F567+1</f>
        <v>3</v>
      </c>
      <c r="G568" s="404">
        <v>0.51976840073910524</v>
      </c>
      <c r="H568" s="396">
        <v>0.49475570183475642</v>
      </c>
      <c r="I568" s="396">
        <v>0.49185588306448536</v>
      </c>
      <c r="J568" s="396">
        <v>0.49033418357911218</v>
      </c>
      <c r="K568" s="396">
        <v>0.48966397812248225</v>
      </c>
      <c r="L568" s="405">
        <v>0.48960432897822348</v>
      </c>
      <c r="M568" s="267"/>
      <c r="N568" s="267"/>
      <c r="O568" s="267"/>
      <c r="P568" s="267"/>
      <c r="Q568" s="267"/>
      <c r="R568" s="267"/>
      <c r="S568" s="267"/>
    </row>
    <row r="569" spans="1:54" s="202" customFormat="1" ht="15" customHeight="1">
      <c r="A569" s="201"/>
      <c r="C569" s="267"/>
      <c r="D569" s="400" t="str">
        <f t="shared" si="380"/>
        <v>Alt1</v>
      </c>
      <c r="E569" s="202" t="s">
        <v>17</v>
      </c>
      <c r="F569" s="308">
        <f t="shared" si="381"/>
        <v>4</v>
      </c>
      <c r="G569" s="404">
        <v>0</v>
      </c>
      <c r="H569" s="396">
        <v>0</v>
      </c>
      <c r="I569" s="396">
        <v>0</v>
      </c>
      <c r="J569" s="396">
        <v>0</v>
      </c>
      <c r="K569" s="396">
        <v>0</v>
      </c>
      <c r="L569" s="405">
        <v>0</v>
      </c>
      <c r="M569" s="267"/>
      <c r="N569" s="267"/>
      <c r="O569" s="267"/>
      <c r="P569" s="267"/>
      <c r="Q569" s="267"/>
      <c r="R569" s="267"/>
      <c r="S569" s="267"/>
    </row>
    <row r="570" spans="1:54" s="202" customFormat="1" ht="15" customHeight="1">
      <c r="A570" s="201"/>
      <c r="C570" s="267"/>
      <c r="D570" s="400" t="str">
        <f t="shared" si="380"/>
        <v>Alt2</v>
      </c>
      <c r="E570" s="202" t="s">
        <v>17</v>
      </c>
      <c r="F570" s="308">
        <v>5</v>
      </c>
      <c r="G570" s="406">
        <v>0</v>
      </c>
      <c r="H570" s="407">
        <v>0</v>
      </c>
      <c r="I570" s="407">
        <v>0</v>
      </c>
      <c r="J570" s="407">
        <v>0</v>
      </c>
      <c r="K570" s="407">
        <v>0</v>
      </c>
      <c r="L570" s="408">
        <v>0</v>
      </c>
      <c r="M570" s="267"/>
      <c r="N570" s="267"/>
      <c r="O570" s="267"/>
      <c r="P570" s="267"/>
      <c r="Q570" s="267"/>
      <c r="R570" s="267"/>
      <c r="S570" s="267"/>
    </row>
    <row r="571" spans="1:54" s="202" customFormat="1" ht="15" customHeight="1">
      <c r="A571" s="201"/>
      <c r="C571" s="267"/>
      <c r="D571" s="400"/>
      <c r="F571" s="308"/>
      <c r="G571" s="396"/>
      <c r="H571" s="396"/>
      <c r="I571" s="396"/>
      <c r="J571" s="396"/>
      <c r="K571" s="396"/>
      <c r="L571" s="396"/>
      <c r="M571" s="267"/>
      <c r="N571" s="267"/>
      <c r="O571" s="267"/>
      <c r="P571" s="267"/>
      <c r="Q571" s="267"/>
      <c r="R571" s="267"/>
      <c r="S571" s="267"/>
    </row>
    <row r="572" spans="1:54" s="202" customFormat="1" ht="15" customHeight="1">
      <c r="A572" s="201"/>
      <c r="C572" s="267"/>
      <c r="D572" s="400"/>
      <c r="F572" s="495"/>
      <c r="G572" s="496">
        <f>G565</f>
        <v>50</v>
      </c>
      <c r="H572" s="497">
        <f t="shared" ref="H572:L572" si="382">H565</f>
        <v>60</v>
      </c>
      <c r="I572" s="497">
        <f t="shared" si="382"/>
        <v>70</v>
      </c>
      <c r="J572" s="497">
        <f t="shared" si="382"/>
        <v>80</v>
      </c>
      <c r="K572" s="497">
        <f t="shared" si="382"/>
        <v>90</v>
      </c>
      <c r="L572" s="498">
        <f t="shared" si="382"/>
        <v>100</v>
      </c>
      <c r="M572" s="267"/>
      <c r="N572" s="267"/>
      <c r="O572" s="267"/>
      <c r="P572" s="267"/>
      <c r="Q572" s="267"/>
      <c r="R572" s="267"/>
      <c r="S572" s="267"/>
    </row>
    <row r="573" spans="1:54" s="202" customFormat="1" ht="15" customHeight="1">
      <c r="A573" s="201"/>
      <c r="C573" s="267"/>
      <c r="D573" s="400" t="s">
        <v>394</v>
      </c>
      <c r="E573" s="202" t="s">
        <v>17</v>
      </c>
      <c r="F573" s="312">
        <f>C84</f>
        <v>0.35457462421423069</v>
      </c>
      <c r="G573" s="499">
        <f t="dataTable" ref="G573:L573" dt2D="0" dtr="1" r1="F55" ca="1"/>
        <v>0.19605610047607991</v>
      </c>
      <c r="H573" s="500">
        <v>0.35457462421423069</v>
      </c>
      <c r="I573" s="500">
        <v>0.47586680919498181</v>
      </c>
      <c r="J573" s="500">
        <v>0.57775949841007423</v>
      </c>
      <c r="K573" s="500">
        <v>0.66718063285038465</v>
      </c>
      <c r="L573" s="501">
        <v>0.74771542497769738</v>
      </c>
      <c r="M573" s="267"/>
      <c r="N573" s="267"/>
      <c r="O573" s="267"/>
      <c r="P573" s="267"/>
      <c r="Q573" s="267"/>
      <c r="R573" s="267"/>
      <c r="S573" s="267"/>
    </row>
    <row r="574" spans="1:54" s="202" customFormat="1" ht="15" customHeight="1">
      <c r="A574" s="201"/>
      <c r="C574" s="267"/>
      <c r="D574" s="400"/>
      <c r="F574" s="495"/>
      <c r="G574" s="267"/>
      <c r="H574" s="267"/>
      <c r="I574" s="267"/>
      <c r="J574" s="267"/>
      <c r="K574" s="267"/>
      <c r="L574" s="267"/>
      <c r="M574" s="267"/>
      <c r="N574" s="267"/>
      <c r="O574" s="267"/>
      <c r="P574" s="267"/>
      <c r="Q574" s="267"/>
      <c r="R574" s="267"/>
      <c r="S574" s="267"/>
    </row>
    <row r="575" spans="1:54" s="202" customFormat="1" ht="15" customHeight="1">
      <c r="A575" s="201"/>
      <c r="C575" s="267"/>
      <c r="G575" s="267"/>
      <c r="H575" s="267"/>
      <c r="I575" s="267"/>
      <c r="J575" s="267"/>
      <c r="K575" s="267"/>
      <c r="L575" s="267"/>
      <c r="M575" s="267"/>
      <c r="N575" s="267"/>
      <c r="O575" s="267"/>
      <c r="P575" s="267"/>
      <c r="Q575" s="267"/>
      <c r="R575" s="267"/>
      <c r="S575" s="267"/>
    </row>
    <row r="576" spans="1:54" s="202" customFormat="1" ht="15" customHeight="1">
      <c r="A576" s="201"/>
      <c r="C576" s="267"/>
      <c r="G576" s="267"/>
      <c r="H576" s="267"/>
      <c r="I576" s="267"/>
      <c r="J576" s="267"/>
      <c r="K576" s="267"/>
      <c r="L576" s="267"/>
      <c r="M576" s="267"/>
      <c r="N576" s="267"/>
      <c r="O576" s="267"/>
      <c r="P576" s="267"/>
      <c r="Q576" s="267"/>
      <c r="R576" s="267"/>
      <c r="S576" s="267"/>
    </row>
    <row r="577" spans="1:19" s="202" customFormat="1" ht="15" customHeight="1">
      <c r="A577" s="201"/>
      <c r="C577" s="267"/>
      <c r="G577" s="267"/>
      <c r="H577" s="267"/>
      <c r="I577" s="267"/>
      <c r="J577" s="267"/>
      <c r="K577" s="267"/>
      <c r="L577" s="267"/>
      <c r="M577" s="267"/>
      <c r="N577" s="267"/>
      <c r="O577" s="267"/>
      <c r="P577" s="267"/>
      <c r="Q577" s="267"/>
      <c r="R577" s="267"/>
      <c r="S577" s="267"/>
    </row>
    <row r="578" spans="1:19" s="202" customFormat="1" ht="15" customHeight="1">
      <c r="A578" s="201"/>
      <c r="C578" s="267"/>
      <c r="G578" s="267"/>
      <c r="H578" s="267"/>
      <c r="I578" s="267"/>
      <c r="J578" s="267"/>
      <c r="K578" s="267"/>
      <c r="L578" s="267"/>
      <c r="M578" s="267"/>
      <c r="N578" s="267"/>
      <c r="O578" s="267"/>
      <c r="P578" s="267"/>
      <c r="Q578" s="267"/>
      <c r="R578" s="267"/>
      <c r="S578" s="267"/>
    </row>
    <row r="579" spans="1:19" s="202" customFormat="1" ht="15" customHeight="1">
      <c r="A579" s="201"/>
      <c r="C579" s="267"/>
      <c r="G579" s="267"/>
      <c r="H579" s="267"/>
      <c r="I579" s="267"/>
      <c r="J579" s="267"/>
      <c r="K579" s="267"/>
      <c r="L579" s="267"/>
      <c r="M579" s="267"/>
      <c r="N579" s="267"/>
      <c r="O579" s="267"/>
      <c r="P579" s="267"/>
      <c r="Q579" s="267"/>
      <c r="R579" s="267"/>
      <c r="S579" s="267"/>
    </row>
    <row r="580" spans="1:19" s="202" customFormat="1" ht="15" customHeight="1">
      <c r="A580" s="201"/>
      <c r="C580" s="267"/>
      <c r="G580" s="267"/>
      <c r="H580" s="267"/>
      <c r="I580" s="267"/>
      <c r="J580" s="267"/>
      <c r="K580" s="267"/>
      <c r="L580" s="267"/>
      <c r="M580" s="267"/>
      <c r="N580" s="267"/>
      <c r="O580" s="267"/>
      <c r="P580" s="267"/>
      <c r="Q580" s="267"/>
      <c r="R580" s="267"/>
      <c r="S580" s="267"/>
    </row>
    <row r="581" spans="1:19" s="202" customFormat="1" ht="15" customHeight="1">
      <c r="A581" s="201"/>
      <c r="C581" s="267"/>
      <c r="G581" s="267"/>
      <c r="H581" s="267"/>
      <c r="I581" s="267"/>
      <c r="J581" s="267"/>
      <c r="K581" s="267"/>
      <c r="L581" s="267"/>
      <c r="M581" s="267"/>
      <c r="N581" s="267"/>
      <c r="O581" s="267"/>
      <c r="P581" s="267"/>
      <c r="Q581" s="267"/>
      <c r="R581" s="267"/>
      <c r="S581" s="267"/>
    </row>
    <row r="582" spans="1:19" s="202" customFormat="1" ht="15" customHeight="1">
      <c r="A582" s="201"/>
      <c r="C582" s="267"/>
      <c r="G582" s="267"/>
      <c r="H582" s="267"/>
      <c r="I582" s="267"/>
      <c r="J582" s="267"/>
      <c r="K582" s="267"/>
      <c r="L582" s="267"/>
      <c r="M582" s="267"/>
      <c r="N582" s="267"/>
      <c r="O582" s="267"/>
      <c r="P582" s="267"/>
      <c r="Q582" s="267"/>
      <c r="R582" s="267"/>
      <c r="S582" s="267"/>
    </row>
    <row r="583" spans="1:19" s="213" customFormat="1" ht="15" customHeight="1">
      <c r="A583" s="229"/>
      <c r="C583" s="246"/>
      <c r="G583" s="246"/>
      <c r="H583" s="246"/>
      <c r="I583" s="246"/>
      <c r="J583" s="246"/>
      <c r="K583" s="246"/>
      <c r="L583" s="246"/>
      <c r="M583" s="246"/>
      <c r="N583" s="246"/>
      <c r="O583" s="246"/>
      <c r="P583" s="246"/>
      <c r="Q583" s="246"/>
      <c r="R583" s="246"/>
      <c r="S583" s="246"/>
    </row>
    <row r="584" spans="1:19" s="202" customFormat="1" ht="15" customHeight="1">
      <c r="A584" s="201"/>
      <c r="C584" s="267"/>
      <c r="G584" s="267"/>
      <c r="H584" s="267"/>
      <c r="I584" s="267"/>
      <c r="J584" s="267"/>
      <c r="K584" s="267"/>
      <c r="L584" s="267"/>
      <c r="M584" s="267"/>
      <c r="N584" s="267"/>
      <c r="O584" s="267"/>
      <c r="P584" s="267"/>
      <c r="Q584" s="267"/>
      <c r="R584" s="267"/>
      <c r="S584" s="267"/>
    </row>
    <row r="585" spans="1:19" s="202" customFormat="1" ht="15" customHeight="1">
      <c r="A585" s="201"/>
      <c r="C585" s="267"/>
      <c r="G585" s="267"/>
      <c r="H585" s="267"/>
      <c r="I585" s="267"/>
      <c r="J585" s="267"/>
      <c r="K585" s="267"/>
      <c r="L585" s="267"/>
      <c r="M585" s="267"/>
      <c r="N585" s="267"/>
      <c r="O585" s="267"/>
      <c r="P585" s="267"/>
      <c r="Q585" s="267"/>
      <c r="R585" s="267"/>
      <c r="S585" s="267"/>
    </row>
    <row r="586" spans="1:19" s="202" customFormat="1" ht="15" customHeight="1">
      <c r="A586" s="201"/>
      <c r="C586" s="267"/>
      <c r="G586" s="267"/>
      <c r="H586" s="267"/>
      <c r="I586" s="267"/>
      <c r="J586" s="267"/>
      <c r="K586" s="267"/>
      <c r="L586" s="267"/>
      <c r="M586" s="267"/>
      <c r="N586" s="267"/>
      <c r="O586" s="267"/>
      <c r="P586" s="267"/>
      <c r="Q586" s="267"/>
      <c r="R586" s="267"/>
      <c r="S586" s="267"/>
    </row>
    <row r="587" spans="1:19" s="202" customFormat="1" ht="15" customHeight="1">
      <c r="A587" s="201"/>
      <c r="C587" s="267"/>
      <c r="G587" s="267"/>
      <c r="H587" s="267"/>
      <c r="I587" s="267"/>
      <c r="J587" s="267"/>
      <c r="K587" s="267"/>
      <c r="L587" s="267"/>
      <c r="M587" s="267"/>
      <c r="N587" s="267"/>
      <c r="O587" s="267"/>
      <c r="P587" s="267"/>
      <c r="Q587" s="267"/>
      <c r="R587" s="267"/>
      <c r="S587" s="267"/>
    </row>
    <row r="588" spans="1:19" s="202" customFormat="1" ht="15" customHeight="1">
      <c r="A588" s="201"/>
      <c r="C588" s="267"/>
      <c r="G588" s="267"/>
      <c r="H588" s="267"/>
      <c r="I588" s="267"/>
      <c r="J588" s="267"/>
      <c r="K588" s="267"/>
      <c r="L588" s="267"/>
      <c r="M588" s="267"/>
      <c r="N588" s="267"/>
      <c r="O588" s="267"/>
      <c r="P588" s="267"/>
      <c r="Q588" s="267"/>
      <c r="R588" s="267"/>
      <c r="S588" s="267"/>
    </row>
    <row r="589" spans="1:19" s="202" customFormat="1" ht="15" customHeight="1">
      <c r="A589" s="201"/>
      <c r="C589" s="267"/>
      <c r="G589" s="267"/>
      <c r="H589" s="267"/>
      <c r="I589" s="267"/>
      <c r="J589" s="267"/>
      <c r="K589" s="267"/>
      <c r="L589" s="267"/>
      <c r="M589" s="267"/>
      <c r="N589" s="267"/>
      <c r="O589" s="267"/>
      <c r="P589" s="267"/>
      <c r="Q589" s="267"/>
      <c r="R589" s="267"/>
      <c r="S589" s="267"/>
    </row>
    <row r="590" spans="1:19" s="202" customFormat="1" ht="15" customHeight="1">
      <c r="A590" s="201"/>
      <c r="C590" s="267"/>
      <c r="G590" s="267"/>
      <c r="H590" s="267"/>
      <c r="I590" s="267"/>
      <c r="J590" s="267"/>
      <c r="K590" s="267"/>
      <c r="L590" s="267"/>
      <c r="M590" s="267"/>
      <c r="N590" s="267"/>
      <c r="O590" s="267"/>
      <c r="P590" s="267"/>
      <c r="Q590" s="267"/>
      <c r="R590" s="267"/>
      <c r="S590" s="267"/>
    </row>
    <row r="591" spans="1:19" s="202" customFormat="1" ht="15" customHeight="1">
      <c r="A591" s="201"/>
      <c r="C591" s="267"/>
      <c r="G591" s="267"/>
      <c r="H591" s="267"/>
      <c r="I591" s="267"/>
      <c r="J591" s="267"/>
      <c r="K591" s="267"/>
      <c r="L591" s="267"/>
      <c r="M591" s="267"/>
      <c r="N591" s="267"/>
      <c r="O591" s="267"/>
      <c r="P591" s="267"/>
      <c r="Q591" s="267"/>
      <c r="R591" s="267"/>
      <c r="S591" s="267"/>
    </row>
    <row r="592" spans="1:19" s="202" customFormat="1" ht="15" customHeight="1">
      <c r="A592" s="201"/>
      <c r="C592" s="267"/>
      <c r="G592" s="267"/>
      <c r="H592" s="267"/>
      <c r="I592" s="267"/>
      <c r="J592" s="267"/>
      <c r="K592" s="267"/>
      <c r="L592" s="267"/>
      <c r="M592" s="267"/>
      <c r="N592" s="267"/>
      <c r="O592" s="267"/>
      <c r="P592" s="267"/>
      <c r="Q592" s="267"/>
      <c r="R592" s="267"/>
      <c r="S592" s="267"/>
    </row>
    <row r="593" spans="1:21" s="202" customFormat="1" ht="15" customHeight="1">
      <c r="A593" s="201"/>
      <c r="C593" s="267"/>
      <c r="G593" s="267"/>
      <c r="H593" s="267"/>
      <c r="I593" s="267"/>
      <c r="J593" s="267"/>
      <c r="K593" s="267"/>
      <c r="L593" s="267"/>
      <c r="M593" s="267"/>
      <c r="N593" s="267"/>
      <c r="O593" s="267"/>
      <c r="P593" s="267"/>
      <c r="Q593" s="267"/>
      <c r="R593" s="267"/>
      <c r="S593" s="267"/>
    </row>
    <row r="594" spans="1:21" s="202" customFormat="1" ht="15" customHeight="1">
      <c r="A594" s="201"/>
      <c r="C594" s="267"/>
      <c r="G594" s="267"/>
      <c r="H594" s="267"/>
      <c r="I594" s="267"/>
      <c r="J594" s="267"/>
      <c r="K594" s="267"/>
      <c r="L594" s="267"/>
      <c r="M594" s="267"/>
      <c r="N594" s="267"/>
      <c r="O594" s="267"/>
      <c r="P594" s="267"/>
      <c r="Q594" s="267"/>
      <c r="R594" s="267"/>
      <c r="S594" s="267"/>
    </row>
    <row r="595" spans="1:21" s="202" customFormat="1" ht="15" customHeight="1">
      <c r="A595" s="201"/>
      <c r="C595" s="391"/>
      <c r="D595" s="200" t="str">
        <f>"Breakeven price - selected regime: "&amp;F6</f>
        <v>Breakeven price - selected regime: DROP</v>
      </c>
      <c r="E595" s="200"/>
      <c r="F595" s="284"/>
      <c r="G595" s="284"/>
      <c r="H595" s="284"/>
      <c r="I595" s="284"/>
      <c r="J595" s="284"/>
      <c r="K595" s="284"/>
      <c r="L595" s="284"/>
      <c r="M595" s="284"/>
      <c r="N595" s="284"/>
      <c r="O595" s="284"/>
      <c r="P595" s="284"/>
      <c r="Q595" s="284"/>
      <c r="R595" s="284"/>
      <c r="S595" s="284"/>
      <c r="T595" s="213"/>
      <c r="U595" s="213"/>
    </row>
    <row r="596" spans="1:21" s="202" customFormat="1" ht="15" customHeight="1">
      <c r="A596" s="201"/>
      <c r="C596" s="267"/>
      <c r="D596" s="15" t="s">
        <v>236</v>
      </c>
      <c r="E596" s="15" t="s">
        <v>17</v>
      </c>
      <c r="F596" s="458">
        <f>ROUND(C433,3)</f>
        <v>0.153</v>
      </c>
      <c r="G596" s="15" t="str">
        <f>F52*100&amp;"% post-tax IRR"</f>
        <v>12.5% post-tax IRR</v>
      </c>
      <c r="I596" s="267"/>
      <c r="J596" s="267"/>
      <c r="K596" s="267"/>
      <c r="L596" s="267"/>
      <c r="M596" s="267"/>
      <c r="N596" s="267"/>
      <c r="O596" s="267"/>
      <c r="P596" s="267"/>
      <c r="Q596" s="267"/>
      <c r="R596" s="267"/>
      <c r="S596" s="267"/>
    </row>
    <row r="597" spans="1:21" s="202" customFormat="1" ht="15" customHeight="1">
      <c r="A597" s="201"/>
      <c r="C597" s="267"/>
      <c r="D597" s="15" t="s">
        <v>45</v>
      </c>
      <c r="E597" s="15" t="s">
        <v>373</v>
      </c>
      <c r="F597" s="375">
        <f>F55</f>
        <v>60</v>
      </c>
      <c r="G597" s="120" t="s">
        <v>247</v>
      </c>
      <c r="I597" s="267"/>
      <c r="J597" s="267"/>
      <c r="K597" s="267"/>
      <c r="L597" s="267"/>
      <c r="M597" s="267"/>
      <c r="N597" s="267"/>
      <c r="O597" s="267"/>
      <c r="P597" s="267"/>
      <c r="Q597" s="267"/>
      <c r="R597" s="267"/>
      <c r="S597" s="267"/>
    </row>
    <row r="598" spans="1:21" s="202" customFormat="1" ht="15" customHeight="1">
      <c r="A598" s="201"/>
      <c r="C598" s="267"/>
      <c r="D598" s="15"/>
      <c r="E598" s="15"/>
      <c r="F598" s="15"/>
      <c r="G598" s="120"/>
      <c r="I598" s="267"/>
      <c r="J598" s="267"/>
      <c r="K598" s="267"/>
      <c r="L598" s="267"/>
      <c r="M598" s="267"/>
      <c r="N598" s="267"/>
      <c r="O598" s="267"/>
      <c r="P598" s="267"/>
      <c r="Q598" s="267"/>
      <c r="R598" s="267"/>
      <c r="S598" s="267"/>
    </row>
    <row r="599" spans="1:21" s="202" customFormat="1" ht="25">
      <c r="A599" s="201"/>
      <c r="C599" s="267"/>
      <c r="D599" s="484" t="s">
        <v>376</v>
      </c>
      <c r="E599" s="15" t="s">
        <v>373</v>
      </c>
      <c r="F599" s="212">
        <v>60</v>
      </c>
      <c r="G599" s="15"/>
      <c r="I599" s="267"/>
      <c r="J599" s="267"/>
      <c r="K599" s="267"/>
      <c r="L599" s="267"/>
      <c r="M599" s="267"/>
      <c r="N599" s="267"/>
      <c r="O599" s="267"/>
      <c r="P599" s="267"/>
      <c r="Q599" s="267"/>
      <c r="R599" s="267"/>
      <c r="S599" s="267"/>
    </row>
    <row r="600" spans="1:21" s="202" customFormat="1" ht="15" customHeight="1">
      <c r="A600" s="201"/>
      <c r="C600" s="267"/>
      <c r="F600" s="267"/>
      <c r="G600" s="267"/>
      <c r="I600" s="267"/>
      <c r="J600" s="267"/>
      <c r="K600" s="267"/>
      <c r="L600" s="267"/>
      <c r="M600" s="267"/>
      <c r="N600" s="267"/>
      <c r="O600" s="267"/>
      <c r="P600" s="267"/>
      <c r="Q600" s="267"/>
      <c r="R600" s="267"/>
      <c r="S600" s="267"/>
    </row>
    <row r="601" spans="1:21" s="202" customFormat="1" ht="15" customHeight="1">
      <c r="A601" s="201"/>
      <c r="C601" s="391"/>
      <c r="D601" s="200" t="str">
        <f>"Marginal Effective Tax Rate (METR) - selected regime: "&amp;F6</f>
        <v>Marginal Effective Tax Rate (METR) - selected regime: DROP</v>
      </c>
      <c r="E601" s="200"/>
      <c r="F601" s="284"/>
      <c r="G601" s="284"/>
      <c r="H601" s="284"/>
      <c r="I601" s="284"/>
      <c r="J601" s="284"/>
      <c r="K601" s="284"/>
      <c r="L601" s="284"/>
      <c r="M601" s="284"/>
      <c r="N601" s="284"/>
      <c r="O601" s="284"/>
      <c r="P601" s="284"/>
      <c r="Q601" s="284"/>
      <c r="R601" s="284"/>
      <c r="S601" s="284"/>
      <c r="T601" s="213"/>
      <c r="U601" s="213"/>
    </row>
    <row r="602" spans="1:21" s="202" customFormat="1" ht="15" customHeight="1">
      <c r="A602" s="201"/>
      <c r="D602" s="202" t="s">
        <v>358</v>
      </c>
      <c r="E602" s="202" t="s">
        <v>17</v>
      </c>
      <c r="F602" s="458">
        <f>F596</f>
        <v>0.153</v>
      </c>
    </row>
    <row r="603" spans="1:21" s="202" customFormat="1" ht="15" customHeight="1">
      <c r="A603" s="201"/>
      <c r="D603" s="202" t="s">
        <v>360</v>
      </c>
      <c r="E603" s="202" t="s">
        <v>17</v>
      </c>
      <c r="F603" s="470">
        <f>(F604-F602)</f>
        <v>0.2015746242142307</v>
      </c>
    </row>
    <row r="604" spans="1:21" s="202" customFormat="1" ht="15" customHeight="1">
      <c r="A604" s="201"/>
      <c r="D604" s="202" t="s">
        <v>359</v>
      </c>
      <c r="E604" s="202" t="s">
        <v>17</v>
      </c>
      <c r="F604" s="458">
        <f>C84</f>
        <v>0.35457462421423069</v>
      </c>
    </row>
    <row r="605" spans="1:21" s="198" customFormat="1" ht="15" customHeight="1">
      <c r="A605" s="392"/>
      <c r="D605" s="198" t="s">
        <v>357</v>
      </c>
      <c r="E605" s="198" t="s">
        <v>17</v>
      </c>
      <c r="F605" s="471">
        <f>F603/F604</f>
        <v>0.56849703968787446</v>
      </c>
    </row>
    <row r="606" spans="1:21" s="202" customFormat="1" ht="15" customHeight="1">
      <c r="A606" s="201"/>
      <c r="F606" s="92"/>
    </row>
    <row r="607" spans="1:21" s="202" customFormat="1" ht="15" customHeight="1">
      <c r="A607" s="201"/>
      <c r="C607" s="391"/>
      <c r="D607" s="200" t="s">
        <v>370</v>
      </c>
      <c r="E607" s="200"/>
      <c r="F607" s="200"/>
      <c r="G607" s="200"/>
      <c r="H607" s="200"/>
      <c r="I607" s="284"/>
      <c r="J607" s="284"/>
      <c r="K607" s="284"/>
      <c r="L607" s="284"/>
      <c r="M607" s="284"/>
      <c r="N607" s="284"/>
      <c r="O607" s="284"/>
      <c r="P607" s="284"/>
      <c r="Q607" s="284"/>
      <c r="R607" s="284"/>
      <c r="S607" s="284"/>
      <c r="T607" s="213"/>
      <c r="U607" s="213"/>
    </row>
    <row r="608" spans="1:21" s="411" customFormat="1" ht="15" customHeight="1">
      <c r="A608" s="410"/>
      <c r="G608" s="474" t="s">
        <v>45</v>
      </c>
      <c r="H608" s="475"/>
      <c r="I608" s="475" t="s">
        <v>33</v>
      </c>
    </row>
    <row r="609" spans="1:21" s="411" customFormat="1" ht="15" customHeight="1">
      <c r="A609" s="410"/>
      <c r="D609" s="120" t="str">
        <f>D566</f>
        <v>DROP</v>
      </c>
      <c r="G609" s="476">
        <v>56.534847677806106</v>
      </c>
      <c r="H609" s="82"/>
      <c r="I609" s="473">
        <v>0.58618602746883552</v>
      </c>
    </row>
    <row r="610" spans="1:21" s="411" customFormat="1" ht="15" customHeight="1">
      <c r="A610" s="410"/>
      <c r="D610" s="120" t="str">
        <f t="shared" ref="D610:D613" si="383">D567</f>
        <v>Rfactor</v>
      </c>
      <c r="G610" s="476">
        <v>55.10801580784242</v>
      </c>
      <c r="H610" s="82"/>
      <c r="I610" s="473">
        <v>0.56433818860300655</v>
      </c>
    </row>
    <row r="611" spans="1:21" s="411" customFormat="1" ht="15" customHeight="1">
      <c r="A611" s="410"/>
      <c r="D611" s="120" t="str">
        <f t="shared" si="383"/>
        <v>Royalty + CIT</v>
      </c>
      <c r="G611" s="476">
        <v>58.501095066868174</v>
      </c>
      <c r="H611" s="82"/>
      <c r="I611" s="473">
        <v>0.62620735231216285</v>
      </c>
    </row>
    <row r="612" spans="1:21" ht="15" customHeight="1">
      <c r="D612" s="120" t="str">
        <f t="shared" si="383"/>
        <v>Alt1</v>
      </c>
      <c r="G612" s="476" t="s">
        <v>248</v>
      </c>
      <c r="H612" s="82"/>
      <c r="I612" s="472" t="s">
        <v>248</v>
      </c>
      <c r="J612" s="411"/>
      <c r="K612" s="411"/>
      <c r="L612" s="411"/>
      <c r="M612" s="411"/>
      <c r="N612" s="411"/>
      <c r="O612" s="411"/>
      <c r="P612" s="411"/>
      <c r="Q612" s="411"/>
      <c r="R612" s="411"/>
      <c r="S612" s="411"/>
      <c r="T612" s="411"/>
      <c r="U612" s="411"/>
    </row>
    <row r="613" spans="1:21" ht="15" customHeight="1">
      <c r="D613" s="120" t="str">
        <f t="shared" si="383"/>
        <v>Alt2</v>
      </c>
      <c r="G613" s="476" t="s">
        <v>248</v>
      </c>
      <c r="H613" s="82"/>
      <c r="I613" s="472" t="s">
        <v>248</v>
      </c>
      <c r="J613" s="411"/>
      <c r="K613" s="411"/>
      <c r="L613" s="411"/>
      <c r="M613" s="411"/>
      <c r="N613" s="411"/>
      <c r="O613" s="411"/>
      <c r="P613" s="411"/>
      <c r="Q613" s="411"/>
      <c r="R613" s="411"/>
      <c r="S613" s="411"/>
      <c r="T613" s="411"/>
      <c r="U613" s="411"/>
    </row>
    <row r="614" spans="1:21" ht="15" customHeight="1">
      <c r="H614" s="15"/>
      <c r="J614" s="411"/>
      <c r="K614" s="411"/>
      <c r="L614" s="411"/>
      <c r="M614" s="411"/>
      <c r="N614" s="411"/>
      <c r="O614" s="411"/>
      <c r="P614" s="411"/>
      <c r="Q614" s="411"/>
      <c r="R614" s="411"/>
      <c r="S614" s="411"/>
      <c r="T614" s="411"/>
      <c r="U614" s="411"/>
    </row>
    <row r="615" spans="1:21" ht="15" customHeight="1">
      <c r="H615" s="15"/>
      <c r="J615" s="411"/>
      <c r="K615" s="411"/>
      <c r="L615" s="411"/>
      <c r="M615" s="411"/>
      <c r="N615" s="411"/>
      <c r="O615" s="411"/>
      <c r="P615" s="411"/>
      <c r="Q615" s="411"/>
      <c r="R615" s="411"/>
      <c r="S615" s="411"/>
      <c r="T615" s="411"/>
      <c r="U615" s="411"/>
    </row>
    <row r="616" spans="1:21" ht="15" customHeight="1">
      <c r="H616" s="15"/>
      <c r="J616" s="411"/>
      <c r="K616" s="411"/>
      <c r="L616" s="411"/>
      <c r="M616" s="411"/>
      <c r="N616" s="411"/>
      <c r="O616" s="411"/>
      <c r="P616" s="411"/>
      <c r="Q616" s="411"/>
      <c r="R616" s="411"/>
      <c r="S616" s="411"/>
      <c r="T616" s="411"/>
      <c r="U616" s="411"/>
    </row>
    <row r="617" spans="1:21" ht="15" customHeight="1">
      <c r="H617" s="15"/>
      <c r="J617" s="411"/>
      <c r="K617" s="411"/>
      <c r="L617" s="411"/>
      <c r="M617" s="411"/>
      <c r="N617" s="411"/>
      <c r="O617" s="411"/>
      <c r="P617" s="411"/>
      <c r="Q617" s="411"/>
      <c r="R617" s="411"/>
      <c r="S617" s="411"/>
      <c r="T617" s="411"/>
      <c r="U617" s="411"/>
    </row>
    <row r="618" spans="1:21" ht="15" customHeight="1">
      <c r="H618" s="15"/>
      <c r="J618" s="411"/>
      <c r="K618" s="411"/>
      <c r="L618" s="411"/>
      <c r="M618" s="411"/>
      <c r="N618" s="411"/>
      <c r="O618" s="411"/>
      <c r="P618" s="411"/>
      <c r="Q618" s="411"/>
      <c r="R618" s="411"/>
      <c r="S618" s="411"/>
      <c r="T618" s="411"/>
      <c r="U618" s="411"/>
    </row>
    <row r="619" spans="1:21" ht="15" customHeight="1">
      <c r="H619" s="15"/>
      <c r="J619" s="411"/>
      <c r="K619" s="411"/>
      <c r="L619" s="411"/>
      <c r="M619" s="411"/>
      <c r="N619" s="411"/>
      <c r="O619" s="411"/>
      <c r="P619" s="411"/>
      <c r="Q619" s="411"/>
      <c r="R619" s="411"/>
      <c r="S619" s="411"/>
      <c r="T619" s="411"/>
      <c r="U619" s="411"/>
    </row>
    <row r="620" spans="1:21" ht="15" customHeight="1">
      <c r="H620" s="15"/>
      <c r="J620" s="411"/>
      <c r="K620" s="411"/>
      <c r="L620" s="411"/>
      <c r="M620" s="411"/>
      <c r="N620" s="411"/>
      <c r="O620" s="411"/>
      <c r="P620" s="411"/>
      <c r="Q620" s="411"/>
      <c r="R620" s="411"/>
      <c r="S620" s="411"/>
      <c r="T620" s="411"/>
      <c r="U620" s="411"/>
    </row>
    <row r="621" spans="1:21" ht="15" customHeight="1">
      <c r="H621" s="15"/>
      <c r="J621" s="411"/>
      <c r="K621" s="411"/>
      <c r="L621" s="411"/>
      <c r="M621" s="411"/>
      <c r="N621" s="411"/>
      <c r="O621" s="411"/>
      <c r="P621" s="411"/>
      <c r="Q621" s="411"/>
      <c r="R621" s="411"/>
      <c r="S621" s="411"/>
      <c r="T621" s="411"/>
      <c r="U621" s="411"/>
    </row>
    <row r="622" spans="1:21" ht="15" customHeight="1">
      <c r="H622" s="15"/>
      <c r="J622" s="411"/>
      <c r="K622" s="411"/>
      <c r="L622" s="411"/>
      <c r="M622" s="411"/>
      <c r="N622" s="411"/>
      <c r="O622" s="411"/>
      <c r="P622" s="411"/>
      <c r="Q622" s="411"/>
      <c r="R622" s="411"/>
      <c r="S622" s="411"/>
      <c r="T622" s="411"/>
      <c r="U622" s="411"/>
    </row>
    <row r="623" spans="1:21" ht="15" customHeight="1">
      <c r="H623" s="15"/>
      <c r="J623" s="411"/>
      <c r="K623" s="411"/>
      <c r="L623" s="411"/>
      <c r="M623" s="411"/>
      <c r="N623" s="411"/>
      <c r="O623" s="411"/>
      <c r="P623" s="411"/>
      <c r="Q623" s="411"/>
      <c r="R623" s="411"/>
      <c r="S623" s="411"/>
      <c r="T623" s="411"/>
      <c r="U623" s="411"/>
    </row>
    <row r="624" spans="1:21" ht="15" customHeight="1">
      <c r="H624" s="15"/>
      <c r="J624" s="411"/>
      <c r="K624" s="411"/>
      <c r="L624" s="411"/>
      <c r="M624" s="411"/>
      <c r="N624" s="411"/>
      <c r="O624" s="411"/>
      <c r="P624" s="411"/>
      <c r="Q624" s="411"/>
      <c r="R624" s="411"/>
      <c r="S624" s="411"/>
      <c r="T624" s="411"/>
      <c r="U624" s="411"/>
    </row>
    <row r="625" spans="6:21" ht="15" customHeight="1">
      <c r="H625" s="15"/>
      <c r="J625" s="411"/>
      <c r="K625" s="411"/>
      <c r="L625" s="411"/>
      <c r="M625" s="411"/>
      <c r="N625" s="411"/>
      <c r="O625" s="411"/>
      <c r="P625" s="411"/>
      <c r="Q625" s="411"/>
      <c r="R625" s="411"/>
      <c r="S625" s="411"/>
      <c r="T625" s="411"/>
      <c r="U625" s="411"/>
    </row>
    <row r="626" spans="6:21" ht="15" customHeight="1">
      <c r="H626" s="15"/>
      <c r="J626" s="411"/>
      <c r="K626" s="411"/>
      <c r="L626" s="411"/>
      <c r="M626" s="411"/>
      <c r="N626" s="411"/>
      <c r="O626" s="411"/>
      <c r="P626" s="411"/>
      <c r="Q626" s="411"/>
      <c r="R626" s="411"/>
      <c r="S626" s="411"/>
      <c r="T626" s="411"/>
      <c r="U626" s="411"/>
    </row>
    <row r="627" spans="6:21" ht="15" customHeight="1">
      <c r="H627" s="15"/>
      <c r="J627" s="411"/>
      <c r="K627" s="411"/>
      <c r="L627" s="411"/>
      <c r="M627" s="411"/>
      <c r="N627" s="411"/>
      <c r="O627" s="411"/>
      <c r="P627" s="411"/>
      <c r="Q627" s="411"/>
      <c r="R627" s="411"/>
      <c r="S627" s="411"/>
      <c r="T627" s="411"/>
      <c r="U627" s="411"/>
    </row>
    <row r="628" spans="6:21" ht="15" customHeight="1">
      <c r="H628" s="15"/>
      <c r="J628" s="411"/>
      <c r="K628" s="411"/>
      <c r="L628" s="411"/>
      <c r="M628" s="411"/>
      <c r="N628" s="411"/>
      <c r="O628" s="411"/>
      <c r="P628" s="411"/>
      <c r="Q628" s="411"/>
      <c r="R628" s="411"/>
      <c r="S628" s="411"/>
      <c r="T628" s="411"/>
      <c r="U628" s="411"/>
    </row>
    <row r="629" spans="6:21" ht="15" customHeight="1">
      <c r="H629" s="15"/>
      <c r="J629" s="411"/>
      <c r="K629" s="411"/>
      <c r="L629" s="411"/>
      <c r="M629" s="411"/>
      <c r="N629" s="411"/>
      <c r="O629" s="411"/>
      <c r="P629" s="411"/>
      <c r="Q629" s="411"/>
      <c r="R629" s="411"/>
      <c r="S629" s="411"/>
      <c r="T629" s="411"/>
      <c r="U629" s="411"/>
    </row>
    <row r="630" spans="6:21" ht="15" customHeight="1">
      <c r="H630" s="15"/>
      <c r="J630" s="411"/>
      <c r="K630" s="411"/>
      <c r="L630" s="411"/>
      <c r="M630" s="411"/>
      <c r="N630" s="411"/>
      <c r="O630" s="411"/>
      <c r="P630" s="411"/>
      <c r="Q630" s="411"/>
      <c r="R630" s="411"/>
      <c r="S630" s="411"/>
      <c r="T630" s="411"/>
      <c r="U630" s="411"/>
    </row>
    <row r="631" spans="6:21" ht="15" customHeight="1">
      <c r="H631" s="15"/>
      <c r="J631" s="411"/>
      <c r="K631" s="411"/>
      <c r="L631" s="411"/>
      <c r="M631" s="411"/>
      <c r="N631" s="411"/>
      <c r="O631" s="411"/>
      <c r="P631" s="411"/>
      <c r="Q631" s="411"/>
      <c r="R631" s="411"/>
      <c r="S631" s="411"/>
      <c r="T631" s="411"/>
      <c r="U631" s="411"/>
    </row>
    <row r="632" spans="6:21" ht="15" customHeight="1">
      <c r="H632" s="15"/>
      <c r="J632" s="411"/>
      <c r="K632" s="411"/>
      <c r="L632" s="411"/>
      <c r="M632" s="411"/>
      <c r="N632" s="411"/>
      <c r="O632" s="411"/>
      <c r="P632" s="411"/>
      <c r="Q632" s="411"/>
      <c r="R632" s="411"/>
      <c r="S632" s="411"/>
      <c r="T632" s="411"/>
      <c r="U632" s="411"/>
    </row>
    <row r="633" spans="6:21" ht="15" customHeight="1">
      <c r="H633" s="15"/>
      <c r="J633" s="411"/>
      <c r="K633" s="411"/>
      <c r="L633" s="411"/>
      <c r="M633" s="411"/>
      <c r="N633" s="411"/>
      <c r="O633" s="411"/>
      <c r="P633" s="411"/>
      <c r="Q633" s="411"/>
      <c r="R633" s="411"/>
      <c r="S633" s="411"/>
      <c r="T633" s="411"/>
      <c r="U633" s="411"/>
    </row>
    <row r="634" spans="6:21" ht="15" customHeight="1">
      <c r="H634" s="15"/>
    </row>
    <row r="635" spans="6:21" ht="15" customHeight="1">
      <c r="H635" s="15"/>
      <c r="K635" s="196"/>
      <c r="M635" s="196"/>
    </row>
    <row r="636" spans="6:21" ht="15" hidden="1" customHeight="1">
      <c r="H636" s="15"/>
    </row>
    <row r="637" spans="6:21" ht="15" hidden="1" customHeight="1">
      <c r="F637" s="197"/>
      <c r="H637" s="15"/>
    </row>
    <row r="638" spans="6:21" ht="15" hidden="1" customHeight="1">
      <c r="F638" s="185"/>
      <c r="H638" s="15"/>
    </row>
    <row r="639" spans="6:21" ht="15" hidden="1" customHeight="1">
      <c r="H639" s="15"/>
    </row>
    <row r="640" spans="6:21" ht="15" hidden="1" customHeight="1">
      <c r="H640" s="15"/>
    </row>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row r="672" ht="15" hidden="1" customHeight="1"/>
    <row r="673" ht="15" hidden="1" customHeight="1"/>
    <row r="674" ht="15" hidden="1" customHeight="1"/>
    <row r="675" ht="15" hidden="1" customHeight="1"/>
    <row r="676" ht="15" hidden="1" customHeight="1"/>
    <row r="677" ht="15" hidden="1" customHeight="1"/>
    <row r="678" ht="15" hidden="1" customHeight="1"/>
    <row r="679" ht="15" hidden="1" customHeight="1"/>
    <row r="680" ht="15" hidden="1" customHeight="1"/>
    <row r="681" ht="15" hidden="1" customHeight="1"/>
    <row r="682" ht="15" hidden="1" customHeight="1"/>
    <row r="683" ht="15" hidden="1" customHeight="1"/>
    <row r="684" ht="15" hidden="1" customHeight="1"/>
    <row r="685" ht="15" hidden="1" customHeight="1"/>
    <row r="686" ht="15" hidden="1" customHeight="1"/>
    <row r="687" ht="15" hidden="1" customHeight="1"/>
    <row r="707"/>
    <row r="708"/>
  </sheetData>
  <conditionalFormatting sqref="G445:J445 A428 A416 A408 A421 A257 A277 A281 A181 A82 C1 A111 A75 A104 A235 A202 A206">
    <cfRule type="cellIs" dxfId="9" priority="10" stopIfTrue="1" operator="equal">
      <formula>FALSE</formula>
    </cfRule>
    <cfRule type="cellIs" dxfId="8" priority="11" stopIfTrue="1" operator="equal">
      <formula>TRUE</formula>
    </cfRule>
  </conditionalFormatting>
  <conditionalFormatting sqref="C1">
    <cfRule type="cellIs" dxfId="7" priority="9" operator="equal">
      <formula>FALSE</formula>
    </cfRule>
  </conditionalFormatting>
  <conditionalFormatting sqref="F602:F605 F596">
    <cfRule type="expression" dxfId="6" priority="5">
      <formula>$F$596&lt;=$F$52-0.3%</formula>
    </cfRule>
    <cfRule type="expression" dxfId="5" priority="6">
      <formula>$F$596&gt;=$F$52+0.3%</formula>
    </cfRule>
  </conditionalFormatting>
  <dataValidations count="5">
    <dataValidation type="list" allowBlank="1" showInputMessage="1" showErrorMessage="1" sqref="H11:L11" xr:uid="{00000000-0002-0000-0200-000000000000}">
      <formula1>"net, gross"</formula1>
    </dataValidation>
    <dataValidation type="list" allowBlank="1" showInputMessage="1" showErrorMessage="1" sqref="H17:L17 H12:L12" xr:uid="{00000000-0002-0000-0200-000001000000}">
      <formula1>"yes, no"</formula1>
    </dataValidation>
    <dataValidation type="list" allowBlank="1" showInputMessage="1" showErrorMessage="1" sqref="H43:L43" xr:uid="{00000000-0002-0000-0200-000002000000}">
      <formula1>"development, production"</formula1>
    </dataValidation>
    <dataValidation type="list" allowBlank="1" showInputMessage="1" showErrorMessage="1" sqref="H38:L39" xr:uid="{00000000-0002-0000-0200-000003000000}">
      <formula1>"immediate, deferred"</formula1>
    </dataValidation>
    <dataValidation type="list" allowBlank="1" showInputMessage="1" showErrorMessage="1" sqref="H20:L20" xr:uid="{00000000-0002-0000-0200-000004000000}">
      <formula1>"DROP, Rfactor, Tax/Royalty"</formula1>
    </dataValidation>
  </dataValidations>
  <hyperlinks>
    <hyperlink ref="A1" location="ReadMe!A1" display="Back to ReadMe" xr:uid="{00000000-0004-0000-0200-000000000000}"/>
  </hyperlink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BB529"/>
  <sheetViews>
    <sheetView showGridLines="0" tabSelected="1" topLeftCell="D36" zoomScale="71" zoomScaleNormal="85" workbookViewId="0">
      <selection activeCell="K44" sqref="K44"/>
    </sheetView>
  </sheetViews>
  <sheetFormatPr baseColWidth="10" defaultColWidth="0" defaultRowHeight="15" customHeight="1" zeroHeight="1" outlineLevelRow="1"/>
  <cols>
    <col min="1" max="1" width="8" style="201" customWidth="1"/>
    <col min="2" max="2" width="9.7265625" style="202" customWidth="1"/>
    <col min="3" max="3" width="8.81640625" style="202" bestFit="1" customWidth="1"/>
    <col min="4" max="4" width="67.26953125" style="202" customWidth="1"/>
    <col min="5" max="5" width="12.453125" style="202" customWidth="1"/>
    <col min="6" max="6" width="11.26953125" style="202" customWidth="1"/>
    <col min="7" max="9" width="10.26953125" style="202" customWidth="1"/>
    <col min="10" max="13" width="9.7265625" style="202" customWidth="1"/>
    <col min="14" max="14" width="10.7265625" style="202" customWidth="1"/>
    <col min="15" max="15" width="5.6328125" style="202" bestFit="1" customWidth="1"/>
    <col min="16" max="21" width="9.7265625" style="202" customWidth="1"/>
    <col min="22" max="26" width="10.7265625" style="202" hidden="1" customWidth="1"/>
    <col min="27" max="27" width="11.1796875" style="202" hidden="1" customWidth="1"/>
    <col min="28" max="28" width="12" style="202" hidden="1" customWidth="1"/>
    <col min="29" max="31" width="9.1796875" style="202" hidden="1" customWidth="1"/>
    <col min="32" max="45" width="0" style="202" hidden="1" customWidth="1"/>
    <col min="46" max="16384" width="10.81640625" style="202" hidden="1"/>
  </cols>
  <sheetData>
    <row r="1" spans="1:21" s="198" customFormat="1" ht="13">
      <c r="A1" s="478" t="s">
        <v>329</v>
      </c>
      <c r="C1" s="199" t="b">
        <f>AND(A:A)</f>
        <v>1</v>
      </c>
      <c r="D1" s="200"/>
      <c r="E1" s="200" t="s">
        <v>0</v>
      </c>
      <c r="F1" s="200"/>
      <c r="G1" s="200">
        <v>1</v>
      </c>
      <c r="H1" s="200">
        <f>G1+1</f>
        <v>2</v>
      </c>
      <c r="I1" s="200">
        <f t="shared" ref="I1:S1" si="0">H1+1</f>
        <v>3</v>
      </c>
      <c r="J1" s="200">
        <f t="shared" si="0"/>
        <v>4</v>
      </c>
      <c r="K1" s="200">
        <f t="shared" si="0"/>
        <v>5</v>
      </c>
      <c r="L1" s="200">
        <f t="shared" si="0"/>
        <v>6</v>
      </c>
      <c r="M1" s="200">
        <f t="shared" si="0"/>
        <v>7</v>
      </c>
      <c r="N1" s="200">
        <f t="shared" si="0"/>
        <v>8</v>
      </c>
      <c r="O1" s="200">
        <f t="shared" si="0"/>
        <v>9</v>
      </c>
      <c r="P1" s="200">
        <f t="shared" si="0"/>
        <v>10</v>
      </c>
      <c r="Q1" s="200">
        <f t="shared" si="0"/>
        <v>11</v>
      </c>
      <c r="R1" s="200">
        <f t="shared" si="0"/>
        <v>12</v>
      </c>
      <c r="S1" s="200">
        <f t="shared" si="0"/>
        <v>13</v>
      </c>
      <c r="T1" s="200"/>
      <c r="U1" s="200"/>
    </row>
    <row r="2" spans="1:21" ht="15" customHeight="1"/>
    <row r="3" spans="1:21" s="416" customFormat="1" ht="30" customHeight="1">
      <c r="A3" s="415" t="s">
        <v>371</v>
      </c>
    </row>
    <row r="4" spans="1:21" ht="15" customHeight="1"/>
    <row r="5" spans="1:21" ht="13.5" thickBot="1">
      <c r="C5" s="203"/>
      <c r="D5" s="204" t="s">
        <v>1</v>
      </c>
      <c r="E5" s="204"/>
      <c r="F5" s="204"/>
      <c r="G5" s="205"/>
      <c r="H5" s="205"/>
      <c r="I5" s="205"/>
      <c r="J5" s="205"/>
      <c r="K5" s="205"/>
      <c r="L5" s="205"/>
      <c r="M5" s="205"/>
      <c r="N5" s="205"/>
      <c r="O5" s="205"/>
      <c r="P5" s="205"/>
      <c r="Q5" s="205"/>
      <c r="R5" s="205"/>
      <c r="S5" s="205"/>
      <c r="T5" s="205"/>
      <c r="U5" s="205"/>
    </row>
    <row r="6" spans="1:21" ht="29.25" customHeight="1">
      <c r="D6" s="206" t="s">
        <v>2</v>
      </c>
      <c r="E6" s="207"/>
      <c r="F6" s="208" t="str">
        <f>INDEX(H6:K6,$F$7)</f>
        <v>SGO SENEGAL</v>
      </c>
      <c r="G6" s="207"/>
      <c r="H6" s="509" t="s">
        <v>396</v>
      </c>
      <c r="I6" s="209" t="s">
        <v>352</v>
      </c>
      <c r="J6" s="209" t="s">
        <v>249</v>
      </c>
      <c r="K6" s="209" t="s">
        <v>6</v>
      </c>
      <c r="M6" s="417" t="s">
        <v>372</v>
      </c>
      <c r="N6" s="418"/>
      <c r="O6" s="418"/>
      <c r="P6" s="418"/>
      <c r="Q6" s="418"/>
      <c r="R6" s="418"/>
      <c r="S6" s="418"/>
      <c r="T6" s="419"/>
    </row>
    <row r="7" spans="1:21" ht="15" customHeight="1">
      <c r="D7" s="210" t="s">
        <v>9</v>
      </c>
      <c r="E7" s="211"/>
      <c r="F7" s="212">
        <v>1</v>
      </c>
      <c r="G7" s="213"/>
      <c r="H7" s="214">
        <v>1</v>
      </c>
      <c r="I7" s="214">
        <f>H7+1</f>
        <v>2</v>
      </c>
      <c r="J7" s="214">
        <f t="shared" ref="J7:K7" si="1">I7+1</f>
        <v>3</v>
      </c>
      <c r="K7" s="214">
        <f t="shared" si="1"/>
        <v>4</v>
      </c>
      <c r="M7" s="424"/>
      <c r="N7" s="425"/>
      <c r="O7" s="425"/>
      <c r="P7" s="425"/>
      <c r="Q7" s="428"/>
      <c r="R7" s="428"/>
      <c r="S7" s="428"/>
      <c r="T7" s="429"/>
    </row>
    <row r="8" spans="1:21" ht="15" customHeight="1">
      <c r="D8" s="215" t="s">
        <v>251</v>
      </c>
      <c r="E8" s="213" t="s">
        <v>14</v>
      </c>
      <c r="F8" s="216">
        <f t="shared" ref="F8:F24" si="2">INDEX(H8:K8,$F$7)</f>
        <v>0</v>
      </c>
      <c r="G8" s="213"/>
      <c r="H8" s="217"/>
      <c r="I8" s="217"/>
      <c r="J8" s="217"/>
      <c r="K8" s="217"/>
      <c r="M8" s="420" t="s">
        <v>250</v>
      </c>
      <c r="N8" s="421"/>
      <c r="O8" s="422"/>
      <c r="P8" s="422"/>
      <c r="Q8" s="422"/>
      <c r="R8" s="422"/>
      <c r="S8" s="422"/>
      <c r="T8" s="423"/>
    </row>
    <row r="9" spans="1:21" ht="15" customHeight="1">
      <c r="D9" s="218" t="s">
        <v>16</v>
      </c>
      <c r="E9" s="207" t="s">
        <v>17</v>
      </c>
      <c r="F9" s="219">
        <f>INDEX(H9:K9,$F$7)</f>
        <v>0.05</v>
      </c>
      <c r="G9" s="213"/>
      <c r="H9" s="220">
        <v>0.05</v>
      </c>
      <c r="I9" s="220">
        <v>0.05</v>
      </c>
      <c r="J9" s="220">
        <v>0.05</v>
      </c>
      <c r="K9" s="220"/>
      <c r="M9" s="424"/>
      <c r="N9" s="425"/>
      <c r="O9" s="425"/>
      <c r="P9" s="425"/>
      <c r="Q9" s="426">
        <f>G324</f>
        <v>0</v>
      </c>
      <c r="R9" s="426">
        <f t="shared" ref="R9:T9" si="3">H324</f>
        <v>0.1</v>
      </c>
      <c r="S9" s="426">
        <f t="shared" si="3"/>
        <v>0.125</v>
      </c>
      <c r="T9" s="427">
        <f t="shared" si="3"/>
        <v>0.15</v>
      </c>
    </row>
    <row r="10" spans="1:21" ht="15" customHeight="1">
      <c r="D10" s="221" t="s">
        <v>19</v>
      </c>
      <c r="E10" s="211" t="s">
        <v>20</v>
      </c>
      <c r="F10" s="219" t="str">
        <f t="shared" si="2"/>
        <v>gross</v>
      </c>
      <c r="G10" s="213"/>
      <c r="H10" s="217" t="s">
        <v>395</v>
      </c>
      <c r="I10" s="217" t="s">
        <v>21</v>
      </c>
      <c r="J10" s="217" t="s">
        <v>21</v>
      </c>
      <c r="K10" s="217"/>
      <c r="M10" s="424"/>
      <c r="N10" s="425"/>
      <c r="O10" s="425"/>
      <c r="P10" s="425"/>
      <c r="Q10" s="428"/>
      <c r="R10" s="428"/>
      <c r="S10" s="428"/>
      <c r="T10" s="429"/>
    </row>
    <row r="11" spans="1:21" ht="15" customHeight="1">
      <c r="D11" s="222" t="s">
        <v>23</v>
      </c>
      <c r="E11" s="213" t="s">
        <v>252</v>
      </c>
      <c r="F11" s="219" t="str">
        <f t="shared" si="2"/>
        <v>yes</v>
      </c>
      <c r="G11" s="213"/>
      <c r="H11" s="217" t="s">
        <v>24</v>
      </c>
      <c r="I11" s="217" t="s">
        <v>24</v>
      </c>
      <c r="J11" s="217" t="s">
        <v>24</v>
      </c>
      <c r="K11" s="217"/>
      <c r="M11" s="430" t="s">
        <v>99</v>
      </c>
      <c r="N11" s="431"/>
      <c r="O11" s="431"/>
      <c r="P11" s="432" t="s">
        <v>12</v>
      </c>
      <c r="Q11" s="502">
        <f>G325</f>
        <v>4161.0000000000009</v>
      </c>
      <c r="R11" s="433">
        <f t="shared" ref="R11:T11" si="4">H325</f>
        <v>2191.6837646796052</v>
      </c>
      <c r="S11" s="433">
        <f t="shared" si="4"/>
        <v>1893.9013560020999</v>
      </c>
      <c r="T11" s="434">
        <f t="shared" si="4"/>
        <v>1644.0255874694287</v>
      </c>
    </row>
    <row r="12" spans="1:21" ht="15" customHeight="1">
      <c r="D12" s="223" t="s">
        <v>26</v>
      </c>
      <c r="E12" s="213" t="s">
        <v>27</v>
      </c>
      <c r="F12" s="219">
        <f>INDEX(H12:K12,$F$7)</f>
        <v>0.6</v>
      </c>
      <c r="G12" s="213"/>
      <c r="H12" s="224">
        <v>0.6</v>
      </c>
      <c r="I12" s="224">
        <v>0.6</v>
      </c>
      <c r="J12" s="224">
        <v>0.6</v>
      </c>
      <c r="K12" s="224"/>
      <c r="M12" s="430" t="s">
        <v>15</v>
      </c>
      <c r="N12" s="431"/>
      <c r="O12" s="431"/>
      <c r="P12" s="432" t="s">
        <v>12</v>
      </c>
      <c r="Q12" s="502">
        <f>G330</f>
        <v>4493.0000000000009</v>
      </c>
      <c r="R12" s="433">
        <f t="shared" ref="R12:T12" si="5">H330</f>
        <v>2521.7746737705147</v>
      </c>
      <c r="S12" s="433">
        <f t="shared" si="5"/>
        <v>2223.5680226687668</v>
      </c>
      <c r="T12" s="434">
        <f t="shared" si="5"/>
        <v>1973.2864570346462</v>
      </c>
    </row>
    <row r="13" spans="1:21" ht="15" customHeight="1">
      <c r="D13" s="225" t="s">
        <v>63</v>
      </c>
      <c r="E13" s="207" t="s">
        <v>17</v>
      </c>
      <c r="F13" s="219">
        <f t="shared" si="2"/>
        <v>0.3</v>
      </c>
      <c r="G13" s="213"/>
      <c r="H13" s="220">
        <v>0.3</v>
      </c>
      <c r="I13" s="220">
        <v>0.3</v>
      </c>
      <c r="J13" s="220">
        <v>0.3</v>
      </c>
      <c r="K13" s="220"/>
      <c r="M13" s="430" t="s">
        <v>18</v>
      </c>
      <c r="N13" s="431"/>
      <c r="O13" s="431"/>
      <c r="P13" s="432" t="s">
        <v>12</v>
      </c>
      <c r="Q13" s="502">
        <f>G327</f>
        <v>2125.0460049520489</v>
      </c>
      <c r="R13" s="433">
        <f t="shared" ref="R13:T13" si="6">H327</f>
        <v>1123.9205195202246</v>
      </c>
      <c r="S13" s="433">
        <f t="shared" si="6"/>
        <v>973.0247632449109</v>
      </c>
      <c r="T13" s="434">
        <f t="shared" si="6"/>
        <v>846.47046422544258</v>
      </c>
    </row>
    <row r="14" spans="1:21" ht="15" customHeight="1">
      <c r="D14" s="223" t="s">
        <v>64</v>
      </c>
      <c r="E14" s="213" t="s">
        <v>20</v>
      </c>
      <c r="F14" s="226" t="str">
        <f t="shared" si="2"/>
        <v>deferred</v>
      </c>
      <c r="G14" s="213"/>
      <c r="H14" s="217" t="s">
        <v>65</v>
      </c>
      <c r="I14" s="217" t="s">
        <v>65</v>
      </c>
      <c r="J14" s="217" t="s">
        <v>65</v>
      </c>
      <c r="K14" s="217"/>
      <c r="M14" s="430" t="s">
        <v>22</v>
      </c>
      <c r="N14" s="431"/>
      <c r="O14" s="431"/>
      <c r="P14" s="432" t="s">
        <v>12</v>
      </c>
      <c r="Q14" s="503">
        <f>G326</f>
        <v>2005.5725943637244</v>
      </c>
      <c r="R14" s="435">
        <f t="shared" ref="R14:T14" si="7">H326</f>
        <v>1087.8042848310283</v>
      </c>
      <c r="S14" s="435">
        <f t="shared" si="7"/>
        <v>950.86816023035681</v>
      </c>
      <c r="T14" s="436">
        <f t="shared" si="7"/>
        <v>836.53283036623759</v>
      </c>
    </row>
    <row r="15" spans="1:21" ht="15" customHeight="1">
      <c r="D15" s="223" t="s">
        <v>253</v>
      </c>
      <c r="E15" s="213" t="s">
        <v>20</v>
      </c>
      <c r="F15" s="226" t="str">
        <f t="shared" si="2"/>
        <v>deferred</v>
      </c>
      <c r="G15" s="213"/>
      <c r="H15" s="217" t="s">
        <v>65</v>
      </c>
      <c r="I15" s="217" t="s">
        <v>65</v>
      </c>
      <c r="J15" s="217" t="s">
        <v>65</v>
      </c>
      <c r="K15" s="217"/>
      <c r="M15" s="430" t="s">
        <v>25</v>
      </c>
      <c r="N15" s="431"/>
      <c r="O15" s="431"/>
      <c r="P15" s="432" t="s">
        <v>12</v>
      </c>
      <c r="Q15" s="437">
        <f>Q14/Q11</f>
        <v>0.48199293303622304</v>
      </c>
      <c r="R15" s="437">
        <f>R14/R11</f>
        <v>0.49633268373918477</v>
      </c>
      <c r="S15" s="437">
        <f t="shared" ref="S15:T15" si="8">S14/S11</f>
        <v>0.50206847216033279</v>
      </c>
      <c r="T15" s="438">
        <f t="shared" si="8"/>
        <v>0.50883200160763509</v>
      </c>
    </row>
    <row r="16" spans="1:21" ht="15" customHeight="1">
      <c r="D16" s="223" t="s">
        <v>254</v>
      </c>
      <c r="E16" s="213" t="s">
        <v>20</v>
      </c>
      <c r="F16" s="226" t="str">
        <f t="shared" si="2"/>
        <v>deferred</v>
      </c>
      <c r="G16" s="213"/>
      <c r="H16" s="217" t="s">
        <v>65</v>
      </c>
      <c r="I16" s="217" t="s">
        <v>65</v>
      </c>
      <c r="J16" s="217" t="s">
        <v>65</v>
      </c>
      <c r="K16" s="217"/>
      <c r="M16" s="439" t="s">
        <v>28</v>
      </c>
      <c r="N16" s="440"/>
      <c r="O16" s="440"/>
      <c r="P16" s="441" t="s">
        <v>12</v>
      </c>
      <c r="Q16" s="442">
        <f>Q14/Q12</f>
        <v>0.44637716322361987</v>
      </c>
      <c r="R16" s="442">
        <f>R14/R12</f>
        <v>0.43136458468930605</v>
      </c>
      <c r="S16" s="442">
        <f t="shared" ref="S16:T16" si="9">S14/S12</f>
        <v>0.42763169398753431</v>
      </c>
      <c r="T16" s="443">
        <f t="shared" si="9"/>
        <v>0.42392873441362194</v>
      </c>
    </row>
    <row r="17" spans="1:20" ht="15" customHeight="1">
      <c r="D17" s="221" t="s">
        <v>337</v>
      </c>
      <c r="E17" s="211" t="s">
        <v>32</v>
      </c>
      <c r="F17" s="226">
        <f t="shared" si="2"/>
        <v>5</v>
      </c>
      <c r="G17" s="213"/>
      <c r="H17" s="217">
        <v>5</v>
      </c>
      <c r="I17" s="217">
        <v>5</v>
      </c>
      <c r="J17" s="217">
        <v>5</v>
      </c>
      <c r="K17" s="217"/>
      <c r="M17" s="430"/>
      <c r="N17" s="431"/>
      <c r="O17" s="431"/>
      <c r="P17" s="431"/>
      <c r="Q17" s="432"/>
      <c r="R17" s="444"/>
      <c r="S17" s="431"/>
      <c r="T17" s="445"/>
    </row>
    <row r="18" spans="1:20" ht="15" customHeight="1">
      <c r="D18" s="225" t="s">
        <v>331</v>
      </c>
      <c r="E18" s="207" t="s">
        <v>17</v>
      </c>
      <c r="F18" s="219">
        <f t="shared" si="2"/>
        <v>0</v>
      </c>
      <c r="G18" s="213"/>
      <c r="H18" s="224"/>
      <c r="I18" s="224">
        <v>0.2</v>
      </c>
      <c r="J18" s="224"/>
      <c r="K18" s="224"/>
      <c r="M18" s="446" t="s">
        <v>31</v>
      </c>
      <c r="N18" s="447"/>
      <c r="O18" s="447"/>
      <c r="P18" s="447"/>
      <c r="Q18" s="448"/>
      <c r="R18" s="444"/>
      <c r="S18" s="431"/>
      <c r="T18" s="445"/>
    </row>
    <row r="19" spans="1:20" ht="15" customHeight="1">
      <c r="D19" s="221" t="s">
        <v>255</v>
      </c>
      <c r="E19" s="211" t="s">
        <v>20</v>
      </c>
      <c r="F19" s="227">
        <f t="shared" si="2"/>
        <v>0</v>
      </c>
      <c r="G19" s="213"/>
      <c r="H19" s="217"/>
      <c r="I19" s="217" t="s">
        <v>24</v>
      </c>
      <c r="J19" s="217"/>
      <c r="K19" s="217"/>
      <c r="M19" s="449" t="s">
        <v>33</v>
      </c>
      <c r="N19" s="431"/>
      <c r="O19" s="432"/>
      <c r="P19" s="428">
        <f>INDEX($I$497:$I$500,F7)</f>
        <v>0.39705377068384273</v>
      </c>
      <c r="Q19" s="450"/>
      <c r="R19" s="444"/>
      <c r="S19" s="431"/>
      <c r="T19" s="445"/>
    </row>
    <row r="20" spans="1:20" ht="15" customHeight="1">
      <c r="D20" s="225" t="s">
        <v>256</v>
      </c>
      <c r="E20" s="207" t="s">
        <v>17</v>
      </c>
      <c r="F20" s="219">
        <f t="shared" si="2"/>
        <v>0</v>
      </c>
      <c r="G20" s="213"/>
      <c r="H20" s="224"/>
      <c r="I20" s="224"/>
      <c r="J20" s="224">
        <v>0.2</v>
      </c>
      <c r="K20" s="224"/>
      <c r="M20" s="430" t="s">
        <v>36</v>
      </c>
      <c r="N20" s="431"/>
      <c r="O20" s="432"/>
      <c r="P20" s="451">
        <f>C70</f>
        <v>0.78571836501587033</v>
      </c>
      <c r="Q20" s="450"/>
      <c r="R20" s="444"/>
      <c r="S20" s="431"/>
      <c r="T20" s="445"/>
    </row>
    <row r="21" spans="1:20" ht="15" customHeight="1">
      <c r="D21" s="223" t="s">
        <v>257</v>
      </c>
      <c r="E21" s="213" t="s">
        <v>17</v>
      </c>
      <c r="F21" s="219">
        <f t="shared" si="2"/>
        <v>0</v>
      </c>
      <c r="G21" s="213"/>
      <c r="H21" s="224"/>
      <c r="I21" s="224"/>
      <c r="J21" s="224">
        <v>0.1</v>
      </c>
      <c r="K21" s="224"/>
      <c r="M21" s="430" t="s">
        <v>38</v>
      </c>
      <c r="N21" s="431"/>
      <c r="O21" s="432"/>
      <c r="P21" s="451">
        <f>F33</f>
        <v>0.125</v>
      </c>
      <c r="Q21" s="450"/>
      <c r="R21" s="444"/>
      <c r="S21" s="431"/>
      <c r="T21" s="445"/>
    </row>
    <row r="22" spans="1:20" ht="15" customHeight="1">
      <c r="D22" s="221" t="s">
        <v>255</v>
      </c>
      <c r="E22" s="211" t="s">
        <v>20</v>
      </c>
      <c r="F22" s="227">
        <f t="shared" si="2"/>
        <v>0</v>
      </c>
      <c r="G22" s="213"/>
      <c r="H22" s="217"/>
      <c r="I22" s="217"/>
      <c r="J22" s="217" t="s">
        <v>24</v>
      </c>
      <c r="K22" s="217"/>
      <c r="M22" s="430" t="s">
        <v>40</v>
      </c>
      <c r="N22" s="431"/>
      <c r="O22" s="432"/>
      <c r="P22" s="451">
        <f>C322</f>
        <v>0.55616414300333483</v>
      </c>
      <c r="Q22" s="450"/>
      <c r="R22" s="444"/>
      <c r="S22" s="431"/>
      <c r="T22" s="445"/>
    </row>
    <row r="23" spans="1:20" ht="15" customHeight="1">
      <c r="D23" s="225" t="s">
        <v>67</v>
      </c>
      <c r="E23" s="207" t="s">
        <v>17</v>
      </c>
      <c r="F23" s="228">
        <v>0.1</v>
      </c>
      <c r="G23" s="213"/>
      <c r="H23" s="224">
        <v>0.1</v>
      </c>
      <c r="I23" s="224">
        <v>0.15</v>
      </c>
      <c r="J23" s="224">
        <v>0.15</v>
      </c>
      <c r="K23" s="224"/>
      <c r="M23" s="430" t="s">
        <v>43</v>
      </c>
      <c r="N23" s="431"/>
      <c r="O23" s="432"/>
      <c r="P23" s="451">
        <f>P21-P22</f>
        <v>-0.43116414300333483</v>
      </c>
      <c r="Q23" s="452"/>
      <c r="R23" s="431"/>
      <c r="S23" s="431"/>
      <c r="T23" s="445"/>
    </row>
    <row r="24" spans="1:20" ht="15" customHeight="1" thickBot="1">
      <c r="D24" s="221" t="s">
        <v>258</v>
      </c>
      <c r="E24" s="211" t="s">
        <v>17</v>
      </c>
      <c r="F24" s="228">
        <f t="shared" si="2"/>
        <v>0.1</v>
      </c>
      <c r="G24" s="211"/>
      <c r="H24" s="224">
        <v>0.1</v>
      </c>
      <c r="I24" s="224">
        <v>0.1</v>
      </c>
      <c r="J24" s="224">
        <v>0.1</v>
      </c>
      <c r="K24" s="224"/>
      <c r="M24" s="453" t="s">
        <v>45</v>
      </c>
      <c r="N24" s="454"/>
      <c r="O24" s="455"/>
      <c r="P24" s="483">
        <f>INDEX($G$497:$G$500,F7)</f>
        <v>951.80255545696548</v>
      </c>
      <c r="Q24" s="456"/>
      <c r="R24" s="454"/>
      <c r="S24" s="454"/>
      <c r="T24" s="457"/>
    </row>
    <row r="25" spans="1:20" s="213" customFormat="1" ht="15" customHeight="1">
      <c r="A25" s="229"/>
      <c r="F25" s="230"/>
      <c r="G25" s="202"/>
      <c r="H25" s="202"/>
      <c r="I25" s="202"/>
      <c r="J25" s="202"/>
      <c r="K25" s="202"/>
    </row>
    <row r="26" spans="1:20" ht="15" customHeight="1">
      <c r="C26" s="231"/>
      <c r="D26" s="231" t="s">
        <v>70</v>
      </c>
      <c r="E26" s="213"/>
      <c r="F26" s="232"/>
    </row>
    <row r="27" spans="1:20" ht="15" customHeight="1">
      <c r="D27" s="206" t="s">
        <v>71</v>
      </c>
      <c r="E27" s="207" t="s">
        <v>17</v>
      </c>
      <c r="F27" s="224">
        <v>0.5</v>
      </c>
    </row>
    <row r="28" spans="1:20" ht="15" customHeight="1">
      <c r="D28" s="223" t="s">
        <v>72</v>
      </c>
      <c r="E28" s="213" t="s">
        <v>32</v>
      </c>
      <c r="F28" s="217">
        <v>5</v>
      </c>
    </row>
    <row r="29" spans="1:20" ht="15" customHeight="1">
      <c r="D29" s="221" t="s">
        <v>73</v>
      </c>
      <c r="E29" s="211" t="s">
        <v>17</v>
      </c>
      <c r="F29" s="220">
        <v>7.0000000000000007E-2</v>
      </c>
    </row>
    <row r="30" spans="1:20" ht="15" customHeight="1">
      <c r="F30" s="233"/>
    </row>
    <row r="31" spans="1:20" ht="15" customHeight="1">
      <c r="C31" s="198"/>
      <c r="D31" s="198" t="s">
        <v>74</v>
      </c>
      <c r="F31" s="233"/>
    </row>
    <row r="32" spans="1:20" ht="15" customHeight="1">
      <c r="D32" s="206" t="s">
        <v>75</v>
      </c>
      <c r="E32" s="207" t="s">
        <v>17</v>
      </c>
      <c r="F32" s="220">
        <v>0.1</v>
      </c>
    </row>
    <row r="33" spans="3:21" ht="15" customHeight="1">
      <c r="D33" s="223" t="s">
        <v>76</v>
      </c>
      <c r="E33" s="213" t="s">
        <v>17</v>
      </c>
      <c r="F33" s="220">
        <v>0.125</v>
      </c>
    </row>
    <row r="34" spans="3:21" ht="15" customHeight="1">
      <c r="D34" s="223" t="s">
        <v>77</v>
      </c>
      <c r="E34" s="213" t="s">
        <v>17</v>
      </c>
      <c r="F34" s="220">
        <v>0.02</v>
      </c>
    </row>
    <row r="35" spans="3:21" ht="15" customHeight="1">
      <c r="D35" s="234" t="s">
        <v>259</v>
      </c>
      <c r="E35" s="213" t="s">
        <v>260</v>
      </c>
      <c r="F35" s="235">
        <v>2000</v>
      </c>
    </row>
    <row r="36" spans="3:21" ht="15" customHeight="1">
      <c r="D36" s="234" t="s">
        <v>261</v>
      </c>
      <c r="E36" s="213" t="s">
        <v>260</v>
      </c>
      <c r="F36" s="217">
        <v>5</v>
      </c>
    </row>
    <row r="37" spans="3:21" ht="15" customHeight="1">
      <c r="D37" s="316" t="s">
        <v>262</v>
      </c>
      <c r="E37" s="211" t="s">
        <v>260</v>
      </c>
      <c r="F37" s="217">
        <v>10</v>
      </c>
    </row>
    <row r="38" spans="3:21" ht="15" customHeight="1"/>
    <row r="39" spans="3:21" ht="15" customHeight="1">
      <c r="D39" s="198" t="s">
        <v>263</v>
      </c>
    </row>
    <row r="40" spans="3:21" ht="13">
      <c r="C40" s="69" t="s">
        <v>379</v>
      </c>
      <c r="D40" s="204" t="s">
        <v>84</v>
      </c>
      <c r="E40" s="204" t="s">
        <v>0</v>
      </c>
      <c r="F40" s="204"/>
      <c r="G40" s="205">
        <v>1</v>
      </c>
      <c r="H40" s="205">
        <v>2</v>
      </c>
      <c r="I40" s="205">
        <v>3</v>
      </c>
      <c r="J40" s="205">
        <v>4</v>
      </c>
      <c r="K40" s="205">
        <v>5</v>
      </c>
      <c r="L40" s="205">
        <v>6</v>
      </c>
      <c r="M40" s="205">
        <v>7</v>
      </c>
      <c r="N40" s="205">
        <v>8</v>
      </c>
      <c r="O40" s="205">
        <v>9</v>
      </c>
      <c r="P40" s="205">
        <v>10</v>
      </c>
      <c r="Q40" s="205">
        <v>11</v>
      </c>
      <c r="R40" s="205">
        <v>12</v>
      </c>
      <c r="S40" s="205">
        <v>13</v>
      </c>
      <c r="T40" s="205"/>
      <c r="U40" s="205"/>
    </row>
    <row r="41" spans="3:21" ht="12.5">
      <c r="C41" s="236">
        <f>SUM(G41:U41)</f>
        <v>3800</v>
      </c>
      <c r="D41" s="202" t="s">
        <v>264</v>
      </c>
      <c r="E41" s="237" t="s">
        <v>265</v>
      </c>
      <c r="G41" s="238">
        <v>0</v>
      </c>
      <c r="H41" s="239">
        <v>0</v>
      </c>
      <c r="I41" s="239">
        <v>380</v>
      </c>
      <c r="J41" s="239">
        <v>380</v>
      </c>
      <c r="K41" s="239">
        <v>380</v>
      </c>
      <c r="L41" s="239">
        <v>380</v>
      </c>
      <c r="M41" s="239">
        <v>380</v>
      </c>
      <c r="N41" s="239">
        <v>380</v>
      </c>
      <c r="O41" s="239">
        <v>380</v>
      </c>
      <c r="P41" s="239">
        <v>380</v>
      </c>
      <c r="Q41" s="239">
        <v>380</v>
      </c>
      <c r="R41" s="239">
        <v>380</v>
      </c>
      <c r="S41" s="356">
        <v>0</v>
      </c>
    </row>
    <row r="42" spans="3:21" ht="12.5">
      <c r="C42" s="236">
        <f t="shared" ref="C42:C51" si="10">SUM(G42:U42)</f>
        <v>19</v>
      </c>
      <c r="D42" s="202" t="s">
        <v>261</v>
      </c>
      <c r="E42" s="237" t="s">
        <v>12</v>
      </c>
      <c r="G42" s="241">
        <f t="shared" ref="G42:S42" si="11">G41*$F$36/1000</f>
        <v>0</v>
      </c>
      <c r="H42" s="241">
        <f t="shared" ref="H42" si="12">H41*$F$36/1000</f>
        <v>0</v>
      </c>
      <c r="I42" s="240">
        <f t="shared" si="11"/>
        <v>1.9</v>
      </c>
      <c r="J42" s="240">
        <f t="shared" si="11"/>
        <v>1.9</v>
      </c>
      <c r="K42" s="240">
        <f t="shared" si="11"/>
        <v>1.9</v>
      </c>
      <c r="L42" s="240">
        <f t="shared" si="11"/>
        <v>1.9</v>
      </c>
      <c r="M42" s="240">
        <f t="shared" si="11"/>
        <v>1.9</v>
      </c>
      <c r="N42" s="240">
        <f t="shared" si="11"/>
        <v>1.9</v>
      </c>
      <c r="O42" s="240">
        <f t="shared" si="11"/>
        <v>1.9</v>
      </c>
      <c r="P42" s="240">
        <f t="shared" si="11"/>
        <v>1.9</v>
      </c>
      <c r="Q42" s="240">
        <f t="shared" si="11"/>
        <v>1.9</v>
      </c>
      <c r="R42" s="240">
        <f t="shared" si="11"/>
        <v>1.9</v>
      </c>
      <c r="S42" s="240">
        <f t="shared" si="11"/>
        <v>0</v>
      </c>
    </row>
    <row r="43" spans="3:21" ht="12.5">
      <c r="C43" s="236">
        <f t="shared" si="10"/>
        <v>38</v>
      </c>
      <c r="D43" s="202" t="s">
        <v>266</v>
      </c>
      <c r="E43" s="237" t="s">
        <v>12</v>
      </c>
      <c r="G43" s="241">
        <f t="shared" ref="G43:S43" si="13">G$41*$F$37/1000</f>
        <v>0</v>
      </c>
      <c r="H43" s="241">
        <f t="shared" si="13"/>
        <v>0</v>
      </c>
      <c r="I43" s="240">
        <f t="shared" si="13"/>
        <v>3.8</v>
      </c>
      <c r="J43" s="240">
        <f t="shared" si="13"/>
        <v>3.8</v>
      </c>
      <c r="K43" s="240">
        <f t="shared" si="13"/>
        <v>3.8</v>
      </c>
      <c r="L43" s="240">
        <f t="shared" si="13"/>
        <v>3.8</v>
      </c>
      <c r="M43" s="240">
        <f t="shared" si="13"/>
        <v>3.8</v>
      </c>
      <c r="N43" s="240">
        <f t="shared" si="13"/>
        <v>3.8</v>
      </c>
      <c r="O43" s="240">
        <f t="shared" si="13"/>
        <v>3.8</v>
      </c>
      <c r="P43" s="240">
        <f t="shared" si="13"/>
        <v>3.8</v>
      </c>
      <c r="Q43" s="240">
        <f t="shared" si="13"/>
        <v>3.8</v>
      </c>
      <c r="R43" s="240">
        <f t="shared" si="13"/>
        <v>3.8</v>
      </c>
      <c r="S43" s="240">
        <f t="shared" si="13"/>
        <v>0</v>
      </c>
    </row>
    <row r="44" spans="3:21" ht="12.5">
      <c r="C44" s="236">
        <f t="shared" si="10"/>
        <v>42</v>
      </c>
      <c r="D44" s="202" t="s">
        <v>88</v>
      </c>
      <c r="E44" s="237" t="s">
        <v>12</v>
      </c>
      <c r="G44" s="240">
        <v>21</v>
      </c>
      <c r="H44" s="240">
        <v>21</v>
      </c>
      <c r="I44" s="241">
        <v>0</v>
      </c>
      <c r="J44" s="241">
        <v>0</v>
      </c>
      <c r="K44" s="241">
        <v>0</v>
      </c>
      <c r="L44" s="241">
        <v>0</v>
      </c>
      <c r="M44" s="241">
        <v>0</v>
      </c>
      <c r="N44" s="241">
        <v>0</v>
      </c>
      <c r="O44" s="241">
        <v>0</v>
      </c>
      <c r="P44" s="241">
        <v>0</v>
      </c>
      <c r="Q44" s="241">
        <v>0</v>
      </c>
      <c r="R44" s="241">
        <v>0</v>
      </c>
      <c r="S44" s="242">
        <v>0</v>
      </c>
    </row>
    <row r="45" spans="3:21" ht="12.5">
      <c r="C45" s="236">
        <f t="shared" si="10"/>
        <v>290</v>
      </c>
      <c r="D45" s="202" t="s">
        <v>267</v>
      </c>
      <c r="E45" s="237" t="s">
        <v>12</v>
      </c>
      <c r="G45" s="240">
        <v>290</v>
      </c>
      <c r="H45" s="241">
        <v>0</v>
      </c>
      <c r="I45" s="241">
        <v>0</v>
      </c>
      <c r="J45" s="241">
        <v>0</v>
      </c>
      <c r="K45" s="241">
        <v>0</v>
      </c>
      <c r="L45" s="241">
        <v>0</v>
      </c>
      <c r="M45" s="241">
        <v>0</v>
      </c>
      <c r="N45" s="241">
        <v>0</v>
      </c>
      <c r="O45" s="241">
        <v>0</v>
      </c>
      <c r="P45" s="241">
        <v>0</v>
      </c>
      <c r="Q45" s="241">
        <v>0</v>
      </c>
      <c r="R45" s="241">
        <v>0</v>
      </c>
      <c r="S45" s="242">
        <v>0</v>
      </c>
    </row>
    <row r="46" spans="3:21" ht="12.5">
      <c r="C46" s="236">
        <f t="shared" si="10"/>
        <v>0</v>
      </c>
      <c r="D46" s="202" t="s">
        <v>268</v>
      </c>
      <c r="E46" s="237" t="s">
        <v>12</v>
      </c>
      <c r="G46" s="240"/>
      <c r="H46" s="241"/>
      <c r="I46" s="241">
        <v>0</v>
      </c>
      <c r="J46" s="241">
        <v>0</v>
      </c>
      <c r="K46" s="241">
        <v>0</v>
      </c>
      <c r="L46" s="241">
        <v>0</v>
      </c>
      <c r="M46" s="241">
        <v>0</v>
      </c>
      <c r="N46" s="241">
        <v>0</v>
      </c>
      <c r="O46" s="241">
        <v>0</v>
      </c>
      <c r="P46" s="241">
        <v>0</v>
      </c>
      <c r="Q46" s="241">
        <v>0</v>
      </c>
      <c r="R46" s="241">
        <v>0</v>
      </c>
      <c r="S46" s="242">
        <v>0</v>
      </c>
    </row>
    <row r="47" spans="3:21" ht="12.5">
      <c r="C47" s="236">
        <f t="shared" si="10"/>
        <v>0</v>
      </c>
      <c r="D47" s="202" t="s">
        <v>336</v>
      </c>
      <c r="E47" s="237" t="s">
        <v>12</v>
      </c>
      <c r="G47" s="240">
        <v>0</v>
      </c>
      <c r="H47" s="241">
        <v>0</v>
      </c>
      <c r="I47" s="241">
        <v>0</v>
      </c>
      <c r="J47" s="241">
        <v>0</v>
      </c>
      <c r="K47" s="241">
        <v>0</v>
      </c>
      <c r="L47" s="241">
        <v>0</v>
      </c>
      <c r="M47" s="241">
        <v>0</v>
      </c>
      <c r="N47" s="241">
        <v>0</v>
      </c>
      <c r="O47" s="241">
        <v>0</v>
      </c>
      <c r="P47" s="241">
        <v>0</v>
      </c>
      <c r="Q47" s="241">
        <v>0</v>
      </c>
      <c r="R47" s="241">
        <v>0</v>
      </c>
      <c r="S47" s="241">
        <v>0</v>
      </c>
    </row>
    <row r="48" spans="3:21" ht="12.5">
      <c r="C48" s="236">
        <f t="shared" si="10"/>
        <v>3000</v>
      </c>
      <c r="D48" s="202" t="s">
        <v>270</v>
      </c>
      <c r="E48" s="237" t="s">
        <v>12</v>
      </c>
      <c r="G48" s="240">
        <v>0</v>
      </c>
      <c r="H48" s="241">
        <v>0</v>
      </c>
      <c r="I48" s="241">
        <v>300</v>
      </c>
      <c r="J48" s="241">
        <v>300</v>
      </c>
      <c r="K48" s="241">
        <v>300</v>
      </c>
      <c r="L48" s="241">
        <v>300</v>
      </c>
      <c r="M48" s="241">
        <v>300</v>
      </c>
      <c r="N48" s="241">
        <v>300</v>
      </c>
      <c r="O48" s="241">
        <v>300</v>
      </c>
      <c r="P48" s="241">
        <v>300</v>
      </c>
      <c r="Q48" s="241">
        <v>300</v>
      </c>
      <c r="R48" s="241">
        <v>300</v>
      </c>
      <c r="S48" s="241"/>
    </row>
    <row r="49" spans="1:21" ht="12.5">
      <c r="C49" s="236">
        <f t="shared" si="10"/>
        <v>0</v>
      </c>
      <c r="D49" s="202" t="s">
        <v>271</v>
      </c>
      <c r="E49" s="237" t="s">
        <v>12</v>
      </c>
      <c r="G49" s="240">
        <v>0</v>
      </c>
      <c r="H49" s="241">
        <v>0</v>
      </c>
      <c r="I49" s="241">
        <v>0</v>
      </c>
      <c r="J49" s="241">
        <v>0</v>
      </c>
      <c r="K49" s="241">
        <v>0</v>
      </c>
      <c r="L49" s="241">
        <v>0</v>
      </c>
      <c r="M49" s="241">
        <v>0</v>
      </c>
      <c r="N49" s="241">
        <v>0</v>
      </c>
      <c r="O49" s="241">
        <v>0</v>
      </c>
      <c r="P49" s="241">
        <v>0</v>
      </c>
      <c r="Q49" s="241">
        <v>0</v>
      </c>
      <c r="R49" s="241">
        <v>0</v>
      </c>
      <c r="S49" s="241">
        <v>0</v>
      </c>
    </row>
    <row r="50" spans="1:21" ht="12.5">
      <c r="C50" s="236">
        <f t="shared" si="10"/>
        <v>0</v>
      </c>
      <c r="D50" s="202" t="s">
        <v>272</v>
      </c>
      <c r="E50" s="237" t="s">
        <v>12</v>
      </c>
      <c r="G50" s="240">
        <v>0</v>
      </c>
      <c r="H50" s="241">
        <v>0</v>
      </c>
      <c r="I50" s="241">
        <v>0</v>
      </c>
      <c r="J50" s="241">
        <v>0</v>
      </c>
      <c r="K50" s="241">
        <v>0</v>
      </c>
      <c r="L50" s="241">
        <v>0</v>
      </c>
      <c r="M50" s="241">
        <v>0</v>
      </c>
      <c r="N50" s="241">
        <v>0</v>
      </c>
      <c r="O50" s="241">
        <v>0</v>
      </c>
      <c r="P50" s="241">
        <v>0</v>
      </c>
      <c r="Q50" s="241">
        <v>0</v>
      </c>
      <c r="R50" s="241">
        <v>0</v>
      </c>
      <c r="S50" s="242">
        <v>0</v>
      </c>
    </row>
    <row r="51" spans="1:21" ht="12.5">
      <c r="C51" s="236">
        <f t="shared" si="10"/>
        <v>50</v>
      </c>
      <c r="D51" s="202" t="s">
        <v>91</v>
      </c>
      <c r="E51" s="237" t="s">
        <v>12</v>
      </c>
      <c r="G51" s="243">
        <v>0</v>
      </c>
      <c r="H51" s="244">
        <v>0</v>
      </c>
      <c r="I51" s="244">
        <v>0</v>
      </c>
      <c r="J51" s="244">
        <v>0</v>
      </c>
      <c r="K51" s="244">
        <v>0</v>
      </c>
      <c r="L51" s="244">
        <v>0</v>
      </c>
      <c r="M51" s="244">
        <v>0</v>
      </c>
      <c r="N51" s="244">
        <v>0</v>
      </c>
      <c r="O51" s="244">
        <v>0</v>
      </c>
      <c r="P51" s="244">
        <v>0</v>
      </c>
      <c r="Q51" s="244">
        <v>0</v>
      </c>
      <c r="R51" s="244">
        <v>0</v>
      </c>
      <c r="S51" s="245">
        <v>50</v>
      </c>
    </row>
    <row r="52" spans="1:21" ht="12.5">
      <c r="C52" s="236"/>
      <c r="E52" s="237"/>
    </row>
    <row r="53" spans="1:21" ht="13">
      <c r="C53" s="236"/>
      <c r="D53" s="204" t="s">
        <v>92</v>
      </c>
      <c r="E53" s="205"/>
      <c r="F53" s="204"/>
      <c r="G53" s="205"/>
      <c r="H53" s="205"/>
      <c r="I53" s="205"/>
      <c r="J53" s="205"/>
      <c r="K53" s="205"/>
      <c r="L53" s="205"/>
      <c r="M53" s="205"/>
      <c r="N53" s="205"/>
      <c r="O53" s="205"/>
      <c r="P53" s="205"/>
      <c r="Q53" s="205"/>
      <c r="R53" s="205"/>
      <c r="S53" s="205"/>
      <c r="T53" s="205"/>
      <c r="U53" s="205"/>
    </row>
    <row r="54" spans="1:21" ht="12.5">
      <c r="C54" s="236"/>
      <c r="D54" s="202" t="s">
        <v>273</v>
      </c>
      <c r="E54" s="237" t="s">
        <v>274</v>
      </c>
      <c r="G54" s="246">
        <f t="shared" ref="G54:S54" si="14">$F$35</f>
        <v>2000</v>
      </c>
      <c r="H54" s="246">
        <f t="shared" si="14"/>
        <v>2000</v>
      </c>
      <c r="I54" s="246">
        <f t="shared" si="14"/>
        <v>2000</v>
      </c>
      <c r="J54" s="246">
        <f t="shared" si="14"/>
        <v>2000</v>
      </c>
      <c r="K54" s="246">
        <f t="shared" si="14"/>
        <v>2000</v>
      </c>
      <c r="L54" s="246">
        <f t="shared" si="14"/>
        <v>2000</v>
      </c>
      <c r="M54" s="246">
        <f t="shared" si="14"/>
        <v>2000</v>
      </c>
      <c r="N54" s="246">
        <f t="shared" si="14"/>
        <v>2000</v>
      </c>
      <c r="O54" s="246">
        <f t="shared" si="14"/>
        <v>2000</v>
      </c>
      <c r="P54" s="246">
        <f t="shared" si="14"/>
        <v>2000</v>
      </c>
      <c r="Q54" s="246">
        <f t="shared" si="14"/>
        <v>2000</v>
      </c>
      <c r="R54" s="246">
        <f t="shared" si="14"/>
        <v>2000</v>
      </c>
      <c r="S54" s="246">
        <f t="shared" si="14"/>
        <v>2000</v>
      </c>
      <c r="T54" s="246"/>
      <c r="U54" s="246"/>
    </row>
    <row r="55" spans="1:21" ht="12.5">
      <c r="C55" s="236"/>
      <c r="E55" s="237"/>
      <c r="G55" s="246"/>
      <c r="H55" s="246"/>
      <c r="I55" s="246"/>
      <c r="J55" s="246"/>
      <c r="K55" s="246"/>
      <c r="L55" s="246"/>
      <c r="M55" s="246"/>
      <c r="N55" s="246"/>
      <c r="O55" s="246"/>
      <c r="P55" s="246"/>
      <c r="Q55" s="246"/>
      <c r="R55" s="246"/>
      <c r="S55" s="246"/>
      <c r="T55" s="246"/>
      <c r="U55" s="246"/>
    </row>
    <row r="56" spans="1:21" ht="13">
      <c r="C56" s="247"/>
      <c r="D56" s="204" t="s">
        <v>95</v>
      </c>
      <c r="E56" s="204" t="s">
        <v>0</v>
      </c>
      <c r="F56" s="204"/>
      <c r="G56" s="204">
        <v>1</v>
      </c>
      <c r="H56" s="204">
        <f>G56+1</f>
        <v>2</v>
      </c>
      <c r="I56" s="204">
        <f t="shared" ref="I56:S56" si="15">H56+1</f>
        <v>3</v>
      </c>
      <c r="J56" s="204">
        <f t="shared" si="15"/>
        <v>4</v>
      </c>
      <c r="K56" s="204">
        <f t="shared" si="15"/>
        <v>5</v>
      </c>
      <c r="L56" s="204">
        <f t="shared" si="15"/>
        <v>6</v>
      </c>
      <c r="M56" s="204">
        <f t="shared" si="15"/>
        <v>7</v>
      </c>
      <c r="N56" s="204">
        <f t="shared" si="15"/>
        <v>8</v>
      </c>
      <c r="O56" s="204">
        <f t="shared" si="15"/>
        <v>9</v>
      </c>
      <c r="P56" s="204">
        <f t="shared" si="15"/>
        <v>10</v>
      </c>
      <c r="Q56" s="204">
        <f t="shared" si="15"/>
        <v>11</v>
      </c>
      <c r="R56" s="204">
        <f t="shared" si="15"/>
        <v>12</v>
      </c>
      <c r="S56" s="204">
        <f t="shared" si="15"/>
        <v>13</v>
      </c>
      <c r="T56" s="204"/>
      <c r="U56" s="204"/>
    </row>
    <row r="57" spans="1:21" ht="12.5">
      <c r="B57" s="248"/>
      <c r="C57" s="248">
        <f>SUM(G57:U57)</f>
        <v>3800</v>
      </c>
      <c r="D57" s="249" t="s">
        <v>264</v>
      </c>
      <c r="E57" s="237" t="s">
        <v>265</v>
      </c>
      <c r="F57" s="250"/>
      <c r="G57" s="246">
        <f t="shared" ref="G57:S57" si="16">G41</f>
        <v>0</v>
      </c>
      <c r="H57" s="246">
        <f t="shared" si="16"/>
        <v>0</v>
      </c>
      <c r="I57" s="246">
        <f t="shared" si="16"/>
        <v>380</v>
      </c>
      <c r="J57" s="246">
        <f t="shared" si="16"/>
        <v>380</v>
      </c>
      <c r="K57" s="246">
        <f t="shared" si="16"/>
        <v>380</v>
      </c>
      <c r="L57" s="246">
        <f t="shared" si="16"/>
        <v>380</v>
      </c>
      <c r="M57" s="246">
        <f t="shared" si="16"/>
        <v>380</v>
      </c>
      <c r="N57" s="246">
        <f t="shared" si="16"/>
        <v>380</v>
      </c>
      <c r="O57" s="246">
        <f t="shared" si="16"/>
        <v>380</v>
      </c>
      <c r="P57" s="246">
        <f t="shared" si="16"/>
        <v>380</v>
      </c>
      <c r="Q57" s="246">
        <f t="shared" si="16"/>
        <v>380</v>
      </c>
      <c r="R57" s="246">
        <f t="shared" si="16"/>
        <v>380</v>
      </c>
      <c r="S57" s="246">
        <f t="shared" si="16"/>
        <v>0</v>
      </c>
      <c r="T57" s="246"/>
      <c r="U57" s="246"/>
    </row>
    <row r="58" spans="1:21" ht="12.5">
      <c r="B58" s="248"/>
      <c r="C58" s="248">
        <f t="shared" ref="C58:C68" si="17">SUM(G58:U58)</f>
        <v>7600</v>
      </c>
      <c r="D58" s="249" t="s">
        <v>96</v>
      </c>
      <c r="E58" s="237" t="s">
        <v>12</v>
      </c>
      <c r="F58" s="250"/>
      <c r="G58" s="246">
        <f t="shared" ref="G58:S58" si="18">G57*G54/1000</f>
        <v>0</v>
      </c>
      <c r="H58" s="246">
        <f t="shared" si="18"/>
        <v>0</v>
      </c>
      <c r="I58" s="246">
        <f t="shared" si="18"/>
        <v>760</v>
      </c>
      <c r="J58" s="246">
        <f t="shared" si="18"/>
        <v>760</v>
      </c>
      <c r="K58" s="246">
        <f t="shared" si="18"/>
        <v>760</v>
      </c>
      <c r="L58" s="246">
        <f t="shared" si="18"/>
        <v>760</v>
      </c>
      <c r="M58" s="246">
        <f t="shared" si="18"/>
        <v>760</v>
      </c>
      <c r="N58" s="246">
        <f t="shared" si="18"/>
        <v>760</v>
      </c>
      <c r="O58" s="246">
        <f t="shared" si="18"/>
        <v>760</v>
      </c>
      <c r="P58" s="246">
        <f t="shared" si="18"/>
        <v>760</v>
      </c>
      <c r="Q58" s="246">
        <f t="shared" si="18"/>
        <v>760</v>
      </c>
      <c r="R58" s="246">
        <f t="shared" si="18"/>
        <v>760</v>
      </c>
      <c r="S58" s="246">
        <f t="shared" si="18"/>
        <v>0</v>
      </c>
      <c r="T58" s="246"/>
      <c r="U58" s="246"/>
    </row>
    <row r="59" spans="1:21" ht="12.5">
      <c r="B59" s="248"/>
      <c r="C59" s="248">
        <f t="shared" si="17"/>
        <v>57</v>
      </c>
      <c r="D59" s="251" t="s">
        <v>275</v>
      </c>
      <c r="E59" s="237" t="s">
        <v>12</v>
      </c>
      <c r="F59" s="250"/>
      <c r="G59" s="246">
        <f>G42+G43</f>
        <v>0</v>
      </c>
      <c r="H59" s="246">
        <f t="shared" ref="H59:S59" si="19">H42+H43</f>
        <v>0</v>
      </c>
      <c r="I59" s="246">
        <f t="shared" si="19"/>
        <v>5.6999999999999993</v>
      </c>
      <c r="J59" s="246">
        <f t="shared" si="19"/>
        <v>5.6999999999999993</v>
      </c>
      <c r="K59" s="246">
        <f t="shared" si="19"/>
        <v>5.6999999999999993</v>
      </c>
      <c r="L59" s="246">
        <f t="shared" si="19"/>
        <v>5.6999999999999993</v>
      </c>
      <c r="M59" s="246">
        <f t="shared" si="19"/>
        <v>5.6999999999999993</v>
      </c>
      <c r="N59" s="246">
        <f t="shared" si="19"/>
        <v>5.6999999999999993</v>
      </c>
      <c r="O59" s="246">
        <f t="shared" si="19"/>
        <v>5.6999999999999993</v>
      </c>
      <c r="P59" s="246">
        <f t="shared" si="19"/>
        <v>5.6999999999999993</v>
      </c>
      <c r="Q59" s="246">
        <f t="shared" si="19"/>
        <v>5.6999999999999993</v>
      </c>
      <c r="R59" s="246">
        <f t="shared" si="19"/>
        <v>5.6999999999999993</v>
      </c>
      <c r="S59" s="246">
        <f t="shared" si="19"/>
        <v>0</v>
      </c>
      <c r="T59" s="246"/>
      <c r="U59" s="246"/>
    </row>
    <row r="60" spans="1:21" ht="12.5">
      <c r="A60" s="252" t="b">
        <f>ROUND(C60-(C58-C59),5)=0</f>
        <v>1</v>
      </c>
      <c r="B60" s="248"/>
      <c r="C60" s="248">
        <f t="shared" si="17"/>
        <v>7543.0000000000009</v>
      </c>
      <c r="D60" s="249" t="s">
        <v>97</v>
      </c>
      <c r="E60" s="237" t="s">
        <v>12</v>
      </c>
      <c r="F60" s="250"/>
      <c r="G60" s="246">
        <f>G58-G59</f>
        <v>0</v>
      </c>
      <c r="H60" s="246">
        <f t="shared" ref="H60:S60" si="20">H58-H59</f>
        <v>0</v>
      </c>
      <c r="I60" s="246">
        <f t="shared" si="20"/>
        <v>754.3</v>
      </c>
      <c r="J60" s="246">
        <f t="shared" si="20"/>
        <v>754.3</v>
      </c>
      <c r="K60" s="246">
        <f t="shared" si="20"/>
        <v>754.3</v>
      </c>
      <c r="L60" s="246">
        <f t="shared" si="20"/>
        <v>754.3</v>
      </c>
      <c r="M60" s="246">
        <f t="shared" si="20"/>
        <v>754.3</v>
      </c>
      <c r="N60" s="246">
        <f t="shared" si="20"/>
        <v>754.3</v>
      </c>
      <c r="O60" s="246">
        <f t="shared" si="20"/>
        <v>754.3</v>
      </c>
      <c r="P60" s="246">
        <f t="shared" si="20"/>
        <v>754.3</v>
      </c>
      <c r="Q60" s="246">
        <f t="shared" si="20"/>
        <v>754.3</v>
      </c>
      <c r="R60" s="246">
        <f t="shared" si="20"/>
        <v>754.3</v>
      </c>
      <c r="S60" s="246">
        <f t="shared" si="20"/>
        <v>0</v>
      </c>
      <c r="T60" s="246"/>
      <c r="U60" s="246"/>
    </row>
    <row r="61" spans="1:21" ht="12.5">
      <c r="B61" s="248"/>
      <c r="C61" s="248">
        <f t="shared" si="17"/>
        <v>42</v>
      </c>
      <c r="D61" s="249" t="s">
        <v>88</v>
      </c>
      <c r="E61" s="237" t="s">
        <v>12</v>
      </c>
      <c r="F61" s="250"/>
      <c r="G61" s="246">
        <f t="shared" ref="G61:S63" si="21">G44</f>
        <v>21</v>
      </c>
      <c r="H61" s="246">
        <f t="shared" si="21"/>
        <v>21</v>
      </c>
      <c r="I61" s="246">
        <f t="shared" si="21"/>
        <v>0</v>
      </c>
      <c r="J61" s="246">
        <f t="shared" si="21"/>
        <v>0</v>
      </c>
      <c r="K61" s="246">
        <f t="shared" si="21"/>
        <v>0</v>
      </c>
      <c r="L61" s="246">
        <f t="shared" si="21"/>
        <v>0</v>
      </c>
      <c r="M61" s="246">
        <f t="shared" si="21"/>
        <v>0</v>
      </c>
      <c r="N61" s="246">
        <f t="shared" si="21"/>
        <v>0</v>
      </c>
      <c r="O61" s="246">
        <f t="shared" si="21"/>
        <v>0</v>
      </c>
      <c r="P61" s="246">
        <f t="shared" si="21"/>
        <v>0</v>
      </c>
      <c r="Q61" s="246">
        <f t="shared" si="21"/>
        <v>0</v>
      </c>
      <c r="R61" s="246">
        <f t="shared" si="21"/>
        <v>0</v>
      </c>
      <c r="S61" s="246">
        <f t="shared" si="21"/>
        <v>0</v>
      </c>
      <c r="T61" s="246"/>
      <c r="U61" s="246"/>
    </row>
    <row r="62" spans="1:21" ht="12.5">
      <c r="B62" s="248"/>
      <c r="C62" s="248">
        <f t="shared" si="17"/>
        <v>290</v>
      </c>
      <c r="D62" s="249" t="s">
        <v>267</v>
      </c>
      <c r="E62" s="237" t="s">
        <v>12</v>
      </c>
      <c r="F62" s="250"/>
      <c r="G62" s="246">
        <f>G45</f>
        <v>290</v>
      </c>
      <c r="H62" s="246">
        <f t="shared" si="21"/>
        <v>0</v>
      </c>
      <c r="I62" s="246">
        <f t="shared" si="21"/>
        <v>0</v>
      </c>
      <c r="J62" s="246">
        <f t="shared" si="21"/>
        <v>0</v>
      </c>
      <c r="K62" s="246">
        <f t="shared" si="21"/>
        <v>0</v>
      </c>
      <c r="L62" s="246">
        <f t="shared" si="21"/>
        <v>0</v>
      </c>
      <c r="M62" s="246">
        <f t="shared" si="21"/>
        <v>0</v>
      </c>
      <c r="N62" s="246">
        <f t="shared" si="21"/>
        <v>0</v>
      </c>
      <c r="O62" s="246">
        <f t="shared" si="21"/>
        <v>0</v>
      </c>
      <c r="P62" s="246">
        <f t="shared" si="21"/>
        <v>0</v>
      </c>
      <c r="Q62" s="246">
        <f t="shared" si="21"/>
        <v>0</v>
      </c>
      <c r="R62" s="246">
        <f t="shared" si="21"/>
        <v>0</v>
      </c>
      <c r="S62" s="246">
        <f t="shared" si="21"/>
        <v>0</v>
      </c>
      <c r="T62" s="246"/>
      <c r="U62" s="246"/>
    </row>
    <row r="63" spans="1:21" ht="12.5">
      <c r="B63" s="248"/>
      <c r="C63" s="248">
        <f t="shared" si="17"/>
        <v>0</v>
      </c>
      <c r="D63" s="249" t="s">
        <v>268</v>
      </c>
      <c r="E63" s="237" t="s">
        <v>12</v>
      </c>
      <c r="F63" s="250"/>
      <c r="G63" s="246">
        <f>G46</f>
        <v>0</v>
      </c>
      <c r="H63" s="246">
        <f t="shared" si="21"/>
        <v>0</v>
      </c>
      <c r="I63" s="246">
        <f t="shared" si="21"/>
        <v>0</v>
      </c>
      <c r="J63" s="246">
        <f t="shared" si="21"/>
        <v>0</v>
      </c>
      <c r="K63" s="246">
        <f t="shared" si="21"/>
        <v>0</v>
      </c>
      <c r="L63" s="246">
        <f t="shared" si="21"/>
        <v>0</v>
      </c>
      <c r="M63" s="246">
        <f t="shared" si="21"/>
        <v>0</v>
      </c>
      <c r="N63" s="246">
        <f t="shared" si="21"/>
        <v>0</v>
      </c>
      <c r="O63" s="246">
        <f t="shared" si="21"/>
        <v>0</v>
      </c>
      <c r="P63" s="246">
        <f t="shared" si="21"/>
        <v>0</v>
      </c>
      <c r="Q63" s="246">
        <f t="shared" si="21"/>
        <v>0</v>
      </c>
      <c r="R63" s="246">
        <f t="shared" si="21"/>
        <v>0</v>
      </c>
      <c r="S63" s="246">
        <f t="shared" si="21"/>
        <v>0</v>
      </c>
      <c r="T63" s="246"/>
      <c r="U63" s="246"/>
    </row>
    <row r="64" spans="1:21" ht="12.5">
      <c r="B64" s="248"/>
      <c r="C64" s="248">
        <f t="shared" si="17"/>
        <v>0</v>
      </c>
      <c r="D64" s="249" t="s">
        <v>336</v>
      </c>
      <c r="E64" s="237" t="s">
        <v>12</v>
      </c>
      <c r="F64" s="250"/>
      <c r="G64" s="246">
        <f t="shared" ref="G64:S64" si="22">G47</f>
        <v>0</v>
      </c>
      <c r="H64" s="246">
        <f t="shared" si="22"/>
        <v>0</v>
      </c>
      <c r="I64" s="246">
        <f t="shared" si="22"/>
        <v>0</v>
      </c>
      <c r="J64" s="246">
        <f t="shared" si="22"/>
        <v>0</v>
      </c>
      <c r="K64" s="246">
        <f t="shared" si="22"/>
        <v>0</v>
      </c>
      <c r="L64" s="246">
        <f t="shared" si="22"/>
        <v>0</v>
      </c>
      <c r="M64" s="246">
        <f t="shared" si="22"/>
        <v>0</v>
      </c>
      <c r="N64" s="246">
        <f t="shared" si="22"/>
        <v>0</v>
      </c>
      <c r="O64" s="246">
        <f t="shared" si="22"/>
        <v>0</v>
      </c>
      <c r="P64" s="246">
        <f t="shared" si="22"/>
        <v>0</v>
      </c>
      <c r="Q64" s="246">
        <f t="shared" si="22"/>
        <v>0</v>
      </c>
      <c r="R64" s="246">
        <f t="shared" si="22"/>
        <v>0</v>
      </c>
      <c r="S64" s="246">
        <f t="shared" si="22"/>
        <v>0</v>
      </c>
      <c r="T64" s="246"/>
      <c r="U64" s="246"/>
    </row>
    <row r="65" spans="1:21" ht="12.5">
      <c r="B65" s="248"/>
      <c r="C65" s="248">
        <f t="shared" si="17"/>
        <v>3000</v>
      </c>
      <c r="D65" s="249" t="s">
        <v>90</v>
      </c>
      <c r="E65" s="237" t="s">
        <v>12</v>
      </c>
      <c r="F65" s="250"/>
      <c r="G65" s="246">
        <f t="shared" ref="G65:S65" si="23">SUM(G48:G50)</f>
        <v>0</v>
      </c>
      <c r="H65" s="246">
        <f t="shared" si="23"/>
        <v>0</v>
      </c>
      <c r="I65" s="246">
        <f t="shared" si="23"/>
        <v>300</v>
      </c>
      <c r="J65" s="246">
        <f t="shared" si="23"/>
        <v>300</v>
      </c>
      <c r="K65" s="246">
        <f t="shared" si="23"/>
        <v>300</v>
      </c>
      <c r="L65" s="246">
        <f t="shared" si="23"/>
        <v>300</v>
      </c>
      <c r="M65" s="246">
        <f t="shared" si="23"/>
        <v>300</v>
      </c>
      <c r="N65" s="246">
        <f t="shared" si="23"/>
        <v>300</v>
      </c>
      <c r="O65" s="246">
        <f t="shared" si="23"/>
        <v>300</v>
      </c>
      <c r="P65" s="246">
        <f t="shared" si="23"/>
        <v>300</v>
      </c>
      <c r="Q65" s="246">
        <f t="shared" si="23"/>
        <v>300</v>
      </c>
      <c r="R65" s="246">
        <f t="shared" si="23"/>
        <v>300</v>
      </c>
      <c r="S65" s="246">
        <f t="shared" si="23"/>
        <v>0</v>
      </c>
      <c r="T65" s="246"/>
      <c r="U65" s="246"/>
    </row>
    <row r="66" spans="1:21" ht="12.5">
      <c r="B66" s="248"/>
      <c r="C66" s="248">
        <f t="shared" si="17"/>
        <v>50</v>
      </c>
      <c r="D66" s="249" t="s">
        <v>91</v>
      </c>
      <c r="E66" s="237" t="s">
        <v>12</v>
      </c>
      <c r="F66" s="250"/>
      <c r="G66" s="246">
        <f t="shared" ref="G66:S66" si="24">G51</f>
        <v>0</v>
      </c>
      <c r="H66" s="246">
        <f t="shared" si="24"/>
        <v>0</v>
      </c>
      <c r="I66" s="246">
        <f t="shared" si="24"/>
        <v>0</v>
      </c>
      <c r="J66" s="246">
        <f t="shared" si="24"/>
        <v>0</v>
      </c>
      <c r="K66" s="246">
        <f t="shared" si="24"/>
        <v>0</v>
      </c>
      <c r="L66" s="246">
        <f t="shared" si="24"/>
        <v>0</v>
      </c>
      <c r="M66" s="246">
        <f t="shared" si="24"/>
        <v>0</v>
      </c>
      <c r="N66" s="246">
        <f t="shared" si="24"/>
        <v>0</v>
      </c>
      <c r="O66" s="246">
        <f t="shared" si="24"/>
        <v>0</v>
      </c>
      <c r="P66" s="246">
        <f t="shared" si="24"/>
        <v>0</v>
      </c>
      <c r="Q66" s="246">
        <f t="shared" si="24"/>
        <v>0</v>
      </c>
      <c r="R66" s="246">
        <f t="shared" si="24"/>
        <v>0</v>
      </c>
      <c r="S66" s="246">
        <f t="shared" si="24"/>
        <v>50</v>
      </c>
      <c r="T66" s="246"/>
      <c r="U66" s="246"/>
    </row>
    <row r="67" spans="1:21" ht="12.5">
      <c r="B67" s="248"/>
      <c r="C67" s="248">
        <f t="shared" si="17"/>
        <v>3382</v>
      </c>
      <c r="D67" s="249" t="s">
        <v>98</v>
      </c>
      <c r="E67" s="237" t="s">
        <v>12</v>
      </c>
      <c r="F67" s="250"/>
      <c r="G67" s="246">
        <f t="shared" ref="G67:S67" si="25">SUM(G61:G66)</f>
        <v>311</v>
      </c>
      <c r="H67" s="246">
        <f t="shared" si="25"/>
        <v>21</v>
      </c>
      <c r="I67" s="246">
        <f t="shared" si="25"/>
        <v>300</v>
      </c>
      <c r="J67" s="246">
        <f t="shared" si="25"/>
        <v>300</v>
      </c>
      <c r="K67" s="246">
        <f t="shared" si="25"/>
        <v>300</v>
      </c>
      <c r="L67" s="246">
        <f t="shared" si="25"/>
        <v>300</v>
      </c>
      <c r="M67" s="246">
        <f t="shared" si="25"/>
        <v>300</v>
      </c>
      <c r="N67" s="246">
        <f t="shared" si="25"/>
        <v>300</v>
      </c>
      <c r="O67" s="246">
        <f t="shared" si="25"/>
        <v>300</v>
      </c>
      <c r="P67" s="246">
        <f t="shared" si="25"/>
        <v>300</v>
      </c>
      <c r="Q67" s="246">
        <f t="shared" si="25"/>
        <v>300</v>
      </c>
      <c r="R67" s="246">
        <f t="shared" si="25"/>
        <v>300</v>
      </c>
      <c r="S67" s="246">
        <f t="shared" si="25"/>
        <v>50</v>
      </c>
      <c r="T67" s="246"/>
      <c r="U67" s="246"/>
    </row>
    <row r="68" spans="1:21" ht="13" thickBot="1">
      <c r="A68" s="253" t="b">
        <f>ROUND(C68-(C60-SUM(C61:C66)),5)=0</f>
        <v>1</v>
      </c>
      <c r="B68" s="248"/>
      <c r="C68" s="248">
        <f t="shared" si="17"/>
        <v>4161</v>
      </c>
      <c r="D68" s="254" t="s">
        <v>276</v>
      </c>
      <c r="E68" s="255" t="s">
        <v>12</v>
      </c>
      <c r="F68" s="256"/>
      <c r="G68" s="257">
        <f>G60-G67</f>
        <v>-311</v>
      </c>
      <c r="H68" s="257">
        <f t="shared" ref="H68:S68" si="26">H60-H67</f>
        <v>-21</v>
      </c>
      <c r="I68" s="257">
        <f t="shared" si="26"/>
        <v>454.29999999999995</v>
      </c>
      <c r="J68" s="257">
        <f t="shared" si="26"/>
        <v>454.29999999999995</v>
      </c>
      <c r="K68" s="257">
        <f t="shared" si="26"/>
        <v>454.29999999999995</v>
      </c>
      <c r="L68" s="257">
        <f t="shared" si="26"/>
        <v>454.29999999999995</v>
      </c>
      <c r="M68" s="257">
        <f t="shared" si="26"/>
        <v>454.29999999999995</v>
      </c>
      <c r="N68" s="257">
        <f t="shared" si="26"/>
        <v>454.29999999999995</v>
      </c>
      <c r="O68" s="257">
        <f t="shared" si="26"/>
        <v>454.29999999999995</v>
      </c>
      <c r="P68" s="257">
        <f t="shared" si="26"/>
        <v>454.29999999999995</v>
      </c>
      <c r="Q68" s="257">
        <f t="shared" si="26"/>
        <v>454.29999999999995</v>
      </c>
      <c r="R68" s="257">
        <f t="shared" si="26"/>
        <v>454.29999999999995</v>
      </c>
      <c r="S68" s="257">
        <f t="shared" si="26"/>
        <v>-50</v>
      </c>
      <c r="T68" s="257"/>
      <c r="U68" s="257"/>
    </row>
    <row r="69" spans="1:21" ht="13" thickTop="1">
      <c r="A69" s="258"/>
      <c r="C69" s="259"/>
      <c r="D69" s="249"/>
      <c r="E69" s="237"/>
      <c r="F69" s="250"/>
      <c r="G69" s="246"/>
      <c r="H69" s="246"/>
      <c r="I69" s="246"/>
      <c r="J69" s="246"/>
      <c r="K69" s="246"/>
      <c r="L69" s="246"/>
      <c r="M69" s="246"/>
      <c r="N69" s="246"/>
      <c r="O69" s="246"/>
      <c r="P69" s="246"/>
      <c r="Q69" s="246"/>
      <c r="R69" s="246"/>
      <c r="S69" s="246"/>
      <c r="T69" s="246"/>
      <c r="U69" s="246"/>
    </row>
    <row r="70" spans="1:21" ht="12.5">
      <c r="A70" s="258"/>
      <c r="C70" s="260">
        <f>IFERROR(IRR($G68:U68),0)</f>
        <v>0.78571836501587033</v>
      </c>
      <c r="D70" s="249" t="s">
        <v>100</v>
      </c>
      <c r="E70" s="237" t="s">
        <v>17</v>
      </c>
      <c r="F70" s="250"/>
      <c r="G70" s="110" t="str">
        <f>IFERROR(IRR($G68:G68),"--")</f>
        <v>--</v>
      </c>
      <c r="H70" s="110" t="str">
        <f>IFERROR(IRR($G68:H68),"--")</f>
        <v>--</v>
      </c>
      <c r="I70" s="110">
        <f>IFERROR(IRR($G68:I68),"--")</f>
        <v>0.17533329846157941</v>
      </c>
      <c r="J70" s="110">
        <f>IFERROR(IRR($G68:J68),"--")</f>
        <v>0.52234394644431537</v>
      </c>
      <c r="K70" s="110">
        <f>IFERROR(IRR($G68:K68),"--")</f>
        <v>0.66069678784285046</v>
      </c>
      <c r="L70" s="110">
        <f>IFERROR(IRR($G68:L68),"--")</f>
        <v>0.72322425650568278</v>
      </c>
      <c r="M70" s="110">
        <f>IFERROR(IRR($G68:M68),"--")</f>
        <v>0.75372133574951006</v>
      </c>
      <c r="N70" s="110">
        <f>IFERROR(IRR($G68:N68),"--")</f>
        <v>0.76933462864294788</v>
      </c>
      <c r="O70" s="110">
        <f>IFERROR(IRR($G68:O68),"--")</f>
        <v>0.77758294163892017</v>
      </c>
      <c r="P70" s="110">
        <f>IFERROR(IRR($G68:P68),"--")</f>
        <v>0.78203051946264135</v>
      </c>
      <c r="Q70" s="110">
        <f>IFERROR(IRR($G68:Q68),"--")</f>
        <v>0.78446087293833666</v>
      </c>
      <c r="R70" s="110">
        <f>IFERROR(IRR($G68:R68),"--")</f>
        <v>0.78580043582330616</v>
      </c>
      <c r="S70" s="110">
        <f>IFERROR(IRR($G68:S68),"--")</f>
        <v>0.78571836501587033</v>
      </c>
      <c r="T70" s="111"/>
      <c r="U70" s="111"/>
    </row>
    <row r="71" spans="1:21" ht="12.5">
      <c r="A71" s="258"/>
      <c r="C71" s="261">
        <f>NPV($F$32,$H$68:$U$68)+$G$68</f>
        <v>2191.6837646796052</v>
      </c>
      <c r="D71" s="249" t="str">
        <f>"Project pre-tax cash flows NPV"&amp;$F$32*100</f>
        <v>Project pre-tax cash flows NPV10</v>
      </c>
      <c r="E71" s="237" t="s">
        <v>12</v>
      </c>
      <c r="F71" s="250"/>
      <c r="G71" s="111"/>
      <c r="H71" s="111"/>
      <c r="I71" s="111"/>
      <c r="J71" s="111"/>
      <c r="K71" s="111"/>
      <c r="L71" s="111"/>
      <c r="M71" s="111"/>
      <c r="N71" s="111"/>
      <c r="O71" s="111"/>
      <c r="P71" s="111"/>
      <c r="Q71" s="111"/>
      <c r="R71" s="111"/>
      <c r="S71" s="111"/>
      <c r="T71" s="111"/>
      <c r="U71" s="111"/>
    </row>
    <row r="72" spans="1:21" ht="12.5">
      <c r="A72" s="258"/>
      <c r="C72" s="262"/>
      <c r="D72" s="249"/>
      <c r="E72" s="237"/>
      <c r="F72" s="250"/>
      <c r="G72" s="111"/>
      <c r="H72" s="111"/>
      <c r="I72" s="111"/>
      <c r="J72" s="111"/>
      <c r="K72" s="111"/>
      <c r="L72" s="111"/>
      <c r="M72" s="111"/>
      <c r="N72" s="111"/>
      <c r="O72" s="111"/>
      <c r="P72" s="111"/>
      <c r="Q72" s="111"/>
      <c r="R72" s="111"/>
      <c r="S72" s="111"/>
      <c r="T72" s="111"/>
      <c r="U72" s="111"/>
    </row>
    <row r="73" spans="1:21" ht="13">
      <c r="C73" s="247"/>
      <c r="D73" s="204" t="s">
        <v>101</v>
      </c>
      <c r="E73" s="204"/>
      <c r="F73" s="204"/>
      <c r="G73" s="204"/>
      <c r="H73" s="204"/>
      <c r="I73" s="204"/>
      <c r="J73" s="204"/>
      <c r="K73" s="204"/>
      <c r="L73" s="204"/>
      <c r="M73" s="204"/>
      <c r="N73" s="204"/>
      <c r="O73" s="204"/>
      <c r="P73" s="204"/>
      <c r="Q73" s="204"/>
      <c r="R73" s="204"/>
      <c r="S73" s="204"/>
      <c r="T73" s="204"/>
      <c r="U73" s="204"/>
    </row>
    <row r="74" spans="1:21" ht="12.5">
      <c r="A74" s="258"/>
      <c r="C74" s="248">
        <f>MAX(G74:U74)</f>
        <v>13</v>
      </c>
      <c r="D74" s="249" t="s">
        <v>102</v>
      </c>
      <c r="E74" s="237" t="s">
        <v>32</v>
      </c>
      <c r="F74" s="250"/>
      <c r="G74" s="246">
        <f>(SUM($G$41:G51)&gt;0)*1+F74</f>
        <v>1</v>
      </c>
      <c r="H74" s="246">
        <f>(SUM($G$41:H51)&gt;0)*1+G74</f>
        <v>2</v>
      </c>
      <c r="I74" s="246">
        <f>(SUM($G$41:I51)&gt;0)*1+H74</f>
        <v>3</v>
      </c>
      <c r="J74" s="246">
        <f>(SUM($G$41:J51)&gt;0)*1+I74</f>
        <v>4</v>
      </c>
      <c r="K74" s="246">
        <f>(SUM($G$41:K51)&gt;0)*1+J74</f>
        <v>5</v>
      </c>
      <c r="L74" s="246">
        <f>(SUM($G$41:L51)&gt;0)*1+K74</f>
        <v>6</v>
      </c>
      <c r="M74" s="246">
        <f>(SUM($G$41:M51)&gt;0)*1+L74</f>
        <v>7</v>
      </c>
      <c r="N74" s="246">
        <f>(SUM($G$41:N51)&gt;0)*1+M74</f>
        <v>8</v>
      </c>
      <c r="O74" s="246">
        <f>(SUM($G$41:O51)&gt;0)*1+N74</f>
        <v>9</v>
      </c>
      <c r="P74" s="246">
        <f>(SUM($G$41:P51)&gt;0)*1+O74</f>
        <v>10</v>
      </c>
      <c r="Q74" s="246">
        <f>(SUM($G$41:Q51)&gt;0)*1+P74</f>
        <v>11</v>
      </c>
      <c r="R74" s="246">
        <f>(SUM($G$41:R51)&gt;0)*1+Q74</f>
        <v>12</v>
      </c>
      <c r="S74" s="246">
        <f>(SUM($G$41:S51)&gt;0)*1+R74</f>
        <v>13</v>
      </c>
      <c r="T74" s="111"/>
      <c r="U74" s="111"/>
    </row>
    <row r="75" spans="1:21" ht="12.5">
      <c r="B75" s="248"/>
      <c r="C75" s="248">
        <f>MAX(G75:U75)</f>
        <v>10</v>
      </c>
      <c r="D75" s="249" t="s">
        <v>277</v>
      </c>
      <c r="E75" s="237" t="s">
        <v>32</v>
      </c>
      <c r="F75" s="250"/>
      <c r="G75" s="246">
        <f t="shared" ref="G75:S75" si="27">((G41&gt;0)*1+F75)*(G41&gt;0)</f>
        <v>0</v>
      </c>
      <c r="H75" s="246">
        <f t="shared" si="27"/>
        <v>0</v>
      </c>
      <c r="I75" s="246">
        <f t="shared" si="27"/>
        <v>1</v>
      </c>
      <c r="J75" s="246">
        <f t="shared" si="27"/>
        <v>2</v>
      </c>
      <c r="K75" s="246">
        <f t="shared" si="27"/>
        <v>3</v>
      </c>
      <c r="L75" s="246">
        <f t="shared" si="27"/>
        <v>4</v>
      </c>
      <c r="M75" s="246">
        <f t="shared" si="27"/>
        <v>5</v>
      </c>
      <c r="N75" s="246">
        <f t="shared" si="27"/>
        <v>6</v>
      </c>
      <c r="O75" s="246">
        <f t="shared" si="27"/>
        <v>7</v>
      </c>
      <c r="P75" s="246">
        <f t="shared" si="27"/>
        <v>8</v>
      </c>
      <c r="Q75" s="246">
        <f t="shared" si="27"/>
        <v>9</v>
      </c>
      <c r="R75" s="246">
        <f t="shared" si="27"/>
        <v>10</v>
      </c>
      <c r="S75" s="246">
        <f t="shared" si="27"/>
        <v>0</v>
      </c>
      <c r="T75" s="246"/>
      <c r="U75" s="246"/>
    </row>
    <row r="76" spans="1:21" ht="12.5">
      <c r="B76" s="248"/>
      <c r="C76" s="248">
        <f>MAX(G76:U76)</f>
        <v>10</v>
      </c>
      <c r="D76" s="249" t="s">
        <v>104</v>
      </c>
      <c r="E76" s="237" t="s">
        <v>32</v>
      </c>
      <c r="F76" s="250"/>
      <c r="G76" s="246">
        <f t="shared" ref="G76:S76" si="28">($C$75-G75+1)*(G41&gt;0)</f>
        <v>0</v>
      </c>
      <c r="H76" s="246">
        <f t="shared" si="28"/>
        <v>0</v>
      </c>
      <c r="I76" s="246">
        <f t="shared" si="28"/>
        <v>10</v>
      </c>
      <c r="J76" s="246">
        <f t="shared" si="28"/>
        <v>9</v>
      </c>
      <c r="K76" s="246">
        <f t="shared" si="28"/>
        <v>8</v>
      </c>
      <c r="L76" s="246">
        <f t="shared" si="28"/>
        <v>7</v>
      </c>
      <c r="M76" s="246">
        <f t="shared" si="28"/>
        <v>6</v>
      </c>
      <c r="N76" s="246">
        <f t="shared" si="28"/>
        <v>5</v>
      </c>
      <c r="O76" s="246">
        <f t="shared" si="28"/>
        <v>4</v>
      </c>
      <c r="P76" s="246">
        <f t="shared" si="28"/>
        <v>3</v>
      </c>
      <c r="Q76" s="246">
        <f t="shared" si="28"/>
        <v>2</v>
      </c>
      <c r="R76" s="246">
        <f t="shared" si="28"/>
        <v>1</v>
      </c>
      <c r="S76" s="246">
        <f t="shared" si="28"/>
        <v>0</v>
      </c>
      <c r="T76" s="246"/>
      <c r="U76" s="246"/>
    </row>
    <row r="77" spans="1:21" ht="12.5">
      <c r="A77" s="258"/>
      <c r="C77" s="262"/>
      <c r="D77" s="249"/>
      <c r="E77" s="237"/>
      <c r="F77" s="250"/>
      <c r="G77" s="111"/>
      <c r="H77" s="111"/>
      <c r="I77" s="111"/>
      <c r="J77" s="111"/>
      <c r="K77" s="111"/>
      <c r="L77" s="111"/>
      <c r="M77" s="111"/>
      <c r="N77" s="111"/>
      <c r="O77" s="111"/>
      <c r="P77" s="111"/>
      <c r="Q77" s="111"/>
      <c r="R77" s="111"/>
      <c r="S77" s="111"/>
      <c r="T77" s="111"/>
      <c r="U77" s="111"/>
    </row>
    <row r="78" spans="1:21" ht="13">
      <c r="C78" s="247"/>
      <c r="D78" s="204" t="s">
        <v>106</v>
      </c>
      <c r="E78" s="204"/>
      <c r="F78" s="204"/>
      <c r="G78" s="204"/>
      <c r="H78" s="204"/>
      <c r="I78" s="204"/>
      <c r="J78" s="204"/>
      <c r="K78" s="204"/>
      <c r="L78" s="204"/>
      <c r="M78" s="204"/>
      <c r="N78" s="204"/>
      <c r="O78" s="204"/>
      <c r="P78" s="204"/>
      <c r="Q78" s="204"/>
      <c r="R78" s="204"/>
      <c r="S78" s="204"/>
      <c r="T78" s="204"/>
      <c r="U78" s="204"/>
    </row>
    <row r="79" spans="1:21" ht="12.5">
      <c r="A79" s="258"/>
      <c r="C79" s="248">
        <f t="shared" ref="C79:C81" si="29">MAX(G79:U79)</f>
        <v>454.29999999999995</v>
      </c>
      <c r="D79" s="249" t="s">
        <v>11</v>
      </c>
      <c r="E79" s="237" t="s">
        <v>12</v>
      </c>
      <c r="F79" s="250"/>
      <c r="G79" s="246">
        <f>G68</f>
        <v>-311</v>
      </c>
      <c r="H79" s="246">
        <f t="shared" ref="H79:S79" si="30">H68</f>
        <v>-21</v>
      </c>
      <c r="I79" s="246">
        <f t="shared" si="30"/>
        <v>454.29999999999995</v>
      </c>
      <c r="J79" s="246">
        <f t="shared" si="30"/>
        <v>454.29999999999995</v>
      </c>
      <c r="K79" s="246">
        <f t="shared" si="30"/>
        <v>454.29999999999995</v>
      </c>
      <c r="L79" s="246">
        <f t="shared" si="30"/>
        <v>454.29999999999995</v>
      </c>
      <c r="M79" s="246">
        <f t="shared" si="30"/>
        <v>454.29999999999995</v>
      </c>
      <c r="N79" s="246">
        <f t="shared" si="30"/>
        <v>454.29999999999995</v>
      </c>
      <c r="O79" s="246">
        <f t="shared" si="30"/>
        <v>454.29999999999995</v>
      </c>
      <c r="P79" s="246">
        <f t="shared" si="30"/>
        <v>454.29999999999995</v>
      </c>
      <c r="Q79" s="246">
        <f t="shared" si="30"/>
        <v>454.29999999999995</v>
      </c>
      <c r="R79" s="246">
        <f t="shared" si="30"/>
        <v>454.29999999999995</v>
      </c>
      <c r="S79" s="246">
        <f t="shared" si="30"/>
        <v>-50</v>
      </c>
      <c r="T79" s="111"/>
      <c r="U79" s="111"/>
    </row>
    <row r="80" spans="1:21" ht="12.5">
      <c r="A80" s="258"/>
      <c r="C80" s="248">
        <f t="shared" si="29"/>
        <v>4211</v>
      </c>
      <c r="D80" s="249" t="s">
        <v>107</v>
      </c>
      <c r="E80" s="237" t="s">
        <v>12</v>
      </c>
      <c r="F80" s="250"/>
      <c r="G80" s="246">
        <f>G79+F80</f>
        <v>-311</v>
      </c>
      <c r="H80" s="246">
        <f t="shared" ref="H80:S80" si="31">H79+G80</f>
        <v>-332</v>
      </c>
      <c r="I80" s="246">
        <f t="shared" si="31"/>
        <v>122.29999999999995</v>
      </c>
      <c r="J80" s="246">
        <f t="shared" si="31"/>
        <v>576.59999999999991</v>
      </c>
      <c r="K80" s="246">
        <f t="shared" si="31"/>
        <v>1030.8999999999999</v>
      </c>
      <c r="L80" s="246">
        <f t="shared" si="31"/>
        <v>1485.1999999999998</v>
      </c>
      <c r="M80" s="246">
        <f t="shared" si="31"/>
        <v>1939.4999999999998</v>
      </c>
      <c r="N80" s="246">
        <f t="shared" si="31"/>
        <v>2393.7999999999997</v>
      </c>
      <c r="O80" s="246">
        <f t="shared" si="31"/>
        <v>2848.0999999999995</v>
      </c>
      <c r="P80" s="246">
        <f t="shared" si="31"/>
        <v>3302.3999999999996</v>
      </c>
      <c r="Q80" s="246">
        <f t="shared" si="31"/>
        <v>3756.7</v>
      </c>
      <c r="R80" s="246">
        <f t="shared" si="31"/>
        <v>4211</v>
      </c>
      <c r="S80" s="246">
        <f t="shared" si="31"/>
        <v>4161</v>
      </c>
      <c r="T80" s="111"/>
      <c r="U80" s="111"/>
    </row>
    <row r="81" spans="1:21" ht="12.5">
      <c r="A81" s="258"/>
      <c r="C81" s="263">
        <f t="shared" si="29"/>
        <v>2.730794629099714</v>
      </c>
      <c r="D81" s="249" t="s">
        <v>106</v>
      </c>
      <c r="E81" s="237" t="s">
        <v>32</v>
      </c>
      <c r="F81" s="250"/>
      <c r="G81" s="264">
        <f>IF(AND(G80&lt;=0,H80&gt;0),G74+(-G80/H79),0)</f>
        <v>0</v>
      </c>
      <c r="H81" s="264">
        <f t="shared" ref="H81:S81" si="32">IF(AND(H80&lt;=0,I80&gt;0),H74+(-H80/I79),0)</f>
        <v>2.730794629099714</v>
      </c>
      <c r="I81" s="264">
        <f t="shared" si="32"/>
        <v>0</v>
      </c>
      <c r="J81" s="264">
        <f t="shared" si="32"/>
        <v>0</v>
      </c>
      <c r="K81" s="264">
        <f t="shared" si="32"/>
        <v>0</v>
      </c>
      <c r="L81" s="264">
        <f t="shared" si="32"/>
        <v>0</v>
      </c>
      <c r="M81" s="264">
        <f t="shared" si="32"/>
        <v>0</v>
      </c>
      <c r="N81" s="264">
        <f t="shared" si="32"/>
        <v>0</v>
      </c>
      <c r="O81" s="264">
        <f t="shared" si="32"/>
        <v>0</v>
      </c>
      <c r="P81" s="264">
        <f t="shared" si="32"/>
        <v>0</v>
      </c>
      <c r="Q81" s="264">
        <f t="shared" si="32"/>
        <v>0</v>
      </c>
      <c r="R81" s="264">
        <f t="shared" si="32"/>
        <v>0</v>
      </c>
      <c r="S81" s="264">
        <f t="shared" si="32"/>
        <v>0</v>
      </c>
      <c r="T81" s="111"/>
      <c r="U81" s="111"/>
    </row>
    <row r="82" spans="1:21" ht="12.5">
      <c r="C82" s="236"/>
      <c r="E82" s="237"/>
      <c r="G82" s="246"/>
      <c r="H82" s="246"/>
      <c r="I82" s="246"/>
      <c r="J82" s="246"/>
      <c r="K82" s="246"/>
      <c r="L82" s="246"/>
      <c r="M82" s="246"/>
      <c r="N82" s="246"/>
      <c r="O82" s="246"/>
      <c r="P82" s="246"/>
      <c r="Q82" s="246"/>
      <c r="R82" s="246"/>
      <c r="S82" s="246"/>
      <c r="T82" s="246"/>
      <c r="U82" s="246"/>
    </row>
    <row r="83" spans="1:21" ht="13">
      <c r="A83" s="258"/>
      <c r="C83" s="259"/>
      <c r="D83" s="204" t="s">
        <v>108</v>
      </c>
      <c r="E83" s="204"/>
      <c r="F83" s="204"/>
      <c r="G83" s="205"/>
      <c r="H83" s="205"/>
      <c r="I83" s="205"/>
      <c r="J83" s="205"/>
      <c r="K83" s="205"/>
      <c r="L83" s="205"/>
      <c r="M83" s="205"/>
      <c r="N83" s="205"/>
      <c r="O83" s="205"/>
      <c r="P83" s="205"/>
      <c r="Q83" s="205"/>
      <c r="R83" s="205"/>
      <c r="S83" s="205"/>
      <c r="T83" s="205"/>
      <c r="U83" s="205"/>
    </row>
    <row r="84" spans="1:21" ht="12.5">
      <c r="A84" s="258"/>
      <c r="C84" s="262"/>
      <c r="D84" s="249" t="s">
        <v>109</v>
      </c>
      <c r="E84" s="237" t="s">
        <v>110</v>
      </c>
      <c r="F84" s="250"/>
      <c r="G84" s="264">
        <f>IF(G$40=1,1,(1+$F$34)^(G$40-1))</f>
        <v>1</v>
      </c>
      <c r="H84" s="264">
        <f t="shared" ref="H84:S84" si="33">IF(H$40=1,1,(1+$F$34)^(H$40-1))</f>
        <v>1.02</v>
      </c>
      <c r="I84" s="264">
        <f t="shared" si="33"/>
        <v>1.0404</v>
      </c>
      <c r="J84" s="264">
        <f t="shared" si="33"/>
        <v>1.0612079999999999</v>
      </c>
      <c r="K84" s="264">
        <f t="shared" si="33"/>
        <v>1.08243216</v>
      </c>
      <c r="L84" s="264">
        <f t="shared" si="33"/>
        <v>1.1040808032</v>
      </c>
      <c r="M84" s="264">
        <f t="shared" si="33"/>
        <v>1.1261624192640001</v>
      </c>
      <c r="N84" s="264">
        <f t="shared" si="33"/>
        <v>1.1486856676492798</v>
      </c>
      <c r="O84" s="264">
        <f t="shared" si="33"/>
        <v>1.1716593810022655</v>
      </c>
      <c r="P84" s="264">
        <f t="shared" si="33"/>
        <v>1.1950925686223108</v>
      </c>
      <c r="Q84" s="264">
        <f t="shared" si="33"/>
        <v>1.2189944199947571</v>
      </c>
      <c r="R84" s="264">
        <f t="shared" si="33"/>
        <v>1.243374308394652</v>
      </c>
      <c r="S84" s="264">
        <f t="shared" si="33"/>
        <v>1.2682417945625453</v>
      </c>
      <c r="T84" s="264"/>
      <c r="U84" s="264"/>
    </row>
    <row r="85" spans="1:21" ht="12.5">
      <c r="A85" s="258"/>
      <c r="C85" s="259"/>
      <c r="D85" s="249"/>
      <c r="E85" s="237"/>
      <c r="F85" s="250"/>
      <c r="G85" s="246"/>
      <c r="H85" s="246"/>
      <c r="I85" s="246"/>
      <c r="J85" s="246"/>
      <c r="K85" s="246"/>
      <c r="L85" s="246"/>
      <c r="M85" s="246"/>
      <c r="N85" s="246"/>
      <c r="O85" s="246"/>
      <c r="P85" s="246"/>
      <c r="Q85" s="246"/>
      <c r="R85" s="246"/>
      <c r="S85" s="246"/>
      <c r="T85" s="246"/>
      <c r="U85" s="246"/>
    </row>
    <row r="86" spans="1:21" ht="13">
      <c r="A86" s="258"/>
      <c r="C86" s="248"/>
      <c r="D86" s="204" t="s">
        <v>111</v>
      </c>
      <c r="E86" s="204" t="s">
        <v>0</v>
      </c>
      <c r="F86" s="204"/>
      <c r="G86" s="204">
        <v>1</v>
      </c>
      <c r="H86" s="204">
        <f>G86+1</f>
        <v>2</v>
      </c>
      <c r="I86" s="204">
        <f t="shared" ref="I86:S86" si="34">H86+1</f>
        <v>3</v>
      </c>
      <c r="J86" s="204">
        <f t="shared" si="34"/>
        <v>4</v>
      </c>
      <c r="K86" s="204">
        <f t="shared" si="34"/>
        <v>5</v>
      </c>
      <c r="L86" s="204">
        <f t="shared" si="34"/>
        <v>6</v>
      </c>
      <c r="M86" s="204">
        <f t="shared" si="34"/>
        <v>7</v>
      </c>
      <c r="N86" s="204">
        <f t="shared" si="34"/>
        <v>8</v>
      </c>
      <c r="O86" s="204">
        <f t="shared" si="34"/>
        <v>9</v>
      </c>
      <c r="P86" s="204">
        <f t="shared" si="34"/>
        <v>10</v>
      </c>
      <c r="Q86" s="204">
        <f t="shared" si="34"/>
        <v>11</v>
      </c>
      <c r="R86" s="204">
        <f t="shared" si="34"/>
        <v>12</v>
      </c>
      <c r="S86" s="204">
        <f t="shared" si="34"/>
        <v>13</v>
      </c>
      <c r="T86" s="204"/>
      <c r="U86" s="204"/>
    </row>
    <row r="87" spans="1:21" ht="12.5">
      <c r="C87" s="248">
        <f>SUM(G87:U87)</f>
        <v>8657.988193376721</v>
      </c>
      <c r="D87" s="249" t="s">
        <v>96</v>
      </c>
      <c r="E87" s="237" t="s">
        <v>112</v>
      </c>
      <c r="F87" s="250"/>
      <c r="G87" s="246">
        <f t="shared" ref="G87:S87" si="35">G58*G$84</f>
        <v>0</v>
      </c>
      <c r="H87" s="246">
        <f t="shared" si="35"/>
        <v>0</v>
      </c>
      <c r="I87" s="246">
        <f t="shared" si="35"/>
        <v>790.70399999999995</v>
      </c>
      <c r="J87" s="246">
        <f t="shared" si="35"/>
        <v>806.51807999999994</v>
      </c>
      <c r="K87" s="246">
        <f t="shared" si="35"/>
        <v>822.64844159999996</v>
      </c>
      <c r="L87" s="246">
        <f t="shared" si="35"/>
        <v>839.10141043199997</v>
      </c>
      <c r="M87" s="246">
        <f t="shared" si="35"/>
        <v>855.88343864064007</v>
      </c>
      <c r="N87" s="246">
        <f t="shared" si="35"/>
        <v>873.0011074134527</v>
      </c>
      <c r="O87" s="246">
        <f t="shared" si="35"/>
        <v>890.4611295617218</v>
      </c>
      <c r="P87" s="246">
        <f t="shared" si="35"/>
        <v>908.27035215295621</v>
      </c>
      <c r="Q87" s="246">
        <f t="shared" si="35"/>
        <v>926.4357591960154</v>
      </c>
      <c r="R87" s="246">
        <f t="shared" si="35"/>
        <v>944.9644743799355</v>
      </c>
      <c r="S87" s="246">
        <f t="shared" si="35"/>
        <v>0</v>
      </c>
      <c r="T87" s="246"/>
      <c r="U87" s="246"/>
    </row>
    <row r="88" spans="1:21" ht="12.5">
      <c r="C88" s="248">
        <f t="shared" ref="C88:C97" si="36">SUM(G88:U88)</f>
        <v>64.934911450325401</v>
      </c>
      <c r="D88" s="251" t="s">
        <v>275</v>
      </c>
      <c r="E88" s="237" t="s">
        <v>112</v>
      </c>
      <c r="F88" s="250"/>
      <c r="G88" s="246">
        <f t="shared" ref="G88:S88" si="37">G59*G$84</f>
        <v>0</v>
      </c>
      <c r="H88" s="246">
        <f t="shared" si="37"/>
        <v>0</v>
      </c>
      <c r="I88" s="246">
        <f t="shared" si="37"/>
        <v>5.9302799999999989</v>
      </c>
      <c r="J88" s="246">
        <f t="shared" si="37"/>
        <v>6.0488855999999984</v>
      </c>
      <c r="K88" s="246">
        <f t="shared" si="37"/>
        <v>6.1698633119999995</v>
      </c>
      <c r="L88" s="246">
        <f t="shared" si="37"/>
        <v>6.2932605782399991</v>
      </c>
      <c r="M88" s="246">
        <f t="shared" si="37"/>
        <v>6.4191257898047995</v>
      </c>
      <c r="N88" s="246">
        <f t="shared" si="37"/>
        <v>6.5475083056008945</v>
      </c>
      <c r="O88" s="246">
        <f t="shared" si="37"/>
        <v>6.6784584717129123</v>
      </c>
      <c r="P88" s="246">
        <f t="shared" si="37"/>
        <v>6.8120276411471705</v>
      </c>
      <c r="Q88" s="246">
        <f t="shared" si="37"/>
        <v>6.9482681939701143</v>
      </c>
      <c r="R88" s="246">
        <f t="shared" si="37"/>
        <v>7.0872335578495154</v>
      </c>
      <c r="S88" s="246">
        <f t="shared" si="37"/>
        <v>0</v>
      </c>
      <c r="T88" s="246"/>
      <c r="U88" s="246"/>
    </row>
    <row r="89" spans="1:21" ht="12.5">
      <c r="A89" s="253" t="b">
        <f>ROUND(C89-(C87-C88),5)=0</f>
        <v>1</v>
      </c>
      <c r="C89" s="248">
        <f t="shared" si="36"/>
        <v>8593.0532819263954</v>
      </c>
      <c r="D89" s="249" t="s">
        <v>97</v>
      </c>
      <c r="E89" s="237" t="s">
        <v>112</v>
      </c>
      <c r="F89" s="250"/>
      <c r="G89" s="246">
        <f t="shared" ref="G89:S89" si="38">G60*G$84</f>
        <v>0</v>
      </c>
      <c r="H89" s="246">
        <f t="shared" si="38"/>
        <v>0</v>
      </c>
      <c r="I89" s="246">
        <f t="shared" si="38"/>
        <v>784.77371999999991</v>
      </c>
      <c r="J89" s="246">
        <f t="shared" si="38"/>
        <v>800.46919439999988</v>
      </c>
      <c r="K89" s="246">
        <f t="shared" si="38"/>
        <v>816.47857828799988</v>
      </c>
      <c r="L89" s="246">
        <f t="shared" si="38"/>
        <v>832.80814985375991</v>
      </c>
      <c r="M89" s="246">
        <f t="shared" si="38"/>
        <v>849.4643128508352</v>
      </c>
      <c r="N89" s="246">
        <f t="shared" si="38"/>
        <v>866.45359910785169</v>
      </c>
      <c r="O89" s="246">
        <f t="shared" si="38"/>
        <v>883.78267109000888</v>
      </c>
      <c r="P89" s="246">
        <f t="shared" si="38"/>
        <v>901.458324511809</v>
      </c>
      <c r="Q89" s="246">
        <f t="shared" si="38"/>
        <v>919.4874910020452</v>
      </c>
      <c r="R89" s="246">
        <f t="shared" si="38"/>
        <v>937.87724082208592</v>
      </c>
      <c r="S89" s="246">
        <f t="shared" si="38"/>
        <v>0</v>
      </c>
      <c r="T89" s="246"/>
      <c r="U89" s="246"/>
    </row>
    <row r="90" spans="1:21" ht="12.5">
      <c r="C90" s="248">
        <f t="shared" si="36"/>
        <v>42.42</v>
      </c>
      <c r="D90" s="249" t="s">
        <v>88</v>
      </c>
      <c r="E90" s="237" t="s">
        <v>112</v>
      </c>
      <c r="F90" s="250"/>
      <c r="G90" s="246">
        <f t="shared" ref="G90:S90" si="39">G61*G$84</f>
        <v>21</v>
      </c>
      <c r="H90" s="246">
        <f t="shared" si="39"/>
        <v>21.42</v>
      </c>
      <c r="I90" s="246">
        <f t="shared" si="39"/>
        <v>0</v>
      </c>
      <c r="J90" s="246">
        <f t="shared" si="39"/>
        <v>0</v>
      </c>
      <c r="K90" s="246">
        <f t="shared" si="39"/>
        <v>0</v>
      </c>
      <c r="L90" s="246">
        <f t="shared" si="39"/>
        <v>0</v>
      </c>
      <c r="M90" s="246">
        <f t="shared" si="39"/>
        <v>0</v>
      </c>
      <c r="N90" s="246">
        <f t="shared" si="39"/>
        <v>0</v>
      </c>
      <c r="O90" s="246">
        <f t="shared" si="39"/>
        <v>0</v>
      </c>
      <c r="P90" s="246">
        <f t="shared" si="39"/>
        <v>0</v>
      </c>
      <c r="Q90" s="246">
        <f t="shared" si="39"/>
        <v>0</v>
      </c>
      <c r="R90" s="246">
        <f t="shared" si="39"/>
        <v>0</v>
      </c>
      <c r="S90" s="246">
        <f t="shared" si="39"/>
        <v>0</v>
      </c>
      <c r="T90" s="246"/>
      <c r="U90" s="246"/>
    </row>
    <row r="91" spans="1:21" ht="12.5">
      <c r="C91" s="248">
        <f t="shared" si="36"/>
        <v>290</v>
      </c>
      <c r="D91" s="249" t="s">
        <v>267</v>
      </c>
      <c r="E91" s="237" t="s">
        <v>112</v>
      </c>
      <c r="F91" s="250"/>
      <c r="G91" s="246">
        <f t="shared" ref="G91:S91" si="40">G62*G$84</f>
        <v>290</v>
      </c>
      <c r="H91" s="246">
        <f t="shared" si="40"/>
        <v>0</v>
      </c>
      <c r="I91" s="246">
        <f t="shared" si="40"/>
        <v>0</v>
      </c>
      <c r="J91" s="246">
        <f t="shared" si="40"/>
        <v>0</v>
      </c>
      <c r="K91" s="246">
        <f t="shared" si="40"/>
        <v>0</v>
      </c>
      <c r="L91" s="246">
        <f t="shared" si="40"/>
        <v>0</v>
      </c>
      <c r="M91" s="246">
        <f t="shared" si="40"/>
        <v>0</v>
      </c>
      <c r="N91" s="246">
        <f t="shared" si="40"/>
        <v>0</v>
      </c>
      <c r="O91" s="246">
        <f t="shared" si="40"/>
        <v>0</v>
      </c>
      <c r="P91" s="246">
        <f t="shared" si="40"/>
        <v>0</v>
      </c>
      <c r="Q91" s="246">
        <f t="shared" si="40"/>
        <v>0</v>
      </c>
      <c r="R91" s="246">
        <f t="shared" si="40"/>
        <v>0</v>
      </c>
      <c r="S91" s="246">
        <f t="shared" si="40"/>
        <v>0</v>
      </c>
      <c r="T91" s="246"/>
      <c r="U91" s="246"/>
    </row>
    <row r="92" spans="1:21" ht="12.5">
      <c r="C92" s="248">
        <f t="shared" si="36"/>
        <v>0</v>
      </c>
      <c r="D92" s="249" t="s">
        <v>268</v>
      </c>
      <c r="E92" s="237" t="s">
        <v>112</v>
      </c>
      <c r="F92" s="250"/>
      <c r="G92" s="246">
        <f t="shared" ref="G92:S92" si="41">G63*G$84</f>
        <v>0</v>
      </c>
      <c r="H92" s="246">
        <f t="shared" si="41"/>
        <v>0</v>
      </c>
      <c r="I92" s="246">
        <f t="shared" si="41"/>
        <v>0</v>
      </c>
      <c r="J92" s="246">
        <f t="shared" si="41"/>
        <v>0</v>
      </c>
      <c r="K92" s="246">
        <f t="shared" si="41"/>
        <v>0</v>
      </c>
      <c r="L92" s="246">
        <f t="shared" si="41"/>
        <v>0</v>
      </c>
      <c r="M92" s="246">
        <f t="shared" si="41"/>
        <v>0</v>
      </c>
      <c r="N92" s="246">
        <f t="shared" si="41"/>
        <v>0</v>
      </c>
      <c r="O92" s="246">
        <f t="shared" si="41"/>
        <v>0</v>
      </c>
      <c r="P92" s="246">
        <f t="shared" si="41"/>
        <v>0</v>
      </c>
      <c r="Q92" s="246">
        <f t="shared" si="41"/>
        <v>0</v>
      </c>
      <c r="R92" s="246">
        <f t="shared" si="41"/>
        <v>0</v>
      </c>
      <c r="S92" s="246">
        <f t="shared" si="41"/>
        <v>0</v>
      </c>
      <c r="T92" s="246"/>
      <c r="U92" s="246"/>
    </row>
    <row r="93" spans="1:21" ht="12.5">
      <c r="C93" s="248">
        <f t="shared" si="36"/>
        <v>0</v>
      </c>
      <c r="D93" s="249" t="s">
        <v>336</v>
      </c>
      <c r="E93" s="237" t="s">
        <v>112</v>
      </c>
      <c r="F93" s="250"/>
      <c r="G93" s="246">
        <f t="shared" ref="G93:S93" si="42">G64*G$84</f>
        <v>0</v>
      </c>
      <c r="H93" s="246">
        <f t="shared" si="42"/>
        <v>0</v>
      </c>
      <c r="I93" s="246">
        <f t="shared" si="42"/>
        <v>0</v>
      </c>
      <c r="J93" s="246">
        <f t="shared" si="42"/>
        <v>0</v>
      </c>
      <c r="K93" s="246">
        <f t="shared" si="42"/>
        <v>0</v>
      </c>
      <c r="L93" s="246">
        <f t="shared" si="42"/>
        <v>0</v>
      </c>
      <c r="M93" s="246">
        <f t="shared" si="42"/>
        <v>0</v>
      </c>
      <c r="N93" s="246">
        <f t="shared" si="42"/>
        <v>0</v>
      </c>
      <c r="O93" s="246">
        <f t="shared" si="42"/>
        <v>0</v>
      </c>
      <c r="P93" s="246">
        <f t="shared" si="42"/>
        <v>0</v>
      </c>
      <c r="Q93" s="246">
        <f t="shared" si="42"/>
        <v>0</v>
      </c>
      <c r="R93" s="246">
        <f t="shared" si="42"/>
        <v>0</v>
      </c>
      <c r="S93" s="246">
        <f t="shared" si="42"/>
        <v>0</v>
      </c>
      <c r="T93" s="246"/>
      <c r="U93" s="246"/>
    </row>
    <row r="94" spans="1:21" ht="12.5">
      <c r="C94" s="248">
        <f t="shared" si="36"/>
        <v>3417.6269184381795</v>
      </c>
      <c r="D94" s="249" t="s">
        <v>90</v>
      </c>
      <c r="E94" s="237" t="s">
        <v>112</v>
      </c>
      <c r="F94" s="250"/>
      <c r="G94" s="246">
        <f t="shared" ref="G94:S94" si="43">G65*G$84</f>
        <v>0</v>
      </c>
      <c r="H94" s="246">
        <f t="shared" si="43"/>
        <v>0</v>
      </c>
      <c r="I94" s="246">
        <f t="shared" si="43"/>
        <v>312.12</v>
      </c>
      <c r="J94" s="246">
        <f t="shared" si="43"/>
        <v>318.36239999999998</v>
      </c>
      <c r="K94" s="246">
        <f t="shared" si="43"/>
        <v>324.729648</v>
      </c>
      <c r="L94" s="246">
        <f t="shared" si="43"/>
        <v>331.22424096000003</v>
      </c>
      <c r="M94" s="246">
        <f t="shared" si="43"/>
        <v>337.84872577920004</v>
      </c>
      <c r="N94" s="246">
        <f t="shared" si="43"/>
        <v>344.60570029478396</v>
      </c>
      <c r="O94" s="246">
        <f t="shared" si="43"/>
        <v>351.49781430067964</v>
      </c>
      <c r="P94" s="246">
        <f t="shared" si="43"/>
        <v>358.52777058669324</v>
      </c>
      <c r="Q94" s="246">
        <f t="shared" si="43"/>
        <v>365.69832599842715</v>
      </c>
      <c r="R94" s="246">
        <f t="shared" si="43"/>
        <v>373.01229251839561</v>
      </c>
      <c r="S94" s="246">
        <f t="shared" si="43"/>
        <v>0</v>
      </c>
      <c r="T94" s="246"/>
      <c r="U94" s="246"/>
    </row>
    <row r="95" spans="1:21" ht="12.5">
      <c r="C95" s="248">
        <f t="shared" si="36"/>
        <v>63.412089728127263</v>
      </c>
      <c r="D95" s="249" t="s">
        <v>91</v>
      </c>
      <c r="E95" s="237" t="s">
        <v>112</v>
      </c>
      <c r="F95" s="250"/>
      <c r="G95" s="246">
        <f t="shared" ref="G95:S95" si="44">G66*G$84</f>
        <v>0</v>
      </c>
      <c r="H95" s="246">
        <f t="shared" si="44"/>
        <v>0</v>
      </c>
      <c r="I95" s="246">
        <f t="shared" si="44"/>
        <v>0</v>
      </c>
      <c r="J95" s="246">
        <f t="shared" si="44"/>
        <v>0</v>
      </c>
      <c r="K95" s="246">
        <f t="shared" si="44"/>
        <v>0</v>
      </c>
      <c r="L95" s="246">
        <f t="shared" si="44"/>
        <v>0</v>
      </c>
      <c r="M95" s="246">
        <f t="shared" si="44"/>
        <v>0</v>
      </c>
      <c r="N95" s="246">
        <f t="shared" si="44"/>
        <v>0</v>
      </c>
      <c r="O95" s="246">
        <f t="shared" si="44"/>
        <v>0</v>
      </c>
      <c r="P95" s="246">
        <f t="shared" si="44"/>
        <v>0</v>
      </c>
      <c r="Q95" s="246">
        <f t="shared" si="44"/>
        <v>0</v>
      </c>
      <c r="R95" s="246">
        <f t="shared" si="44"/>
        <v>0</v>
      </c>
      <c r="S95" s="246">
        <f t="shared" si="44"/>
        <v>63.412089728127263</v>
      </c>
      <c r="T95" s="246"/>
      <c r="U95" s="246"/>
    </row>
    <row r="96" spans="1:21" ht="12.5">
      <c r="C96" s="248">
        <f t="shared" si="36"/>
        <v>3813.4590081663073</v>
      </c>
      <c r="D96" s="249" t="s">
        <v>98</v>
      </c>
      <c r="E96" s="237" t="s">
        <v>112</v>
      </c>
      <c r="F96" s="250"/>
      <c r="G96" s="246">
        <f>SUM(G90:G95)</f>
        <v>311</v>
      </c>
      <c r="H96" s="246">
        <f t="shared" ref="H96:S96" si="45">SUM(H90:H95)</f>
        <v>21.42</v>
      </c>
      <c r="I96" s="246">
        <f t="shared" si="45"/>
        <v>312.12</v>
      </c>
      <c r="J96" s="246">
        <f t="shared" si="45"/>
        <v>318.36239999999998</v>
      </c>
      <c r="K96" s="246">
        <f t="shared" si="45"/>
        <v>324.729648</v>
      </c>
      <c r="L96" s="246">
        <f t="shared" si="45"/>
        <v>331.22424096000003</v>
      </c>
      <c r="M96" s="246">
        <f t="shared" si="45"/>
        <v>337.84872577920004</v>
      </c>
      <c r="N96" s="246">
        <f t="shared" si="45"/>
        <v>344.60570029478396</v>
      </c>
      <c r="O96" s="246">
        <f t="shared" si="45"/>
        <v>351.49781430067964</v>
      </c>
      <c r="P96" s="246">
        <f t="shared" si="45"/>
        <v>358.52777058669324</v>
      </c>
      <c r="Q96" s="246">
        <f t="shared" si="45"/>
        <v>365.69832599842715</v>
      </c>
      <c r="R96" s="246">
        <f t="shared" si="45"/>
        <v>373.01229251839561</v>
      </c>
      <c r="S96" s="246">
        <f t="shared" si="45"/>
        <v>63.412089728127263</v>
      </c>
      <c r="T96" s="246"/>
      <c r="U96" s="246"/>
    </row>
    <row r="97" spans="1:21" ht="13" thickBot="1">
      <c r="A97" s="253" t="b">
        <f>ROUND(C97-(C89-SUM(C90:C95)),5)=0</f>
        <v>1</v>
      </c>
      <c r="C97" s="248">
        <f t="shared" si="36"/>
        <v>4779.594273760089</v>
      </c>
      <c r="D97" s="254" t="s">
        <v>276</v>
      </c>
      <c r="E97" s="255" t="s">
        <v>112</v>
      </c>
      <c r="F97" s="256"/>
      <c r="G97" s="257">
        <f>G89-G96</f>
        <v>-311</v>
      </c>
      <c r="H97" s="257">
        <f t="shared" ref="H97:S97" si="46">H89-H96</f>
        <v>-21.42</v>
      </c>
      <c r="I97" s="257">
        <f t="shared" si="46"/>
        <v>472.65371999999991</v>
      </c>
      <c r="J97" s="257">
        <f t="shared" si="46"/>
        <v>482.1067943999999</v>
      </c>
      <c r="K97" s="257">
        <f t="shared" si="46"/>
        <v>491.74893028799988</v>
      </c>
      <c r="L97" s="257">
        <f t="shared" si="46"/>
        <v>501.58390889375988</v>
      </c>
      <c r="M97" s="257">
        <f t="shared" si="46"/>
        <v>511.61558707163516</v>
      </c>
      <c r="N97" s="257">
        <f t="shared" si="46"/>
        <v>521.84789881306779</v>
      </c>
      <c r="O97" s="257">
        <f t="shared" si="46"/>
        <v>532.2848567893293</v>
      </c>
      <c r="P97" s="257">
        <f t="shared" si="46"/>
        <v>542.93055392511576</v>
      </c>
      <c r="Q97" s="257">
        <f t="shared" si="46"/>
        <v>553.78916500361811</v>
      </c>
      <c r="R97" s="257">
        <f t="shared" si="46"/>
        <v>564.86494830369031</v>
      </c>
      <c r="S97" s="257">
        <f t="shared" si="46"/>
        <v>-63.412089728127263</v>
      </c>
      <c r="T97" s="257"/>
      <c r="U97" s="257"/>
    </row>
    <row r="98" spans="1:21" ht="13" thickTop="1">
      <c r="C98" s="265"/>
      <c r="D98" s="249"/>
      <c r="E98" s="237"/>
      <c r="F98" s="250"/>
      <c r="G98" s="246"/>
      <c r="H98" s="246"/>
      <c r="I98" s="246"/>
      <c r="J98" s="246"/>
      <c r="K98" s="246"/>
      <c r="L98" s="246"/>
      <c r="M98" s="246"/>
      <c r="N98" s="246"/>
      <c r="O98" s="246"/>
      <c r="P98" s="246"/>
      <c r="Q98" s="246"/>
      <c r="R98" s="246"/>
      <c r="S98" s="246"/>
      <c r="T98" s="246"/>
      <c r="U98" s="246"/>
    </row>
    <row r="99" spans="1:21" ht="12.5">
      <c r="C99" s="260">
        <f>IFERROR(IRR($G97:U97),0)</f>
        <v>0.82143273231601865</v>
      </c>
      <c r="D99" s="249" t="s">
        <v>114</v>
      </c>
      <c r="E99" s="237" t="s">
        <v>17</v>
      </c>
      <c r="F99" s="250"/>
      <c r="G99" s="110" t="str">
        <f>IFERROR(IRR($G97:G97),"--")</f>
        <v>--</v>
      </c>
      <c r="H99" s="110" t="str">
        <f>IFERROR(IRR($G97:H97),"--")</f>
        <v>--</v>
      </c>
      <c r="I99" s="110">
        <f>IFERROR(IRR($G97:I97),"--")</f>
        <v>0.19883996443533491</v>
      </c>
      <c r="J99" s="110">
        <f>IFERROR(IRR($G97:J97),"--")</f>
        <v>0.55279082537271851</v>
      </c>
      <c r="K99" s="110">
        <f>IFERROR(IRR($G97:K97),"--")</f>
        <v>0.69391072359968953</v>
      </c>
      <c r="L99" s="110">
        <f>IFERROR(IRR($G97:L97),"--")</f>
        <v>0.75768874164487232</v>
      </c>
      <c r="M99" s="110">
        <f>IFERROR(IRR($G97:M97),"--")</f>
        <v>0.7887957624644919</v>
      </c>
      <c r="N99" s="110">
        <f>IFERROR(IRR($G97:N97),"--")</f>
        <v>0.80472132121479611</v>
      </c>
      <c r="O99" s="110">
        <f>IFERROR(IRR($G97:O97),"--")</f>
        <v>0.81313460047818586</v>
      </c>
      <c r="P99" s="110">
        <f>IFERROR(IRR($G97:P97),"--")</f>
        <v>0.81767112985189305</v>
      </c>
      <c r="Q99" s="110">
        <f>IFERROR(IRR($G97:Q97),"--")</f>
        <v>0.82015009039708575</v>
      </c>
      <c r="R99" s="110">
        <f>IFERROR(IRR($G97:R97),"--")</f>
        <v>0.82151644453955464</v>
      </c>
      <c r="S99" s="110">
        <f>IFERROR(IRR($G97:S97),"--")</f>
        <v>0.82143273231601865</v>
      </c>
      <c r="T99" s="111"/>
      <c r="U99" s="111"/>
    </row>
    <row r="100" spans="1:21" ht="12.5">
      <c r="C100" s="261">
        <f>NPV($F$32,$H$97:$U$97)+$G$97</f>
        <v>2496.1203169802002</v>
      </c>
      <c r="D100" s="249" t="str">
        <f>"Project pre-tax cash flows NPV"&amp;$F$32*100</f>
        <v>Project pre-tax cash flows NPV10</v>
      </c>
      <c r="E100" s="237" t="s">
        <v>112</v>
      </c>
      <c r="F100" s="250"/>
      <c r="G100" s="111"/>
      <c r="H100" s="111"/>
      <c r="I100" s="111"/>
      <c r="J100" s="111"/>
      <c r="K100" s="111"/>
      <c r="L100" s="111"/>
      <c r="M100" s="111"/>
      <c r="N100" s="111"/>
      <c r="O100" s="111"/>
      <c r="P100" s="111"/>
      <c r="Q100" s="111"/>
      <c r="R100" s="111"/>
      <c r="S100" s="111"/>
      <c r="T100" s="111"/>
      <c r="U100" s="111"/>
    </row>
    <row r="101" spans="1:21" ht="15" customHeight="1"/>
    <row r="102" spans="1:21" s="416" customFormat="1" ht="30" customHeight="1">
      <c r="A102" s="415" t="s">
        <v>115</v>
      </c>
    </row>
    <row r="103" spans="1:21" ht="11.25" customHeight="1">
      <c r="C103" s="248"/>
      <c r="D103" s="213"/>
      <c r="E103" s="237"/>
      <c r="G103" s="246"/>
      <c r="H103" s="246"/>
      <c r="I103" s="246"/>
      <c r="J103" s="246"/>
      <c r="K103" s="246"/>
      <c r="L103" s="246"/>
      <c r="M103" s="246"/>
      <c r="N103" s="246"/>
      <c r="O103" s="246"/>
      <c r="P103" s="246"/>
      <c r="Q103" s="246"/>
      <c r="R103" s="246"/>
      <c r="S103" s="246"/>
      <c r="T103" s="246"/>
      <c r="U103" s="246"/>
    </row>
    <row r="104" spans="1:21" ht="15" customHeight="1">
      <c r="C104" s="69" t="s">
        <v>83</v>
      </c>
      <c r="D104" s="231" t="s">
        <v>116</v>
      </c>
    </row>
    <row r="105" spans="1:21" ht="15" customHeight="1">
      <c r="C105" s="248">
        <f>SUM(G105:S105)</f>
        <v>13</v>
      </c>
      <c r="D105" s="213" t="s">
        <v>117</v>
      </c>
      <c r="E105" s="237" t="s">
        <v>32</v>
      </c>
      <c r="G105" s="246">
        <f t="shared" ref="G105:S105" si="47">G40*(G106&gt;0)</f>
        <v>0</v>
      </c>
      <c r="H105" s="246">
        <f t="shared" si="47"/>
        <v>0</v>
      </c>
      <c r="I105" s="246">
        <f t="shared" si="47"/>
        <v>0</v>
      </c>
      <c r="J105" s="246">
        <f t="shared" si="47"/>
        <v>0</v>
      </c>
      <c r="K105" s="246">
        <f t="shared" si="47"/>
        <v>0</v>
      </c>
      <c r="L105" s="246">
        <f t="shared" si="47"/>
        <v>0</v>
      </c>
      <c r="M105" s="246">
        <f t="shared" si="47"/>
        <v>0</v>
      </c>
      <c r="N105" s="246">
        <f t="shared" si="47"/>
        <v>0</v>
      </c>
      <c r="O105" s="246">
        <f t="shared" si="47"/>
        <v>0</v>
      </c>
      <c r="P105" s="246">
        <f t="shared" si="47"/>
        <v>0</v>
      </c>
      <c r="Q105" s="246">
        <f t="shared" si="47"/>
        <v>0</v>
      </c>
      <c r="R105" s="246">
        <f t="shared" si="47"/>
        <v>0</v>
      </c>
      <c r="S105" s="246">
        <f t="shared" si="47"/>
        <v>13</v>
      </c>
      <c r="T105" s="246"/>
      <c r="U105" s="246"/>
    </row>
    <row r="106" spans="1:21" ht="15" customHeight="1">
      <c r="C106" s="248">
        <f t="shared" ref="C106:C107" si="48">SUM(G106:S106)</f>
        <v>63.412089728127263</v>
      </c>
      <c r="D106" s="213" t="s">
        <v>118</v>
      </c>
      <c r="E106" s="237" t="s">
        <v>112</v>
      </c>
      <c r="G106" s="246">
        <f>G95</f>
        <v>0</v>
      </c>
      <c r="H106" s="246">
        <f t="shared" ref="H106:S106" si="49">H95</f>
        <v>0</v>
      </c>
      <c r="I106" s="246">
        <f t="shared" si="49"/>
        <v>0</v>
      </c>
      <c r="J106" s="246">
        <f t="shared" si="49"/>
        <v>0</v>
      </c>
      <c r="K106" s="246">
        <f t="shared" si="49"/>
        <v>0</v>
      </c>
      <c r="L106" s="246">
        <f t="shared" si="49"/>
        <v>0</v>
      </c>
      <c r="M106" s="246">
        <f t="shared" si="49"/>
        <v>0</v>
      </c>
      <c r="N106" s="246">
        <f t="shared" si="49"/>
        <v>0</v>
      </c>
      <c r="O106" s="246">
        <f t="shared" si="49"/>
        <v>0</v>
      </c>
      <c r="P106" s="246">
        <f t="shared" si="49"/>
        <v>0</v>
      </c>
      <c r="Q106" s="246">
        <f t="shared" si="49"/>
        <v>0</v>
      </c>
      <c r="R106" s="246">
        <f t="shared" si="49"/>
        <v>0</v>
      </c>
      <c r="S106" s="246">
        <f t="shared" si="49"/>
        <v>63.412089728127263</v>
      </c>
      <c r="T106" s="246"/>
      <c r="U106" s="246"/>
    </row>
    <row r="107" spans="1:21" ht="15" customHeight="1">
      <c r="C107" s="248">
        <f t="shared" si="48"/>
        <v>50</v>
      </c>
      <c r="D107" s="213" t="s">
        <v>119</v>
      </c>
      <c r="E107" s="237" t="s">
        <v>12</v>
      </c>
      <c r="G107" s="246">
        <f t="shared" ref="G107:S107" si="50">G106/G84</f>
        <v>0</v>
      </c>
      <c r="H107" s="246">
        <f t="shared" si="50"/>
        <v>0</v>
      </c>
      <c r="I107" s="246">
        <f t="shared" si="50"/>
        <v>0</v>
      </c>
      <c r="J107" s="246">
        <f t="shared" si="50"/>
        <v>0</v>
      </c>
      <c r="K107" s="246">
        <f t="shared" si="50"/>
        <v>0</v>
      </c>
      <c r="L107" s="246">
        <f t="shared" si="50"/>
        <v>0</v>
      </c>
      <c r="M107" s="246">
        <f t="shared" si="50"/>
        <v>0</v>
      </c>
      <c r="N107" s="246">
        <f t="shared" si="50"/>
        <v>0</v>
      </c>
      <c r="O107" s="246">
        <f t="shared" si="50"/>
        <v>0</v>
      </c>
      <c r="P107" s="246">
        <f t="shared" si="50"/>
        <v>0</v>
      </c>
      <c r="Q107" s="246">
        <f t="shared" si="50"/>
        <v>0</v>
      </c>
      <c r="R107" s="246">
        <f t="shared" si="50"/>
        <v>0</v>
      </c>
      <c r="S107" s="246">
        <f t="shared" si="50"/>
        <v>50</v>
      </c>
      <c r="T107" s="246"/>
      <c r="U107" s="246"/>
    </row>
    <row r="108" spans="1:21" ht="15" customHeight="1">
      <c r="C108" s="248"/>
      <c r="D108" s="213" t="s">
        <v>278</v>
      </c>
      <c r="E108" s="237" t="s">
        <v>112</v>
      </c>
      <c r="G108" s="246">
        <f t="shared" ref="G108:S108" si="51">$C$107*G84*(G40&lt;=$C$105)*(1+$F$34)</f>
        <v>51</v>
      </c>
      <c r="H108" s="246">
        <f t="shared" si="51"/>
        <v>52.02</v>
      </c>
      <c r="I108" s="246">
        <f t="shared" si="51"/>
        <v>53.060399999999994</v>
      </c>
      <c r="J108" s="246">
        <f t="shared" si="51"/>
        <v>54.121607999999995</v>
      </c>
      <c r="K108" s="246">
        <f t="shared" si="51"/>
        <v>55.204040160000005</v>
      </c>
      <c r="L108" s="246">
        <f t="shared" si="51"/>
        <v>56.308120963199997</v>
      </c>
      <c r="M108" s="246">
        <f t="shared" si="51"/>
        <v>57.434283382464002</v>
      </c>
      <c r="N108" s="246">
        <f t="shared" si="51"/>
        <v>58.58296905011327</v>
      </c>
      <c r="O108" s="246">
        <f t="shared" si="51"/>
        <v>59.754628431115542</v>
      </c>
      <c r="P108" s="246">
        <f t="shared" si="51"/>
        <v>60.949720999737856</v>
      </c>
      <c r="Q108" s="246">
        <f t="shared" si="51"/>
        <v>62.168715419732614</v>
      </c>
      <c r="R108" s="246">
        <f t="shared" si="51"/>
        <v>63.412089728127249</v>
      </c>
      <c r="S108" s="246">
        <f t="shared" si="51"/>
        <v>64.680331522689812</v>
      </c>
      <c r="T108" s="246"/>
      <c r="U108" s="246"/>
    </row>
    <row r="109" spans="1:21" ht="15" customHeight="1">
      <c r="C109" s="248"/>
      <c r="D109" s="213"/>
      <c r="E109" s="237"/>
      <c r="G109" s="246"/>
      <c r="H109" s="246"/>
      <c r="I109" s="246"/>
      <c r="J109" s="246"/>
      <c r="K109" s="246"/>
      <c r="L109" s="246"/>
      <c r="M109" s="246"/>
      <c r="N109" s="246"/>
      <c r="O109" s="246"/>
      <c r="P109" s="246"/>
      <c r="Q109" s="246"/>
      <c r="R109" s="246"/>
      <c r="S109" s="246"/>
      <c r="T109" s="246"/>
      <c r="U109" s="246"/>
    </row>
    <row r="110" spans="1:21" ht="15" customHeight="1">
      <c r="C110" s="248"/>
      <c r="D110" s="213" t="s">
        <v>121</v>
      </c>
      <c r="E110" s="237" t="s">
        <v>17</v>
      </c>
      <c r="G110" s="111">
        <f>SUM($G$41:G41)/$C$41</f>
        <v>0</v>
      </c>
      <c r="H110" s="111">
        <f>SUM($G$41:H41)/$C$41</f>
        <v>0</v>
      </c>
      <c r="I110" s="111">
        <f>SUM($G$41:I41)/$C$41</f>
        <v>0.1</v>
      </c>
      <c r="J110" s="111">
        <f>SUM($G$41:J41)/$C$41</f>
        <v>0.2</v>
      </c>
      <c r="K110" s="111">
        <f>SUM($G$41:K41)/$C$41</f>
        <v>0.3</v>
      </c>
      <c r="L110" s="111">
        <f>SUM($G$41:L41)/$C$41</f>
        <v>0.4</v>
      </c>
      <c r="M110" s="111">
        <f>SUM($G$41:M41)/$C$41</f>
        <v>0.5</v>
      </c>
      <c r="N110" s="111">
        <f>SUM($G$41:N41)/$C$41</f>
        <v>0.6</v>
      </c>
      <c r="O110" s="111">
        <f>SUM($G$41:O41)/$C$41</f>
        <v>0.7</v>
      </c>
      <c r="P110" s="111">
        <f>SUM($G$41:P41)/$C$41</f>
        <v>0.8</v>
      </c>
      <c r="Q110" s="111">
        <f>SUM($G$41:Q41)/$C$41</f>
        <v>0.9</v>
      </c>
      <c r="R110" s="111">
        <f>SUM($G$41:R41)/$C$41</f>
        <v>1</v>
      </c>
      <c r="S110" s="111">
        <f>SUM($G$41:S41)/$C$41</f>
        <v>1</v>
      </c>
      <c r="T110" s="246"/>
      <c r="U110" s="246"/>
    </row>
    <row r="111" spans="1:21" ht="15" customHeight="1">
      <c r="C111" s="248"/>
      <c r="D111" s="213" t="s">
        <v>122</v>
      </c>
      <c r="E111" s="237" t="s">
        <v>265</v>
      </c>
      <c r="G111" s="246">
        <f>$C$41-SUM($G$41:G41)</f>
        <v>3800</v>
      </c>
      <c r="H111" s="246">
        <f>$C$41-SUM($G$41:H41)</f>
        <v>3800</v>
      </c>
      <c r="I111" s="246">
        <f>$C$41-SUM($G$41:I41)</f>
        <v>3420</v>
      </c>
      <c r="J111" s="246">
        <f>$C$41-SUM($G$41:J41)</f>
        <v>3040</v>
      </c>
      <c r="K111" s="246">
        <f>$C$41-SUM($G$41:K41)</f>
        <v>2660</v>
      </c>
      <c r="L111" s="246">
        <f>$C$41-SUM($G$41:L41)</f>
        <v>2280</v>
      </c>
      <c r="M111" s="246">
        <f>$C$41-SUM($G$41:M41)</f>
        <v>1900</v>
      </c>
      <c r="N111" s="246">
        <f>$C$41-SUM($G$41:N41)</f>
        <v>1520</v>
      </c>
      <c r="O111" s="246">
        <f>$C$41-SUM($G$41:O41)</f>
        <v>1140</v>
      </c>
      <c r="P111" s="246">
        <f>$C$41-SUM($G$41:P41)</f>
        <v>760</v>
      </c>
      <c r="Q111" s="246">
        <f>$C$41-SUM($G$41:Q41)</f>
        <v>380</v>
      </c>
      <c r="R111" s="246">
        <f>$C$41-SUM($G$41:R41)</f>
        <v>0</v>
      </c>
      <c r="S111" s="246">
        <f>$C$41-SUM($G$41:S41)</f>
        <v>0</v>
      </c>
      <c r="T111" s="246"/>
      <c r="U111" s="246"/>
    </row>
    <row r="112" spans="1:21" ht="15" customHeight="1">
      <c r="C112" s="248"/>
      <c r="D112" s="213" t="s">
        <v>123</v>
      </c>
      <c r="E112" s="237" t="s">
        <v>124</v>
      </c>
      <c r="G112" s="246">
        <f t="shared" ref="G112:S112" si="52">1*(G110&gt;$F$12)*(G41&gt;0)</f>
        <v>0</v>
      </c>
      <c r="H112" s="246">
        <f t="shared" si="52"/>
        <v>0</v>
      </c>
      <c r="I112" s="246">
        <f t="shared" si="52"/>
        <v>0</v>
      </c>
      <c r="J112" s="246">
        <f t="shared" si="52"/>
        <v>0</v>
      </c>
      <c r="K112" s="246">
        <f t="shared" si="52"/>
        <v>0</v>
      </c>
      <c r="L112" s="246">
        <f t="shared" si="52"/>
        <v>0</v>
      </c>
      <c r="M112" s="246">
        <f t="shared" si="52"/>
        <v>0</v>
      </c>
      <c r="N112" s="246">
        <f t="shared" si="52"/>
        <v>0</v>
      </c>
      <c r="O112" s="246">
        <f t="shared" si="52"/>
        <v>1</v>
      </c>
      <c r="P112" s="246">
        <f t="shared" si="52"/>
        <v>1</v>
      </c>
      <c r="Q112" s="246">
        <f t="shared" si="52"/>
        <v>1</v>
      </c>
      <c r="R112" s="246">
        <f t="shared" si="52"/>
        <v>1</v>
      </c>
      <c r="S112" s="246">
        <f t="shared" si="52"/>
        <v>0</v>
      </c>
      <c r="T112" s="246"/>
      <c r="U112" s="246"/>
    </row>
    <row r="113" spans="1:21" ht="15" customHeight="1">
      <c r="C113" s="248">
        <f t="shared" ref="C113:C118" si="53">SUM(G113:S113)</f>
        <v>1520</v>
      </c>
      <c r="D113" s="213" t="s">
        <v>125</v>
      </c>
      <c r="E113" s="237" t="s">
        <v>265</v>
      </c>
      <c r="G113" s="246">
        <f t="shared" ref="G113:S113" si="54">G112*G41</f>
        <v>0</v>
      </c>
      <c r="H113" s="246">
        <f t="shared" si="54"/>
        <v>0</v>
      </c>
      <c r="I113" s="246">
        <f t="shared" si="54"/>
        <v>0</v>
      </c>
      <c r="J113" s="246">
        <f t="shared" si="54"/>
        <v>0</v>
      </c>
      <c r="K113" s="246">
        <f t="shared" si="54"/>
        <v>0</v>
      </c>
      <c r="L113" s="246">
        <f t="shared" si="54"/>
        <v>0</v>
      </c>
      <c r="M113" s="246">
        <f t="shared" si="54"/>
        <v>0</v>
      </c>
      <c r="N113" s="246">
        <f t="shared" si="54"/>
        <v>0</v>
      </c>
      <c r="O113" s="246">
        <f t="shared" si="54"/>
        <v>380</v>
      </c>
      <c r="P113" s="246">
        <f t="shared" si="54"/>
        <v>380</v>
      </c>
      <c r="Q113" s="246">
        <f t="shared" si="54"/>
        <v>380</v>
      </c>
      <c r="R113" s="246">
        <f t="shared" si="54"/>
        <v>380</v>
      </c>
      <c r="S113" s="246">
        <f t="shared" si="54"/>
        <v>0</v>
      </c>
      <c r="T113" s="246"/>
      <c r="U113" s="246"/>
    </row>
    <row r="114" spans="1:21" ht="15" customHeight="1">
      <c r="C114" s="248">
        <f t="shared" si="53"/>
        <v>3800</v>
      </c>
      <c r="D114" s="213" t="s">
        <v>126</v>
      </c>
      <c r="E114" s="237" t="s">
        <v>265</v>
      </c>
      <c r="G114" s="246">
        <f>(G113+F114)*G112</f>
        <v>0</v>
      </c>
      <c r="H114" s="246">
        <f t="shared" ref="H114:S114" si="55">(H113+G114)*H112</f>
        <v>0</v>
      </c>
      <c r="I114" s="246">
        <f t="shared" si="55"/>
        <v>0</v>
      </c>
      <c r="J114" s="246">
        <f t="shared" si="55"/>
        <v>0</v>
      </c>
      <c r="K114" s="246">
        <f t="shared" si="55"/>
        <v>0</v>
      </c>
      <c r="L114" s="246">
        <f t="shared" si="55"/>
        <v>0</v>
      </c>
      <c r="M114" s="246">
        <f t="shared" si="55"/>
        <v>0</v>
      </c>
      <c r="N114" s="246">
        <f t="shared" si="55"/>
        <v>0</v>
      </c>
      <c r="O114" s="246">
        <f t="shared" si="55"/>
        <v>380</v>
      </c>
      <c r="P114" s="246">
        <f t="shared" si="55"/>
        <v>760</v>
      </c>
      <c r="Q114" s="246">
        <f t="shared" si="55"/>
        <v>1140</v>
      </c>
      <c r="R114" s="246">
        <f t="shared" si="55"/>
        <v>1520</v>
      </c>
      <c r="S114" s="246">
        <f t="shared" si="55"/>
        <v>0</v>
      </c>
      <c r="T114" s="246"/>
      <c r="U114" s="246"/>
    </row>
    <row r="115" spans="1:21" ht="15" customHeight="1">
      <c r="C115" s="248">
        <f t="shared" si="53"/>
        <v>154.84862215342025</v>
      </c>
      <c r="D115" s="213" t="s">
        <v>127</v>
      </c>
      <c r="E115" s="237" t="s">
        <v>112</v>
      </c>
      <c r="G115" s="246">
        <f>F119</f>
        <v>0</v>
      </c>
      <c r="H115" s="246">
        <f t="shared" ref="H115:S115" si="56">G119</f>
        <v>0</v>
      </c>
      <c r="I115" s="246">
        <f t="shared" si="56"/>
        <v>0</v>
      </c>
      <c r="J115" s="246">
        <f t="shared" si="56"/>
        <v>0</v>
      </c>
      <c r="K115" s="246">
        <f t="shared" si="56"/>
        <v>0</v>
      </c>
      <c r="L115" s="246">
        <f t="shared" si="56"/>
        <v>0</v>
      </c>
      <c r="M115" s="246">
        <f t="shared" si="56"/>
        <v>0</v>
      </c>
      <c r="N115" s="246">
        <f t="shared" si="56"/>
        <v>0</v>
      </c>
      <c r="O115" s="246">
        <f t="shared" si="56"/>
        <v>0</v>
      </c>
      <c r="P115" s="246">
        <f t="shared" si="56"/>
        <v>14.938657107778885</v>
      </c>
      <c r="Q115" s="246">
        <f t="shared" si="56"/>
        <v>30.275678405098539</v>
      </c>
      <c r="R115" s="246">
        <f t="shared" si="56"/>
        <v>46.222196912415576</v>
      </c>
      <c r="S115" s="246">
        <f t="shared" si="56"/>
        <v>63.412089728127249</v>
      </c>
      <c r="T115" s="246"/>
      <c r="U115" s="246"/>
    </row>
    <row r="116" spans="1:21" ht="15" customHeight="1">
      <c r="C116" s="248">
        <f t="shared" si="53"/>
        <v>63.412089728127249</v>
      </c>
      <c r="D116" s="213" t="s">
        <v>128</v>
      </c>
      <c r="E116" s="237" t="s">
        <v>112</v>
      </c>
      <c r="G116" s="246">
        <f>IF(G112&lt;&gt;0,(G108-G115)*IFERROR(G113/F111,1)*($F$11="yes"),0)</f>
        <v>0</v>
      </c>
      <c r="H116" s="246">
        <f t="shared" ref="H116:S116" si="57">IF(H112&lt;&gt;0,(H108-H115)*IFERROR(H113/G111,1)*($F$11="yes"),0)</f>
        <v>0</v>
      </c>
      <c r="I116" s="246">
        <f t="shared" si="57"/>
        <v>0</v>
      </c>
      <c r="J116" s="246">
        <f t="shared" si="57"/>
        <v>0</v>
      </c>
      <c r="K116" s="246">
        <f t="shared" si="57"/>
        <v>0</v>
      </c>
      <c r="L116" s="246">
        <f t="shared" si="57"/>
        <v>0</v>
      </c>
      <c r="M116" s="246">
        <f t="shared" si="57"/>
        <v>0</v>
      </c>
      <c r="N116" s="246">
        <f t="shared" si="57"/>
        <v>0</v>
      </c>
      <c r="O116" s="246">
        <f t="shared" si="57"/>
        <v>14.938657107778885</v>
      </c>
      <c r="P116" s="246">
        <f t="shared" si="57"/>
        <v>15.337021297319655</v>
      </c>
      <c r="Q116" s="246">
        <f t="shared" si="57"/>
        <v>15.946518507317037</v>
      </c>
      <c r="R116" s="246">
        <f t="shared" si="57"/>
        <v>17.189892815711673</v>
      </c>
      <c r="S116" s="246">
        <f t="shared" si="57"/>
        <v>0</v>
      </c>
      <c r="T116" s="246"/>
      <c r="U116" s="246"/>
    </row>
    <row r="117" spans="1:21" ht="15" customHeight="1">
      <c r="C117" s="248">
        <f t="shared" si="53"/>
        <v>-63.412089728127249</v>
      </c>
      <c r="D117" s="213" t="s">
        <v>129</v>
      </c>
      <c r="E117" s="237" t="s">
        <v>112</v>
      </c>
      <c r="G117" s="246">
        <f>MIN(G106,F119)*-1</f>
        <v>0</v>
      </c>
      <c r="H117" s="246">
        <f t="shared" ref="H117:S117" si="58">MIN(H106,G119)*-1</f>
        <v>0</v>
      </c>
      <c r="I117" s="246">
        <f t="shared" si="58"/>
        <v>0</v>
      </c>
      <c r="J117" s="246">
        <f t="shared" si="58"/>
        <v>0</v>
      </c>
      <c r="K117" s="246">
        <f t="shared" si="58"/>
        <v>0</v>
      </c>
      <c r="L117" s="246">
        <f t="shared" si="58"/>
        <v>0</v>
      </c>
      <c r="M117" s="246">
        <f t="shared" si="58"/>
        <v>0</v>
      </c>
      <c r="N117" s="246">
        <f t="shared" si="58"/>
        <v>0</v>
      </c>
      <c r="O117" s="246">
        <f t="shared" si="58"/>
        <v>0</v>
      </c>
      <c r="P117" s="246">
        <f t="shared" si="58"/>
        <v>0</v>
      </c>
      <c r="Q117" s="246">
        <f t="shared" si="58"/>
        <v>0</v>
      </c>
      <c r="R117" s="246">
        <f t="shared" si="58"/>
        <v>0</v>
      </c>
      <c r="S117" s="246">
        <f t="shared" si="58"/>
        <v>-63.412089728127249</v>
      </c>
      <c r="T117" s="246"/>
      <c r="U117" s="246"/>
    </row>
    <row r="118" spans="1:21" ht="15" customHeight="1">
      <c r="C118" s="248">
        <f t="shared" si="53"/>
        <v>0</v>
      </c>
      <c r="D118" s="213" t="s">
        <v>279</v>
      </c>
      <c r="E118" s="237" t="s">
        <v>112</v>
      </c>
      <c r="G118" s="246">
        <f>(G117&lt;&gt;0)*(G115+G117)*-1</f>
        <v>0</v>
      </c>
      <c r="H118" s="246">
        <f t="shared" ref="H118:S118" si="59">(H117&lt;&gt;0)*(H115+H117)*-1</f>
        <v>0</v>
      </c>
      <c r="I118" s="246">
        <f t="shared" si="59"/>
        <v>0</v>
      </c>
      <c r="J118" s="246">
        <f t="shared" si="59"/>
        <v>0</v>
      </c>
      <c r="K118" s="246">
        <f t="shared" si="59"/>
        <v>0</v>
      </c>
      <c r="L118" s="246">
        <f t="shared" si="59"/>
        <v>0</v>
      </c>
      <c r="M118" s="246">
        <f t="shared" si="59"/>
        <v>0</v>
      </c>
      <c r="N118" s="246">
        <f t="shared" si="59"/>
        <v>0</v>
      </c>
      <c r="O118" s="246">
        <f t="shared" si="59"/>
        <v>0</v>
      </c>
      <c r="P118" s="246">
        <f t="shared" si="59"/>
        <v>0</v>
      </c>
      <c r="Q118" s="246">
        <f t="shared" si="59"/>
        <v>0</v>
      </c>
      <c r="R118" s="246">
        <f t="shared" si="59"/>
        <v>0</v>
      </c>
      <c r="S118" s="246">
        <f t="shared" si="59"/>
        <v>0</v>
      </c>
      <c r="T118" s="246"/>
      <c r="U118" s="246"/>
    </row>
    <row r="119" spans="1:21" s="213" customFormat="1" ht="15" customHeight="1">
      <c r="A119" s="229"/>
      <c r="C119" s="248"/>
      <c r="D119" s="213" t="s">
        <v>131</v>
      </c>
      <c r="E119" s="237" t="s">
        <v>112</v>
      </c>
      <c r="G119" s="246">
        <f>SUM(G115:G118)</f>
        <v>0</v>
      </c>
      <c r="H119" s="246">
        <f t="shared" ref="H119:S119" si="60">SUM(H115:H118)</f>
        <v>0</v>
      </c>
      <c r="I119" s="246">
        <f t="shared" si="60"/>
        <v>0</v>
      </c>
      <c r="J119" s="246">
        <f t="shared" si="60"/>
        <v>0</v>
      </c>
      <c r="K119" s="246">
        <f t="shared" si="60"/>
        <v>0</v>
      </c>
      <c r="L119" s="246">
        <f t="shared" si="60"/>
        <v>0</v>
      </c>
      <c r="M119" s="246">
        <f t="shared" si="60"/>
        <v>0</v>
      </c>
      <c r="N119" s="246">
        <f t="shared" si="60"/>
        <v>0</v>
      </c>
      <c r="O119" s="246">
        <f t="shared" si="60"/>
        <v>14.938657107778885</v>
      </c>
      <c r="P119" s="246">
        <f t="shared" si="60"/>
        <v>30.275678405098539</v>
      </c>
      <c r="Q119" s="246">
        <f t="shared" si="60"/>
        <v>46.222196912415576</v>
      </c>
      <c r="R119" s="246">
        <f t="shared" si="60"/>
        <v>63.412089728127249</v>
      </c>
      <c r="S119" s="246">
        <f t="shared" si="60"/>
        <v>0</v>
      </c>
      <c r="T119" s="246"/>
      <c r="U119" s="246"/>
    </row>
    <row r="120" spans="1:21" s="213" customFormat="1" ht="15" customHeight="1">
      <c r="A120" s="229"/>
      <c r="C120" s="248"/>
      <c r="E120" s="237"/>
      <c r="G120" s="246"/>
      <c r="H120" s="246"/>
      <c r="I120" s="246"/>
      <c r="J120" s="246"/>
      <c r="K120" s="246"/>
      <c r="L120" s="246"/>
      <c r="M120" s="246"/>
      <c r="N120" s="246"/>
      <c r="O120" s="246"/>
      <c r="P120" s="246"/>
      <c r="Q120" s="246"/>
      <c r="R120" s="246"/>
      <c r="S120" s="246"/>
      <c r="T120" s="246"/>
      <c r="U120" s="246"/>
    </row>
    <row r="121" spans="1:21" ht="15" customHeight="1">
      <c r="C121" s="207"/>
      <c r="D121" s="266" t="s">
        <v>132</v>
      </c>
      <c r="E121" s="207"/>
      <c r="F121" s="207"/>
      <c r="G121" s="207"/>
      <c r="H121" s="207"/>
      <c r="I121" s="207"/>
      <c r="J121" s="207"/>
      <c r="K121" s="207"/>
      <c r="L121" s="207"/>
      <c r="M121" s="207"/>
      <c r="N121" s="207"/>
      <c r="O121" s="207"/>
      <c r="P121" s="207"/>
      <c r="Q121" s="207"/>
      <c r="R121" s="207"/>
      <c r="S121" s="207"/>
      <c r="T121" s="207"/>
      <c r="U121" s="207"/>
    </row>
    <row r="122" spans="1:21" ht="15" customHeight="1">
      <c r="C122" s="248">
        <f>SUM(G122:U122)</f>
        <v>8657.988193376721</v>
      </c>
      <c r="D122" s="213" t="s">
        <v>96</v>
      </c>
      <c r="E122" s="237" t="s">
        <v>112</v>
      </c>
      <c r="G122" s="267">
        <f>G87</f>
        <v>0</v>
      </c>
      <c r="H122" s="267">
        <f t="shared" ref="H122:S122" si="61">H87</f>
        <v>0</v>
      </c>
      <c r="I122" s="267">
        <f t="shared" si="61"/>
        <v>790.70399999999995</v>
      </c>
      <c r="J122" s="267">
        <f t="shared" si="61"/>
        <v>806.51807999999994</v>
      </c>
      <c r="K122" s="267">
        <f t="shared" si="61"/>
        <v>822.64844159999996</v>
      </c>
      <c r="L122" s="267">
        <f t="shared" si="61"/>
        <v>839.10141043199997</v>
      </c>
      <c r="M122" s="267">
        <f t="shared" si="61"/>
        <v>855.88343864064007</v>
      </c>
      <c r="N122" s="267">
        <f t="shared" si="61"/>
        <v>873.0011074134527</v>
      </c>
      <c r="O122" s="267">
        <f t="shared" si="61"/>
        <v>890.4611295617218</v>
      </c>
      <c r="P122" s="267">
        <f t="shared" si="61"/>
        <v>908.27035215295621</v>
      </c>
      <c r="Q122" s="267">
        <f t="shared" si="61"/>
        <v>926.4357591960154</v>
      </c>
      <c r="R122" s="267">
        <f t="shared" si="61"/>
        <v>944.9644743799355</v>
      </c>
      <c r="S122" s="267">
        <f t="shared" si="61"/>
        <v>0</v>
      </c>
      <c r="T122" s="267"/>
      <c r="U122" s="267"/>
    </row>
    <row r="123" spans="1:21" ht="15" customHeight="1">
      <c r="C123" s="248">
        <f>SUM(G123:U123)</f>
        <v>8593.0532819263954</v>
      </c>
      <c r="D123" s="213" t="s">
        <v>97</v>
      </c>
      <c r="E123" s="237" t="s">
        <v>112</v>
      </c>
      <c r="G123" s="246">
        <f>G89</f>
        <v>0</v>
      </c>
      <c r="H123" s="246">
        <f t="shared" ref="H123:S123" si="62">H89</f>
        <v>0</v>
      </c>
      <c r="I123" s="246">
        <f t="shared" si="62"/>
        <v>784.77371999999991</v>
      </c>
      <c r="J123" s="246">
        <f t="shared" si="62"/>
        <v>800.46919439999988</v>
      </c>
      <c r="K123" s="246">
        <f t="shared" si="62"/>
        <v>816.47857828799988</v>
      </c>
      <c r="L123" s="246">
        <f t="shared" si="62"/>
        <v>832.80814985375991</v>
      </c>
      <c r="M123" s="246">
        <f t="shared" si="62"/>
        <v>849.4643128508352</v>
      </c>
      <c r="N123" s="246">
        <f t="shared" si="62"/>
        <v>866.45359910785169</v>
      </c>
      <c r="O123" s="246">
        <f t="shared" si="62"/>
        <v>883.78267109000888</v>
      </c>
      <c r="P123" s="246">
        <f t="shared" si="62"/>
        <v>901.458324511809</v>
      </c>
      <c r="Q123" s="246">
        <f t="shared" si="62"/>
        <v>919.4874910020452</v>
      </c>
      <c r="R123" s="246">
        <f t="shared" si="62"/>
        <v>937.87724082208592</v>
      </c>
      <c r="S123" s="246">
        <f t="shared" si="62"/>
        <v>0</v>
      </c>
      <c r="T123" s="246"/>
      <c r="U123" s="246"/>
    </row>
    <row r="124" spans="1:21" ht="15" customHeight="1">
      <c r="C124" s="248">
        <f>SUM(G124:U124)</f>
        <v>8657.988193376721</v>
      </c>
      <c r="D124" s="213" t="str">
        <f>"Royalty base: "&amp;$F$10 &amp;" revenue"</f>
        <v>Royalty base: gross revenue</v>
      </c>
      <c r="E124" s="237" t="s">
        <v>112</v>
      </c>
      <c r="G124" s="246">
        <f t="shared" ref="G124:S124" si="63">IF(G75=0,0,IF($F$10="gross",G122,G123))</f>
        <v>0</v>
      </c>
      <c r="H124" s="246">
        <f t="shared" si="63"/>
        <v>0</v>
      </c>
      <c r="I124" s="246">
        <f t="shared" si="63"/>
        <v>790.70399999999995</v>
      </c>
      <c r="J124" s="246">
        <f t="shared" si="63"/>
        <v>806.51807999999994</v>
      </c>
      <c r="K124" s="246">
        <f t="shared" si="63"/>
        <v>822.64844159999996</v>
      </c>
      <c r="L124" s="246">
        <f t="shared" si="63"/>
        <v>839.10141043199997</v>
      </c>
      <c r="M124" s="246">
        <f t="shared" si="63"/>
        <v>855.88343864064007</v>
      </c>
      <c r="N124" s="246">
        <f t="shared" si="63"/>
        <v>873.0011074134527</v>
      </c>
      <c r="O124" s="246">
        <f t="shared" si="63"/>
        <v>890.4611295617218</v>
      </c>
      <c r="P124" s="246">
        <f t="shared" si="63"/>
        <v>908.27035215295621</v>
      </c>
      <c r="Q124" s="246">
        <f t="shared" si="63"/>
        <v>926.4357591960154</v>
      </c>
      <c r="R124" s="246">
        <f t="shared" si="63"/>
        <v>944.9644743799355</v>
      </c>
      <c r="S124" s="246">
        <f t="shared" si="63"/>
        <v>0</v>
      </c>
      <c r="T124" s="246"/>
      <c r="U124" s="246"/>
    </row>
    <row r="125" spans="1:21" ht="15" customHeight="1">
      <c r="C125" s="248">
        <f>SUM(G125:U125)</f>
        <v>432.89940966883609</v>
      </c>
      <c r="D125" s="213" t="s">
        <v>133</v>
      </c>
      <c r="E125" s="237" t="s">
        <v>112</v>
      </c>
      <c r="G125" s="246">
        <f t="shared" ref="G125:S125" si="64">G124*$F$9</f>
        <v>0</v>
      </c>
      <c r="H125" s="246">
        <f t="shared" si="64"/>
        <v>0</v>
      </c>
      <c r="I125" s="246">
        <f t="shared" si="64"/>
        <v>39.535200000000003</v>
      </c>
      <c r="J125" s="246">
        <f t="shared" si="64"/>
        <v>40.325904000000001</v>
      </c>
      <c r="K125" s="246">
        <f t="shared" si="64"/>
        <v>41.132422079999998</v>
      </c>
      <c r="L125" s="246">
        <f t="shared" si="64"/>
        <v>41.9550705216</v>
      </c>
      <c r="M125" s="246">
        <f t="shared" si="64"/>
        <v>42.794171932032008</v>
      </c>
      <c r="N125" s="246">
        <f t="shared" si="64"/>
        <v>43.650055370672639</v>
      </c>
      <c r="O125" s="246">
        <f t="shared" si="64"/>
        <v>44.52305647808609</v>
      </c>
      <c r="P125" s="246">
        <f t="shared" si="64"/>
        <v>45.413517607647812</v>
      </c>
      <c r="Q125" s="246">
        <f t="shared" si="64"/>
        <v>46.321787959800773</v>
      </c>
      <c r="R125" s="246">
        <f t="shared" si="64"/>
        <v>47.248223718996776</v>
      </c>
      <c r="S125" s="246">
        <f t="shared" si="64"/>
        <v>0</v>
      </c>
      <c r="T125" s="246"/>
      <c r="U125" s="246"/>
    </row>
    <row r="126" spans="1:21" ht="15" customHeight="1">
      <c r="C126" s="211"/>
      <c r="D126" s="211"/>
      <c r="E126" s="211"/>
      <c r="F126" s="211"/>
      <c r="G126" s="211"/>
      <c r="H126" s="211"/>
      <c r="I126" s="211"/>
      <c r="J126" s="211"/>
      <c r="K126" s="211"/>
      <c r="L126" s="211"/>
      <c r="M126" s="211"/>
      <c r="N126" s="211"/>
      <c r="O126" s="211"/>
      <c r="P126" s="211"/>
      <c r="Q126" s="211"/>
      <c r="R126" s="211"/>
      <c r="S126" s="211"/>
      <c r="T126" s="211"/>
      <c r="U126" s="211"/>
    </row>
    <row r="127" spans="1:21" ht="15" customHeight="1">
      <c r="C127" s="213"/>
      <c r="D127" s="231" t="s">
        <v>10</v>
      </c>
      <c r="E127" s="213"/>
      <c r="F127" s="213"/>
      <c r="G127" s="213"/>
      <c r="H127" s="213"/>
      <c r="I127" s="213"/>
      <c r="J127" s="213"/>
      <c r="K127" s="213"/>
      <c r="L127" s="213"/>
      <c r="M127" s="213"/>
      <c r="N127" s="213"/>
      <c r="O127" s="213"/>
      <c r="P127" s="213"/>
      <c r="Q127" s="213"/>
      <c r="R127" s="213"/>
      <c r="S127" s="213"/>
      <c r="T127" s="213"/>
      <c r="U127" s="213"/>
    </row>
    <row r="128" spans="1:21" ht="15" customHeight="1">
      <c r="C128" s="248">
        <f>SUM(G128:U128)</f>
        <v>0</v>
      </c>
      <c r="D128" s="213" t="s">
        <v>251</v>
      </c>
      <c r="E128" s="237" t="s">
        <v>112</v>
      </c>
      <c r="F128" s="213"/>
      <c r="G128" s="246">
        <f>(G74=1)*$F$8</f>
        <v>0</v>
      </c>
      <c r="H128" s="246">
        <f t="shared" ref="H128:S128" si="65">(H74=1)*$F$8</f>
        <v>0</v>
      </c>
      <c r="I128" s="246">
        <f t="shared" si="65"/>
        <v>0</v>
      </c>
      <c r="J128" s="246">
        <f t="shared" si="65"/>
        <v>0</v>
      </c>
      <c r="K128" s="246">
        <f t="shared" si="65"/>
        <v>0</v>
      </c>
      <c r="L128" s="246">
        <f t="shared" si="65"/>
        <v>0</v>
      </c>
      <c r="M128" s="246">
        <f t="shared" si="65"/>
        <v>0</v>
      </c>
      <c r="N128" s="246">
        <f t="shared" si="65"/>
        <v>0</v>
      </c>
      <c r="O128" s="246">
        <f t="shared" si="65"/>
        <v>0</v>
      </c>
      <c r="P128" s="246">
        <f t="shared" si="65"/>
        <v>0</v>
      </c>
      <c r="Q128" s="246">
        <f t="shared" si="65"/>
        <v>0</v>
      </c>
      <c r="R128" s="246">
        <f t="shared" si="65"/>
        <v>0</v>
      </c>
      <c r="S128" s="246">
        <f t="shared" si="65"/>
        <v>0</v>
      </c>
      <c r="T128" s="213"/>
      <c r="U128" s="213"/>
    </row>
    <row r="129" spans="3:21" ht="15" customHeight="1">
      <c r="C129" s="213"/>
      <c r="D129" s="213"/>
      <c r="E129" s="213"/>
      <c r="F129" s="213"/>
      <c r="G129" s="213"/>
      <c r="H129" s="213"/>
      <c r="I129" s="213"/>
      <c r="J129" s="213"/>
      <c r="K129" s="213"/>
      <c r="L129" s="213"/>
      <c r="M129" s="213"/>
      <c r="N129" s="213"/>
      <c r="O129" s="213"/>
      <c r="P129" s="213"/>
      <c r="Q129" s="213"/>
      <c r="R129" s="213"/>
      <c r="S129" s="213"/>
      <c r="T129" s="213"/>
      <c r="U129" s="213"/>
    </row>
    <row r="130" spans="3:21" ht="15" customHeight="1">
      <c r="C130" s="207"/>
      <c r="D130" s="266" t="s">
        <v>280</v>
      </c>
      <c r="E130" s="207"/>
      <c r="F130" s="207"/>
      <c r="G130" s="207"/>
      <c r="H130" s="207"/>
      <c r="I130" s="207"/>
      <c r="J130" s="207"/>
      <c r="K130" s="207"/>
      <c r="L130" s="207"/>
      <c r="M130" s="207"/>
      <c r="N130" s="207"/>
      <c r="O130" s="207"/>
      <c r="P130" s="207"/>
      <c r="Q130" s="207"/>
      <c r="R130" s="207"/>
      <c r="S130" s="207"/>
      <c r="T130" s="207"/>
      <c r="U130" s="207"/>
    </row>
    <row r="131" spans="3:21" ht="15" customHeight="1">
      <c r="C131" s="248">
        <f t="shared" ref="C131:C139" si="66">SUM(G131:U131)</f>
        <v>8160.1538722575588</v>
      </c>
      <c r="D131" s="213" t="s">
        <v>136</v>
      </c>
      <c r="E131" s="237" t="s">
        <v>112</v>
      </c>
      <c r="F131" s="213"/>
      <c r="G131" s="246">
        <f t="shared" ref="G131:S131" si="67">G89-G125</f>
        <v>0</v>
      </c>
      <c r="H131" s="246">
        <f t="shared" si="67"/>
        <v>0</v>
      </c>
      <c r="I131" s="246">
        <f t="shared" si="67"/>
        <v>745.23851999999988</v>
      </c>
      <c r="J131" s="246">
        <f t="shared" si="67"/>
        <v>760.14329039999984</v>
      </c>
      <c r="K131" s="246">
        <f t="shared" si="67"/>
        <v>775.34615620799991</v>
      </c>
      <c r="L131" s="246">
        <f t="shared" si="67"/>
        <v>790.85307933215995</v>
      </c>
      <c r="M131" s="246">
        <f t="shared" si="67"/>
        <v>806.67014091880321</v>
      </c>
      <c r="N131" s="246">
        <f t="shared" si="67"/>
        <v>822.8035437371791</v>
      </c>
      <c r="O131" s="246">
        <f t="shared" si="67"/>
        <v>839.25961461192276</v>
      </c>
      <c r="P131" s="246">
        <f t="shared" si="67"/>
        <v>856.04480690416119</v>
      </c>
      <c r="Q131" s="246">
        <f t="shared" si="67"/>
        <v>873.16570304224444</v>
      </c>
      <c r="R131" s="246">
        <f t="shared" si="67"/>
        <v>890.62901710308915</v>
      </c>
      <c r="S131" s="246">
        <f t="shared" si="67"/>
        <v>0</v>
      </c>
      <c r="T131" s="268"/>
      <c r="U131" s="268"/>
    </row>
    <row r="132" spans="3:21" ht="15" customHeight="1">
      <c r="C132" s="248">
        <f t="shared" si="66"/>
        <v>42.42</v>
      </c>
      <c r="D132" s="249" t="s">
        <v>186</v>
      </c>
      <c r="E132" s="237" t="s">
        <v>112</v>
      </c>
      <c r="F132" s="213"/>
      <c r="G132" s="246">
        <f>G90</f>
        <v>21</v>
      </c>
      <c r="H132" s="246">
        <f t="shared" ref="H132:S132" si="68">H90</f>
        <v>21.42</v>
      </c>
      <c r="I132" s="246">
        <f t="shared" si="68"/>
        <v>0</v>
      </c>
      <c r="J132" s="246">
        <f t="shared" si="68"/>
        <v>0</v>
      </c>
      <c r="K132" s="246">
        <f t="shared" si="68"/>
        <v>0</v>
      </c>
      <c r="L132" s="246">
        <f t="shared" si="68"/>
        <v>0</v>
      </c>
      <c r="M132" s="246">
        <f t="shared" si="68"/>
        <v>0</v>
      </c>
      <c r="N132" s="246">
        <f t="shared" si="68"/>
        <v>0</v>
      </c>
      <c r="O132" s="246">
        <f t="shared" si="68"/>
        <v>0</v>
      </c>
      <c r="P132" s="246">
        <f t="shared" si="68"/>
        <v>0</v>
      </c>
      <c r="Q132" s="246">
        <f t="shared" si="68"/>
        <v>0</v>
      </c>
      <c r="R132" s="246">
        <f t="shared" si="68"/>
        <v>0</v>
      </c>
      <c r="S132" s="246">
        <f t="shared" si="68"/>
        <v>0</v>
      </c>
      <c r="T132" s="268"/>
      <c r="U132" s="268"/>
    </row>
    <row r="133" spans="3:21" ht="15" customHeight="1">
      <c r="C133" s="248">
        <f t="shared" si="66"/>
        <v>290</v>
      </c>
      <c r="D133" s="249" t="s">
        <v>267</v>
      </c>
      <c r="E133" s="237" t="s">
        <v>112</v>
      </c>
      <c r="F133" s="213"/>
      <c r="G133" s="246">
        <f t="shared" ref="G133:S136" si="69">G91</f>
        <v>290</v>
      </c>
      <c r="H133" s="246">
        <f t="shared" si="69"/>
        <v>0</v>
      </c>
      <c r="I133" s="246">
        <f t="shared" si="69"/>
        <v>0</v>
      </c>
      <c r="J133" s="246">
        <f t="shared" si="69"/>
        <v>0</v>
      </c>
      <c r="K133" s="246">
        <f t="shared" si="69"/>
        <v>0</v>
      </c>
      <c r="L133" s="246">
        <f t="shared" si="69"/>
        <v>0</v>
      </c>
      <c r="M133" s="246">
        <f t="shared" si="69"/>
        <v>0</v>
      </c>
      <c r="N133" s="246">
        <f t="shared" si="69"/>
        <v>0</v>
      </c>
      <c r="O133" s="246">
        <f t="shared" si="69"/>
        <v>0</v>
      </c>
      <c r="P133" s="246">
        <f t="shared" si="69"/>
        <v>0</v>
      </c>
      <c r="Q133" s="246">
        <f t="shared" si="69"/>
        <v>0</v>
      </c>
      <c r="R133" s="246">
        <f t="shared" si="69"/>
        <v>0</v>
      </c>
      <c r="S133" s="246">
        <f t="shared" si="69"/>
        <v>0</v>
      </c>
      <c r="T133" s="268"/>
      <c r="U133" s="268"/>
    </row>
    <row r="134" spans="3:21" ht="15" customHeight="1">
      <c r="C134" s="248">
        <f t="shared" si="66"/>
        <v>0</v>
      </c>
      <c r="D134" s="249" t="s">
        <v>268</v>
      </c>
      <c r="E134" s="237" t="s">
        <v>112</v>
      </c>
      <c r="F134" s="213"/>
      <c r="G134" s="246">
        <f t="shared" si="69"/>
        <v>0</v>
      </c>
      <c r="H134" s="246">
        <f t="shared" si="69"/>
        <v>0</v>
      </c>
      <c r="I134" s="246">
        <f t="shared" si="69"/>
        <v>0</v>
      </c>
      <c r="J134" s="246">
        <f t="shared" si="69"/>
        <v>0</v>
      </c>
      <c r="K134" s="246">
        <f t="shared" si="69"/>
        <v>0</v>
      </c>
      <c r="L134" s="246">
        <f t="shared" si="69"/>
        <v>0</v>
      </c>
      <c r="M134" s="246">
        <f t="shared" si="69"/>
        <v>0</v>
      </c>
      <c r="N134" s="246">
        <f t="shared" si="69"/>
        <v>0</v>
      </c>
      <c r="O134" s="246">
        <f t="shared" si="69"/>
        <v>0</v>
      </c>
      <c r="P134" s="246">
        <f t="shared" si="69"/>
        <v>0</v>
      </c>
      <c r="Q134" s="246">
        <f t="shared" si="69"/>
        <v>0</v>
      </c>
      <c r="R134" s="246">
        <f t="shared" si="69"/>
        <v>0</v>
      </c>
      <c r="S134" s="246">
        <f t="shared" si="69"/>
        <v>0</v>
      </c>
      <c r="T134" s="268"/>
      <c r="U134" s="268"/>
    </row>
    <row r="135" spans="3:21" ht="15" customHeight="1">
      <c r="C135" s="248">
        <f t="shared" si="66"/>
        <v>0</v>
      </c>
      <c r="D135" s="249" t="s">
        <v>336</v>
      </c>
      <c r="E135" s="237" t="s">
        <v>112</v>
      </c>
      <c r="F135" s="213"/>
      <c r="G135" s="246">
        <f t="shared" si="69"/>
        <v>0</v>
      </c>
      <c r="H135" s="246">
        <f t="shared" si="69"/>
        <v>0</v>
      </c>
      <c r="I135" s="246">
        <f t="shared" si="69"/>
        <v>0</v>
      </c>
      <c r="J135" s="246">
        <f t="shared" si="69"/>
        <v>0</v>
      </c>
      <c r="K135" s="246">
        <f t="shared" si="69"/>
        <v>0</v>
      </c>
      <c r="L135" s="246">
        <f t="shared" si="69"/>
        <v>0</v>
      </c>
      <c r="M135" s="246">
        <f t="shared" si="69"/>
        <v>0</v>
      </c>
      <c r="N135" s="246">
        <f t="shared" si="69"/>
        <v>0</v>
      </c>
      <c r="O135" s="246">
        <f t="shared" si="69"/>
        <v>0</v>
      </c>
      <c r="P135" s="246">
        <f t="shared" si="69"/>
        <v>0</v>
      </c>
      <c r="Q135" s="246">
        <f t="shared" si="69"/>
        <v>0</v>
      </c>
      <c r="R135" s="246">
        <f t="shared" si="69"/>
        <v>0</v>
      </c>
      <c r="S135" s="246">
        <f t="shared" si="69"/>
        <v>0</v>
      </c>
      <c r="T135" s="268"/>
      <c r="U135" s="268"/>
    </row>
    <row r="136" spans="3:21" ht="15" customHeight="1">
      <c r="C136" s="248">
        <f t="shared" si="66"/>
        <v>3417.6269184381795</v>
      </c>
      <c r="D136" s="249" t="s">
        <v>90</v>
      </c>
      <c r="E136" s="237" t="s">
        <v>112</v>
      </c>
      <c r="F136" s="213"/>
      <c r="G136" s="246">
        <f t="shared" si="69"/>
        <v>0</v>
      </c>
      <c r="H136" s="246">
        <f t="shared" si="69"/>
        <v>0</v>
      </c>
      <c r="I136" s="246">
        <f t="shared" si="69"/>
        <v>312.12</v>
      </c>
      <c r="J136" s="246">
        <f t="shared" si="69"/>
        <v>318.36239999999998</v>
      </c>
      <c r="K136" s="246">
        <f t="shared" si="69"/>
        <v>324.729648</v>
      </c>
      <c r="L136" s="246">
        <f t="shared" si="69"/>
        <v>331.22424096000003</v>
      </c>
      <c r="M136" s="246">
        <f t="shared" si="69"/>
        <v>337.84872577920004</v>
      </c>
      <c r="N136" s="246">
        <f t="shared" si="69"/>
        <v>344.60570029478396</v>
      </c>
      <c r="O136" s="246">
        <f t="shared" si="69"/>
        <v>351.49781430067964</v>
      </c>
      <c r="P136" s="246">
        <f t="shared" si="69"/>
        <v>358.52777058669324</v>
      </c>
      <c r="Q136" s="246">
        <f t="shared" si="69"/>
        <v>365.69832599842715</v>
      </c>
      <c r="R136" s="246">
        <f t="shared" si="69"/>
        <v>373.01229251839561</v>
      </c>
      <c r="S136" s="246">
        <f t="shared" si="69"/>
        <v>0</v>
      </c>
      <c r="T136" s="268"/>
      <c r="U136" s="268"/>
    </row>
    <row r="137" spans="3:21" ht="15" customHeight="1">
      <c r="C137" s="248">
        <f t="shared" si="66"/>
        <v>63.412089728127263</v>
      </c>
      <c r="D137" s="249" t="s">
        <v>281</v>
      </c>
      <c r="E137" s="237" t="s">
        <v>112</v>
      </c>
      <c r="F137" s="213"/>
      <c r="G137" s="246">
        <f>G106+G116+G117+G118</f>
        <v>0</v>
      </c>
      <c r="H137" s="246">
        <f t="shared" ref="H137:S137" si="70">H106+H116+H117+H118</f>
        <v>0</v>
      </c>
      <c r="I137" s="246">
        <f t="shared" si="70"/>
        <v>0</v>
      </c>
      <c r="J137" s="246">
        <f t="shared" si="70"/>
        <v>0</v>
      </c>
      <c r="K137" s="246">
        <f t="shared" si="70"/>
        <v>0</v>
      </c>
      <c r="L137" s="246">
        <f t="shared" si="70"/>
        <v>0</v>
      </c>
      <c r="M137" s="246">
        <f t="shared" si="70"/>
        <v>0</v>
      </c>
      <c r="N137" s="246">
        <f t="shared" si="70"/>
        <v>0</v>
      </c>
      <c r="O137" s="246">
        <f t="shared" si="70"/>
        <v>14.938657107778885</v>
      </c>
      <c r="P137" s="246">
        <f t="shared" si="70"/>
        <v>15.337021297319655</v>
      </c>
      <c r="Q137" s="246">
        <f t="shared" si="70"/>
        <v>15.946518507317037</v>
      </c>
      <c r="R137" s="246">
        <f t="shared" si="70"/>
        <v>17.189892815711673</v>
      </c>
      <c r="S137" s="246">
        <f t="shared" si="70"/>
        <v>1.4210854715202004E-14</v>
      </c>
      <c r="T137" s="268"/>
      <c r="U137" s="268"/>
    </row>
    <row r="138" spans="3:21" ht="15" customHeight="1">
      <c r="C138" s="248">
        <f t="shared" si="66"/>
        <v>0</v>
      </c>
      <c r="D138" s="213" t="s">
        <v>251</v>
      </c>
      <c r="E138" s="237" t="s">
        <v>112</v>
      </c>
      <c r="F138" s="213"/>
      <c r="G138" s="246">
        <f>G128</f>
        <v>0</v>
      </c>
      <c r="H138" s="246">
        <f t="shared" ref="H138:S138" si="71">H128</f>
        <v>0</v>
      </c>
      <c r="I138" s="246">
        <f t="shared" si="71"/>
        <v>0</v>
      </c>
      <c r="J138" s="246">
        <f t="shared" si="71"/>
        <v>0</v>
      </c>
      <c r="K138" s="246">
        <f t="shared" si="71"/>
        <v>0</v>
      </c>
      <c r="L138" s="246">
        <f t="shared" si="71"/>
        <v>0</v>
      </c>
      <c r="M138" s="246">
        <f t="shared" si="71"/>
        <v>0</v>
      </c>
      <c r="N138" s="246">
        <f t="shared" si="71"/>
        <v>0</v>
      </c>
      <c r="O138" s="246">
        <f t="shared" si="71"/>
        <v>0</v>
      </c>
      <c r="P138" s="246">
        <f t="shared" si="71"/>
        <v>0</v>
      </c>
      <c r="Q138" s="246">
        <f t="shared" si="71"/>
        <v>0</v>
      </c>
      <c r="R138" s="246">
        <f t="shared" si="71"/>
        <v>0</v>
      </c>
      <c r="S138" s="246">
        <f t="shared" si="71"/>
        <v>0</v>
      </c>
      <c r="T138" s="268"/>
      <c r="U138" s="268"/>
    </row>
    <row r="139" spans="3:21" ht="15" customHeight="1">
      <c r="C139" s="248">
        <f t="shared" si="66"/>
        <v>4346.6948640912524</v>
      </c>
      <c r="D139" s="213" t="s">
        <v>138</v>
      </c>
      <c r="E139" s="237" t="s">
        <v>112</v>
      </c>
      <c r="F139" s="213"/>
      <c r="G139" s="246">
        <f>G131-SUM(G132:G138)</f>
        <v>-311</v>
      </c>
      <c r="H139" s="246">
        <f t="shared" ref="H139:S139" si="72">H131-SUM(H132:H138)</f>
        <v>-21.42</v>
      </c>
      <c r="I139" s="246">
        <f t="shared" si="72"/>
        <v>433.11851999999988</v>
      </c>
      <c r="J139" s="246">
        <f t="shared" si="72"/>
        <v>441.78089039999986</v>
      </c>
      <c r="K139" s="246">
        <f t="shared" si="72"/>
        <v>450.61650820799991</v>
      </c>
      <c r="L139" s="246">
        <f t="shared" si="72"/>
        <v>459.62883837215992</v>
      </c>
      <c r="M139" s="246">
        <f t="shared" si="72"/>
        <v>468.82141513960318</v>
      </c>
      <c r="N139" s="246">
        <f t="shared" si="72"/>
        <v>478.19784344239514</v>
      </c>
      <c r="O139" s="246">
        <f t="shared" si="72"/>
        <v>472.82314320346421</v>
      </c>
      <c r="P139" s="246">
        <f t="shared" si="72"/>
        <v>482.18001502014829</v>
      </c>
      <c r="Q139" s="246">
        <f t="shared" si="72"/>
        <v>491.52085853650027</v>
      </c>
      <c r="R139" s="246">
        <f t="shared" si="72"/>
        <v>500.42683176898186</v>
      </c>
      <c r="S139" s="246">
        <f t="shared" si="72"/>
        <v>-1.4210854715202004E-14</v>
      </c>
      <c r="T139" s="268"/>
      <c r="U139" s="268"/>
    </row>
    <row r="140" spans="3:21" ht="15" customHeight="1">
      <c r="C140" s="213"/>
      <c r="D140" s="249"/>
      <c r="E140" s="237"/>
      <c r="F140" s="213"/>
      <c r="G140" s="213"/>
      <c r="H140" s="213"/>
      <c r="I140" s="213"/>
      <c r="J140" s="213"/>
      <c r="K140" s="213"/>
      <c r="L140" s="213"/>
      <c r="M140" s="213"/>
      <c r="N140" s="213"/>
      <c r="O140" s="213"/>
      <c r="P140" s="213"/>
      <c r="Q140" s="213"/>
      <c r="R140" s="213"/>
      <c r="S140" s="213"/>
      <c r="T140" s="213"/>
      <c r="U140" s="213"/>
    </row>
    <row r="141" spans="3:21" ht="15" customHeight="1">
      <c r="C141" s="207"/>
      <c r="D141" s="266" t="s">
        <v>185</v>
      </c>
      <c r="E141" s="207"/>
      <c r="F141" s="207"/>
      <c r="G141" s="207"/>
      <c r="H141" s="207"/>
      <c r="I141" s="207"/>
      <c r="J141" s="207"/>
      <c r="K141" s="207"/>
      <c r="L141" s="207"/>
      <c r="M141" s="207"/>
      <c r="N141" s="207"/>
      <c r="O141" s="207"/>
      <c r="P141" s="207"/>
      <c r="Q141" s="207"/>
      <c r="R141" s="207"/>
      <c r="S141" s="207"/>
      <c r="T141" s="207"/>
      <c r="U141" s="207"/>
    </row>
    <row r="142" spans="3:21" ht="15" customHeight="1">
      <c r="C142" s="213"/>
      <c r="D142" s="213" t="s">
        <v>387</v>
      </c>
      <c r="E142" s="213" t="s">
        <v>124</v>
      </c>
      <c r="F142" s="213"/>
      <c r="G142" s="246">
        <f>(MAX(G75:$S$75)&gt;1)*1</f>
        <v>1</v>
      </c>
      <c r="H142" s="246">
        <f>(MAX(H75:$S$75)&gt;1)*1</f>
        <v>1</v>
      </c>
      <c r="I142" s="246">
        <f>(MAX(I75:$S$75)&gt;1)*1</f>
        <v>1</v>
      </c>
      <c r="J142" s="246">
        <f>(MAX(J75:$S$75)&gt;1)*1</f>
        <v>1</v>
      </c>
      <c r="K142" s="246">
        <f>(MAX(K75:$S$75)&gt;1)*1</f>
        <v>1</v>
      </c>
      <c r="L142" s="246">
        <f>(MAX(L75:$S$75)&gt;1)*1</f>
        <v>1</v>
      </c>
      <c r="M142" s="246">
        <f>(MAX(M75:$S$75)&gt;1)*1</f>
        <v>1</v>
      </c>
      <c r="N142" s="246">
        <f>(MAX(N75:$S$75)&gt;1)*1</f>
        <v>1</v>
      </c>
      <c r="O142" s="246">
        <f>(MAX(O75:$S$75)&gt;1)*1</f>
        <v>1</v>
      </c>
      <c r="P142" s="246">
        <f>(MAX(P75:$S$75)&gt;1)*1</f>
        <v>1</v>
      </c>
      <c r="Q142" s="246">
        <f>(MAX(Q75:$S$75)&gt;1)*1</f>
        <v>1</v>
      </c>
      <c r="R142" s="246">
        <f>(MAX(R75:$S$75)&gt;1)*1</f>
        <v>1</v>
      </c>
      <c r="S142" s="246">
        <f>(MAX(S75:$S$75)&gt;1)*1</f>
        <v>0</v>
      </c>
      <c r="T142" s="213"/>
      <c r="U142" s="213"/>
    </row>
    <row r="143" spans="3:21" ht="15" customHeight="1">
      <c r="C143" s="213"/>
      <c r="D143" s="213"/>
      <c r="E143" s="213"/>
      <c r="F143" s="213"/>
      <c r="G143" s="213"/>
      <c r="H143" s="213"/>
      <c r="I143" s="213"/>
      <c r="J143" s="213"/>
      <c r="K143" s="213"/>
      <c r="L143" s="213"/>
      <c r="M143" s="213"/>
      <c r="N143" s="213"/>
      <c r="O143" s="213"/>
      <c r="P143" s="213"/>
      <c r="Q143" s="213"/>
      <c r="R143" s="213"/>
      <c r="S143" s="213"/>
      <c r="T143" s="213"/>
      <c r="U143" s="213"/>
    </row>
    <row r="144" spans="3:21" ht="15" customHeight="1">
      <c r="C144" s="248">
        <f>SUM(G144:U144)</f>
        <v>42.42</v>
      </c>
      <c r="D144" s="213" t="s">
        <v>186</v>
      </c>
      <c r="E144" s="237" t="s">
        <v>112</v>
      </c>
      <c r="F144" s="213"/>
      <c r="G144" s="246">
        <f>G132</f>
        <v>21</v>
      </c>
      <c r="H144" s="246">
        <f t="shared" ref="H144:S144" si="73">H132</f>
        <v>21.42</v>
      </c>
      <c r="I144" s="246">
        <f t="shared" si="73"/>
        <v>0</v>
      </c>
      <c r="J144" s="246">
        <f t="shared" si="73"/>
        <v>0</v>
      </c>
      <c r="K144" s="246">
        <f t="shared" si="73"/>
        <v>0</v>
      </c>
      <c r="L144" s="246">
        <f t="shared" si="73"/>
        <v>0</v>
      </c>
      <c r="M144" s="246">
        <f t="shared" si="73"/>
        <v>0</v>
      </c>
      <c r="N144" s="246">
        <f t="shared" si="73"/>
        <v>0</v>
      </c>
      <c r="O144" s="246">
        <f t="shared" si="73"/>
        <v>0</v>
      </c>
      <c r="P144" s="246">
        <f t="shared" si="73"/>
        <v>0</v>
      </c>
      <c r="Q144" s="246">
        <f t="shared" si="73"/>
        <v>0</v>
      </c>
      <c r="R144" s="246">
        <f t="shared" si="73"/>
        <v>0</v>
      </c>
      <c r="S144" s="246">
        <f t="shared" si="73"/>
        <v>0</v>
      </c>
      <c r="T144" s="246"/>
      <c r="U144" s="246"/>
    </row>
    <row r="145" spans="2:21" ht="15" customHeight="1">
      <c r="C145" s="248">
        <f>SUM(G145:U145)</f>
        <v>42.42</v>
      </c>
      <c r="D145" s="213" t="str">
        <f>"Expensing of exploration ("&amp;$F$14&amp;")"</f>
        <v>Expensing of exploration (deferred)</v>
      </c>
      <c r="E145" s="237" t="s">
        <v>112</v>
      </c>
      <c r="F145" s="213"/>
      <c r="G145" s="246">
        <f>IF($F$14="immediate",G144,IF(G75=0,0,IF(G75=1,SUM($G$144:G144),G144)))</f>
        <v>0</v>
      </c>
      <c r="H145" s="246">
        <f>IF($F$14="immediate",H144,IF(H75=0,0,IF(H75=1,SUM($G$144:H144),H144)))</f>
        <v>0</v>
      </c>
      <c r="I145" s="246">
        <f>IF($F$14="immediate",I144,IF(I75=0,0,IF(I75=1,SUM($G$144:I144),I144)))</f>
        <v>42.42</v>
      </c>
      <c r="J145" s="246">
        <f>IF($F$14="immediate",J144,IF(J75=0,0,IF(J75=1,SUM($G$144:J144),J144)))</f>
        <v>0</v>
      </c>
      <c r="K145" s="246">
        <f>IF($F$14="immediate",K144,IF(K75=0,0,IF(K75=1,SUM($G$144:K144),K144)))</f>
        <v>0</v>
      </c>
      <c r="L145" s="246">
        <f>IF($F$14="immediate",L144,IF(L75=0,0,IF(L75=1,SUM($G$144:L144),L144)))</f>
        <v>0</v>
      </c>
      <c r="M145" s="246">
        <f>IF($F$14="immediate",M144,IF(M75=0,0,IF(M75=1,SUM($G$144:M144),M144)))</f>
        <v>0</v>
      </c>
      <c r="N145" s="246">
        <f>IF($F$14="immediate",N144,IF(N75=0,0,IF(N75=1,SUM($G$144:N144),N144)))</f>
        <v>0</v>
      </c>
      <c r="O145" s="246">
        <f>IF($F$14="immediate",O144,IF(O75=0,0,IF(O75=1,SUM($G$144:O144),O144)))</f>
        <v>0</v>
      </c>
      <c r="P145" s="246">
        <f>IF($F$14="immediate",P144,IF(P75=0,0,IF(P75=1,SUM($G$144:P144),P144)))</f>
        <v>0</v>
      </c>
      <c r="Q145" s="246">
        <f>IF($F$14="immediate",Q144,IF(Q75=0,0,IF(Q75=1,SUM($G$144:Q144),Q144)))</f>
        <v>0</v>
      </c>
      <c r="R145" s="246">
        <f>IF($F$14="immediate",R144,IF(R75=0,0,IF(R75=1,SUM($G$144:R144),R144)))</f>
        <v>0</v>
      </c>
      <c r="S145" s="246">
        <f>IF($F$14="immediate",S144,IF(S75=0,0,IF(S75=1,SUM($G$144:S144),S144)))</f>
        <v>0</v>
      </c>
      <c r="T145" s="246"/>
      <c r="U145" s="246"/>
    </row>
    <row r="146" spans="2:21" ht="9" customHeight="1">
      <c r="C146" s="248"/>
      <c r="D146" s="213"/>
      <c r="E146" s="213"/>
      <c r="F146" s="213"/>
      <c r="G146" s="213"/>
      <c r="H146" s="213"/>
      <c r="I146" s="213"/>
      <c r="J146" s="213"/>
      <c r="K146" s="213"/>
      <c r="L146" s="213"/>
      <c r="M146" s="213"/>
      <c r="N146" s="213"/>
      <c r="O146" s="213"/>
      <c r="P146" s="213"/>
      <c r="Q146" s="213"/>
      <c r="R146" s="213"/>
      <c r="S146" s="213"/>
      <c r="T146" s="213"/>
      <c r="U146" s="213"/>
    </row>
    <row r="147" spans="2:21" ht="15" customHeight="1">
      <c r="C147" s="248">
        <f>SUM(G147:U147)</f>
        <v>290</v>
      </c>
      <c r="D147" s="213" t="s">
        <v>282</v>
      </c>
      <c r="E147" s="237" t="s">
        <v>112</v>
      </c>
      <c r="F147" s="213"/>
      <c r="G147" s="246">
        <f>G133</f>
        <v>290</v>
      </c>
      <c r="H147" s="246">
        <f t="shared" ref="H147:S147" si="74">H133</f>
        <v>0</v>
      </c>
      <c r="I147" s="246">
        <f t="shared" si="74"/>
        <v>0</v>
      </c>
      <c r="J147" s="246">
        <f t="shared" si="74"/>
        <v>0</v>
      </c>
      <c r="K147" s="246">
        <f t="shared" si="74"/>
        <v>0</v>
      </c>
      <c r="L147" s="246">
        <f t="shared" si="74"/>
        <v>0</v>
      </c>
      <c r="M147" s="246">
        <f t="shared" si="74"/>
        <v>0</v>
      </c>
      <c r="N147" s="246">
        <f t="shared" si="74"/>
        <v>0</v>
      </c>
      <c r="O147" s="246">
        <f t="shared" si="74"/>
        <v>0</v>
      </c>
      <c r="P147" s="246">
        <f t="shared" si="74"/>
        <v>0</v>
      </c>
      <c r="Q147" s="246">
        <f t="shared" si="74"/>
        <v>0</v>
      </c>
      <c r="R147" s="246">
        <f t="shared" si="74"/>
        <v>0</v>
      </c>
      <c r="S147" s="246">
        <f t="shared" si="74"/>
        <v>0</v>
      </c>
      <c r="T147" s="246"/>
      <c r="U147" s="246"/>
    </row>
    <row r="148" spans="2:21" ht="15" customHeight="1">
      <c r="C148" s="248">
        <f>SUM(G148:U148)</f>
        <v>290</v>
      </c>
      <c r="D148" s="213" t="str">
        <f>"Expensing of development costs - intangibles ("&amp;$F$15&amp;")"</f>
        <v>Expensing of development costs - intangibles (deferred)</v>
      </c>
      <c r="E148" s="237" t="s">
        <v>112</v>
      </c>
      <c r="F148" s="213"/>
      <c r="G148" s="246">
        <f>IF($F$15="immediate",G147,IF(G75=0,0,IF(G75=1,SUM($G$147:G147),G147)))</f>
        <v>0</v>
      </c>
      <c r="H148" s="246">
        <f>IF($F$15="immediate",H147,IF(H75=0,0,IF(H75=1,SUM($G$147:H147),H147)))</f>
        <v>0</v>
      </c>
      <c r="I148" s="246">
        <f>IF($F$15="immediate",I147,IF(I75=0,0,IF(I75=1,SUM($G$147:I147),I147)))</f>
        <v>290</v>
      </c>
      <c r="J148" s="246">
        <f>IF($F$15="immediate",J147,IF(J75=0,0,IF(J75=1,SUM($G$147:J147),J147)))</f>
        <v>0</v>
      </c>
      <c r="K148" s="246">
        <f>IF($F$15="immediate",K147,IF(K75=0,0,IF(K75=1,SUM($G$147:K147),K147)))</f>
        <v>0</v>
      </c>
      <c r="L148" s="246">
        <f>IF($F$15="immediate",L147,IF(L75=0,0,IF(L75=1,SUM($G$147:L147),L147)))</f>
        <v>0</v>
      </c>
      <c r="M148" s="246">
        <f>IF($F$15="immediate",M147,IF(M75=0,0,IF(M75=1,SUM($G$147:M147),M147)))</f>
        <v>0</v>
      </c>
      <c r="N148" s="246">
        <f>IF($F$15="immediate",N147,IF(N75=0,0,IF(N75=1,SUM($G$147:N147),N147)))</f>
        <v>0</v>
      </c>
      <c r="O148" s="246">
        <f>IF($F$15="immediate",O147,IF(O75=0,0,IF(O75=1,SUM($G$147:O147),O147)))</f>
        <v>0</v>
      </c>
      <c r="P148" s="246">
        <f>IF($F$15="immediate",P147,IF(P75=0,0,IF(P75=1,SUM($G$147:P147),P147)))</f>
        <v>0</v>
      </c>
      <c r="Q148" s="246">
        <f>IF($F$15="immediate",Q147,IF(Q75=0,0,IF(Q75=1,SUM($G$147:Q147),Q147)))</f>
        <v>0</v>
      </c>
      <c r="R148" s="246">
        <f>IF($F$15="immediate",R147,IF(R75=0,0,IF(R75=1,SUM($G$147:R147),R147)))</f>
        <v>0</v>
      </c>
      <c r="S148" s="246">
        <f>IF($F$15="immediate",S147,IF(S75=0,0,IF(S75=1,SUM($G$147:S147),S147)))</f>
        <v>0</v>
      </c>
      <c r="T148" s="246"/>
      <c r="U148" s="246"/>
    </row>
    <row r="149" spans="2:21" ht="9" customHeight="1">
      <c r="C149" s="248"/>
      <c r="D149" s="213"/>
      <c r="E149" s="213"/>
      <c r="F149" s="213"/>
      <c r="G149" s="213"/>
      <c r="H149" s="213"/>
      <c r="I149" s="213"/>
      <c r="J149" s="213"/>
      <c r="K149" s="213"/>
      <c r="L149" s="213"/>
      <c r="M149" s="213"/>
      <c r="N149" s="213"/>
      <c r="O149" s="213"/>
      <c r="P149" s="213"/>
      <c r="Q149" s="213"/>
      <c r="R149" s="213"/>
      <c r="S149" s="213"/>
      <c r="T149" s="213"/>
      <c r="U149" s="213"/>
    </row>
    <row r="150" spans="2:21" ht="15" customHeight="1">
      <c r="C150" s="248">
        <f>SUM(G150:U150)</f>
        <v>0</v>
      </c>
      <c r="D150" s="249" t="s">
        <v>338</v>
      </c>
      <c r="E150" s="237" t="s">
        <v>112</v>
      </c>
      <c r="F150" s="213"/>
      <c r="G150" s="246">
        <f>G134+G135</f>
        <v>0</v>
      </c>
      <c r="H150" s="246">
        <f t="shared" ref="H150:S150" si="75">H134+H135</f>
        <v>0</v>
      </c>
      <c r="I150" s="246">
        <f t="shared" si="75"/>
        <v>0</v>
      </c>
      <c r="J150" s="246">
        <f t="shared" si="75"/>
        <v>0</v>
      </c>
      <c r="K150" s="246">
        <f t="shared" si="75"/>
        <v>0</v>
      </c>
      <c r="L150" s="246">
        <f t="shared" si="75"/>
        <v>0</v>
      </c>
      <c r="M150" s="246">
        <f t="shared" si="75"/>
        <v>0</v>
      </c>
      <c r="N150" s="246">
        <f t="shared" si="75"/>
        <v>0</v>
      </c>
      <c r="O150" s="246">
        <f t="shared" si="75"/>
        <v>0</v>
      </c>
      <c r="P150" s="246">
        <f t="shared" si="75"/>
        <v>0</v>
      </c>
      <c r="Q150" s="246">
        <f t="shared" si="75"/>
        <v>0</v>
      </c>
      <c r="R150" s="246">
        <f t="shared" si="75"/>
        <v>0</v>
      </c>
      <c r="S150" s="246">
        <f t="shared" si="75"/>
        <v>0</v>
      </c>
      <c r="T150" s="246"/>
      <c r="U150" s="246"/>
    </row>
    <row r="151" spans="2:21" ht="15" customHeight="1">
      <c r="C151" s="248">
        <f t="shared" ref="C151:C162" si="76">SUM(G151:U151)</f>
        <v>0</v>
      </c>
      <c r="D151" s="249" t="str">
        <f>"Development costs - tangibles and replacement capital costs ("&amp;$F$16&amp;")"</f>
        <v>Development costs - tangibles and replacement capital costs (deferred)</v>
      </c>
      <c r="E151" s="237" t="s">
        <v>112</v>
      </c>
      <c r="F151" s="213"/>
      <c r="G151" s="246">
        <f>IF($F$16="immediate",G150,IF(G75=0,0,IF(G75=1,SUM($G$150:G150),G150)))</f>
        <v>0</v>
      </c>
      <c r="H151" s="246">
        <f>IF($F$16="immediate",H150,IF(H75=0,0,IF(H75=1,SUM($G$150:H150),H150)))</f>
        <v>0</v>
      </c>
      <c r="I151" s="246">
        <f>IF($F$16="immediate",I150,IF(I75=0,0,IF(I75=1,SUM($G$150:I150),I150)))</f>
        <v>0</v>
      </c>
      <c r="J151" s="246">
        <f>IF($F$16="immediate",J150,IF(J75=0,0,IF(J75=1,SUM($G$150:J150),J150)))</f>
        <v>0</v>
      </c>
      <c r="K151" s="246">
        <f>IF($F$16="immediate",K150,IF(K75=0,0,IF(K75=1,SUM($G$150:K150),K150)))</f>
        <v>0</v>
      </c>
      <c r="L151" s="246">
        <f>IF($F$16="immediate",L150,IF(L75=0,0,IF(L75=1,SUM($G$150:L150),L150)))</f>
        <v>0</v>
      </c>
      <c r="M151" s="246">
        <f>IF($F$16="immediate",M150,IF(M75=0,0,IF(M75=1,SUM($G$150:M150),M150)))</f>
        <v>0</v>
      </c>
      <c r="N151" s="246">
        <f>IF($F$16="immediate",N150,IF(N75=0,0,IF(N75=1,SUM($G$150:N150),N150)))</f>
        <v>0</v>
      </c>
      <c r="O151" s="246">
        <f>IF($F$16="immediate",O150,IF(O75=0,0,IF(O75=1,SUM($G$150:O150),O150)))</f>
        <v>0</v>
      </c>
      <c r="P151" s="246">
        <f>IF($F$16="immediate",P150,IF(P75=0,0,IF(P75=1,SUM($G$150:P150),P150)))</f>
        <v>0</v>
      </c>
      <c r="Q151" s="246">
        <f>IF($F$16="immediate",Q150,IF(Q75=0,0,IF(Q75=1,SUM($G$150:Q150),Q150)))</f>
        <v>0</v>
      </c>
      <c r="R151" s="246">
        <f>IF($F$16="immediate",R150,IF(R75=0,0,IF(R75=1,SUM($G$150:R150),R150)))</f>
        <v>0</v>
      </c>
      <c r="S151" s="246">
        <f>IF($F$16="immediate",S150,IF(S75=0,0,IF(S75=1,SUM($G$150:S150),S150)))</f>
        <v>0</v>
      </c>
      <c r="T151" s="246"/>
      <c r="U151" s="246"/>
    </row>
    <row r="152" spans="2:21" ht="15" customHeight="1">
      <c r="B152" s="269">
        <f>IF($F$17=0,0,1/$F$17)</f>
        <v>0.2</v>
      </c>
      <c r="C152" s="248">
        <f t="shared" si="76"/>
        <v>0</v>
      </c>
      <c r="D152" s="270" t="s">
        <v>147</v>
      </c>
      <c r="E152" s="237" t="s">
        <v>112</v>
      </c>
      <c r="F152" s="213"/>
      <c r="G152" s="355">
        <f>G$151*$B152*G$142</f>
        <v>0</v>
      </c>
      <c r="H152" s="355">
        <f t="shared" ref="H152:S152" si="77">H$151*$B152*H$142</f>
        <v>0</v>
      </c>
      <c r="I152" s="355">
        <f t="shared" si="77"/>
        <v>0</v>
      </c>
      <c r="J152" s="355">
        <f t="shared" si="77"/>
        <v>0</v>
      </c>
      <c r="K152" s="355">
        <f t="shared" si="77"/>
        <v>0</v>
      </c>
      <c r="L152" s="355">
        <f t="shared" si="77"/>
        <v>0</v>
      </c>
      <c r="M152" s="355">
        <f t="shared" si="77"/>
        <v>0</v>
      </c>
      <c r="N152" s="355">
        <f t="shared" si="77"/>
        <v>0</v>
      </c>
      <c r="O152" s="355">
        <f t="shared" si="77"/>
        <v>0</v>
      </c>
      <c r="P152" s="355">
        <f t="shared" si="77"/>
        <v>0</v>
      </c>
      <c r="Q152" s="355">
        <f t="shared" si="77"/>
        <v>0</v>
      </c>
      <c r="R152" s="355">
        <f t="shared" si="77"/>
        <v>0</v>
      </c>
      <c r="S152" s="355">
        <f t="shared" si="77"/>
        <v>0</v>
      </c>
      <c r="T152" s="246"/>
      <c r="U152" s="246"/>
    </row>
    <row r="153" spans="2:21" ht="15" customHeight="1">
      <c r="B153" s="269">
        <f>IF($F$17=0,0,MIN(1/$F$17,1-SUM($B$152:B152)))</f>
        <v>0.2</v>
      </c>
      <c r="C153" s="248">
        <f t="shared" si="76"/>
        <v>0</v>
      </c>
      <c r="D153" s="270" t="s">
        <v>148</v>
      </c>
      <c r="E153" s="237" t="s">
        <v>112</v>
      </c>
      <c r="F153" s="213"/>
      <c r="G153" s="11"/>
      <c r="H153" s="355">
        <f>G$151*$B153*H$142</f>
        <v>0</v>
      </c>
      <c r="I153" s="355">
        <f t="shared" ref="I153:S153" si="78">H$151*$B153*I$142</f>
        <v>0</v>
      </c>
      <c r="J153" s="355">
        <f t="shared" si="78"/>
        <v>0</v>
      </c>
      <c r="K153" s="355">
        <f t="shared" si="78"/>
        <v>0</v>
      </c>
      <c r="L153" s="355">
        <f t="shared" si="78"/>
        <v>0</v>
      </c>
      <c r="M153" s="355">
        <f t="shared" si="78"/>
        <v>0</v>
      </c>
      <c r="N153" s="355">
        <f t="shared" si="78"/>
        <v>0</v>
      </c>
      <c r="O153" s="355">
        <f t="shared" si="78"/>
        <v>0</v>
      </c>
      <c r="P153" s="355">
        <f t="shared" si="78"/>
        <v>0</v>
      </c>
      <c r="Q153" s="355">
        <f t="shared" si="78"/>
        <v>0</v>
      </c>
      <c r="R153" s="355">
        <f t="shared" si="78"/>
        <v>0</v>
      </c>
      <c r="S153" s="355">
        <f t="shared" si="78"/>
        <v>0</v>
      </c>
      <c r="T153" s="246"/>
      <c r="U153" s="246"/>
    </row>
    <row r="154" spans="2:21" ht="15" customHeight="1">
      <c r="B154" s="269">
        <f>IF($F$17=0,0,MIN(1/$F$17,1-SUM($B$152:B153)))</f>
        <v>0.2</v>
      </c>
      <c r="C154" s="248">
        <f t="shared" si="76"/>
        <v>0</v>
      </c>
      <c r="D154" s="270" t="s">
        <v>149</v>
      </c>
      <c r="E154" s="237" t="s">
        <v>112</v>
      </c>
      <c r="F154" s="213"/>
      <c r="G154" s="11"/>
      <c r="H154" s="11"/>
      <c r="I154" s="355">
        <f>G$151*$B154*I$142</f>
        <v>0</v>
      </c>
      <c r="J154" s="355">
        <f t="shared" ref="J154:S154" si="79">H$151*$B154*J$142</f>
        <v>0</v>
      </c>
      <c r="K154" s="355">
        <f t="shared" si="79"/>
        <v>0</v>
      </c>
      <c r="L154" s="355">
        <f t="shared" si="79"/>
        <v>0</v>
      </c>
      <c r="M154" s="355">
        <f t="shared" si="79"/>
        <v>0</v>
      </c>
      <c r="N154" s="355">
        <f t="shared" si="79"/>
        <v>0</v>
      </c>
      <c r="O154" s="355">
        <f t="shared" si="79"/>
        <v>0</v>
      </c>
      <c r="P154" s="355">
        <f t="shared" si="79"/>
        <v>0</v>
      </c>
      <c r="Q154" s="355">
        <f t="shared" si="79"/>
        <v>0</v>
      </c>
      <c r="R154" s="355">
        <f t="shared" si="79"/>
        <v>0</v>
      </c>
      <c r="S154" s="355">
        <f t="shared" si="79"/>
        <v>0</v>
      </c>
      <c r="T154" s="246"/>
      <c r="U154" s="246"/>
    </row>
    <row r="155" spans="2:21" ht="15" customHeight="1">
      <c r="B155" s="269">
        <f>IF($F$17=0,0,MIN(1/$F$17,1-SUM($B$152:B154)))</f>
        <v>0.2</v>
      </c>
      <c r="C155" s="248">
        <f t="shared" si="76"/>
        <v>0</v>
      </c>
      <c r="D155" s="270" t="s">
        <v>150</v>
      </c>
      <c r="E155" s="237" t="s">
        <v>112</v>
      </c>
      <c r="F155" s="213"/>
      <c r="G155" s="11"/>
      <c r="H155" s="11"/>
      <c r="I155" s="11"/>
      <c r="J155" s="355">
        <f>G$151*$B155*J$142</f>
        <v>0</v>
      </c>
      <c r="K155" s="355">
        <f t="shared" ref="K155:S155" si="80">H$151*$B155*K$142</f>
        <v>0</v>
      </c>
      <c r="L155" s="355">
        <f t="shared" si="80"/>
        <v>0</v>
      </c>
      <c r="M155" s="355">
        <f t="shared" si="80"/>
        <v>0</v>
      </c>
      <c r="N155" s="355">
        <f t="shared" si="80"/>
        <v>0</v>
      </c>
      <c r="O155" s="355">
        <f t="shared" si="80"/>
        <v>0</v>
      </c>
      <c r="P155" s="355">
        <f t="shared" si="80"/>
        <v>0</v>
      </c>
      <c r="Q155" s="355">
        <f t="shared" si="80"/>
        <v>0</v>
      </c>
      <c r="R155" s="355">
        <f t="shared" si="80"/>
        <v>0</v>
      </c>
      <c r="S155" s="355">
        <f t="shared" si="80"/>
        <v>0</v>
      </c>
      <c r="T155" s="246"/>
      <c r="U155" s="246"/>
    </row>
    <row r="156" spans="2:21" ht="15" customHeight="1">
      <c r="B156" s="269">
        <f>IF($F$17=0,0,MIN(1/$F$17,1-SUM($B$152:B155)))</f>
        <v>0.19999999999999996</v>
      </c>
      <c r="C156" s="248">
        <f t="shared" si="76"/>
        <v>0</v>
      </c>
      <c r="D156" s="270" t="s">
        <v>151</v>
      </c>
      <c r="E156" s="237" t="s">
        <v>112</v>
      </c>
      <c r="F156" s="213"/>
      <c r="G156" s="11"/>
      <c r="H156" s="11"/>
      <c r="I156" s="11"/>
      <c r="J156" s="11"/>
      <c r="K156" s="355">
        <f>G$151*$B156*K$142</f>
        <v>0</v>
      </c>
      <c r="L156" s="355">
        <f t="shared" ref="L156:S156" si="81">H$151*$B156*L$142</f>
        <v>0</v>
      </c>
      <c r="M156" s="355">
        <f t="shared" si="81"/>
        <v>0</v>
      </c>
      <c r="N156" s="355">
        <f t="shared" si="81"/>
        <v>0</v>
      </c>
      <c r="O156" s="355">
        <f t="shared" si="81"/>
        <v>0</v>
      </c>
      <c r="P156" s="355">
        <f t="shared" si="81"/>
        <v>0</v>
      </c>
      <c r="Q156" s="355">
        <f t="shared" si="81"/>
        <v>0</v>
      </c>
      <c r="R156" s="355">
        <f t="shared" si="81"/>
        <v>0</v>
      </c>
      <c r="S156" s="355">
        <f t="shared" si="81"/>
        <v>0</v>
      </c>
      <c r="T156" s="246"/>
      <c r="U156" s="246"/>
    </row>
    <row r="157" spans="2:21" ht="15" customHeight="1">
      <c r="B157" s="269">
        <f>IF($F$17=0,0,MIN(1/$F$17,1-SUM($B$152:B156)))</f>
        <v>0</v>
      </c>
      <c r="C157" s="248">
        <f t="shared" si="76"/>
        <v>0</v>
      </c>
      <c r="D157" s="270" t="s">
        <v>152</v>
      </c>
      <c r="E157" s="237" t="s">
        <v>112</v>
      </c>
      <c r="F157" s="213"/>
      <c r="G157" s="11"/>
      <c r="H157" s="11"/>
      <c r="I157" s="11"/>
      <c r="J157" s="11"/>
      <c r="K157" s="11"/>
      <c r="L157" s="355">
        <f>G$151*$B157*L$142</f>
        <v>0</v>
      </c>
      <c r="M157" s="355">
        <f t="shared" ref="M157:S157" si="82">H$151*$B157*M$142</f>
        <v>0</v>
      </c>
      <c r="N157" s="355">
        <f t="shared" si="82"/>
        <v>0</v>
      </c>
      <c r="O157" s="355">
        <f t="shared" si="82"/>
        <v>0</v>
      </c>
      <c r="P157" s="355">
        <f t="shared" si="82"/>
        <v>0</v>
      </c>
      <c r="Q157" s="355">
        <f t="shared" si="82"/>
        <v>0</v>
      </c>
      <c r="R157" s="355">
        <f t="shared" si="82"/>
        <v>0</v>
      </c>
      <c r="S157" s="355">
        <f t="shared" si="82"/>
        <v>0</v>
      </c>
      <c r="T157" s="246"/>
      <c r="U157" s="246"/>
    </row>
    <row r="158" spans="2:21" ht="15" customHeight="1">
      <c r="B158" s="269">
        <f>IF($F$17=0,0,MIN(1/$F$17,1-SUM($B$152:B157)))</f>
        <v>0</v>
      </c>
      <c r="C158" s="248">
        <f t="shared" si="76"/>
        <v>0</v>
      </c>
      <c r="D158" s="270" t="s">
        <v>153</v>
      </c>
      <c r="E158" s="237" t="s">
        <v>112</v>
      </c>
      <c r="F158" s="213"/>
      <c r="G158" s="11"/>
      <c r="H158" s="11"/>
      <c r="I158" s="11"/>
      <c r="J158" s="11"/>
      <c r="K158" s="11"/>
      <c r="L158" s="11"/>
      <c r="M158" s="355">
        <f>G$151*$B158*M$142</f>
        <v>0</v>
      </c>
      <c r="N158" s="355">
        <f t="shared" ref="N158:S158" si="83">H$151*$B158*N$142</f>
        <v>0</v>
      </c>
      <c r="O158" s="355">
        <f t="shared" si="83"/>
        <v>0</v>
      </c>
      <c r="P158" s="355">
        <f t="shared" si="83"/>
        <v>0</v>
      </c>
      <c r="Q158" s="355">
        <f t="shared" si="83"/>
        <v>0</v>
      </c>
      <c r="R158" s="355">
        <f t="shared" si="83"/>
        <v>0</v>
      </c>
      <c r="S158" s="355">
        <f t="shared" si="83"/>
        <v>0</v>
      </c>
      <c r="T158" s="246"/>
      <c r="U158" s="246"/>
    </row>
    <row r="159" spans="2:21" ht="15" customHeight="1">
      <c r="B159" s="269">
        <f>IF($F$17=0,0,MIN(1/$F$17,1-SUM($B$152:B158)))</f>
        <v>0</v>
      </c>
      <c r="C159" s="248">
        <f t="shared" si="76"/>
        <v>0</v>
      </c>
      <c r="D159" s="270" t="s">
        <v>154</v>
      </c>
      <c r="E159" s="237" t="s">
        <v>112</v>
      </c>
      <c r="F159" s="213"/>
      <c r="G159" s="11"/>
      <c r="H159" s="11"/>
      <c r="I159" s="11"/>
      <c r="J159" s="11"/>
      <c r="K159" s="11"/>
      <c r="L159" s="11"/>
      <c r="M159" s="11"/>
      <c r="N159" s="355">
        <f>G$151*$B159*N$142</f>
        <v>0</v>
      </c>
      <c r="O159" s="355">
        <f t="shared" ref="O159:S159" si="84">H$151*$B159*O$142</f>
        <v>0</v>
      </c>
      <c r="P159" s="355">
        <f t="shared" si="84"/>
        <v>0</v>
      </c>
      <c r="Q159" s="355">
        <f t="shared" si="84"/>
        <v>0</v>
      </c>
      <c r="R159" s="355">
        <f t="shared" si="84"/>
        <v>0</v>
      </c>
      <c r="S159" s="355">
        <f t="shared" si="84"/>
        <v>0</v>
      </c>
      <c r="T159" s="246"/>
      <c r="U159" s="246"/>
    </row>
    <row r="160" spans="2:21" ht="15" customHeight="1">
      <c r="B160" s="269">
        <f>IF($F$17=0,0,MIN(1/$F$17,1-SUM($B$152:B159)))</f>
        <v>0</v>
      </c>
      <c r="C160" s="248">
        <f t="shared" si="76"/>
        <v>0</v>
      </c>
      <c r="D160" s="270" t="s">
        <v>155</v>
      </c>
      <c r="E160" s="237" t="s">
        <v>112</v>
      </c>
      <c r="F160" s="213"/>
      <c r="G160" s="11"/>
      <c r="H160" s="11"/>
      <c r="I160" s="11"/>
      <c r="J160" s="11"/>
      <c r="K160" s="11"/>
      <c r="L160" s="11"/>
      <c r="M160" s="11"/>
      <c r="N160" s="11"/>
      <c r="O160" s="355">
        <f>G$151*$B160*O$142</f>
        <v>0</v>
      </c>
      <c r="P160" s="355">
        <f t="shared" ref="P160:S160" si="85">H$151*$B160*P$142</f>
        <v>0</v>
      </c>
      <c r="Q160" s="355">
        <f t="shared" si="85"/>
        <v>0</v>
      </c>
      <c r="R160" s="355">
        <f t="shared" si="85"/>
        <v>0</v>
      </c>
      <c r="S160" s="355">
        <f t="shared" si="85"/>
        <v>0</v>
      </c>
      <c r="T160" s="246"/>
      <c r="U160" s="246"/>
    </row>
    <row r="161" spans="1:36" ht="15" customHeight="1">
      <c r="B161" s="269">
        <f>IF($F$17=0,0,MIN(1/$F$17,1-SUM($B$152:B160)))</f>
        <v>0</v>
      </c>
      <c r="C161" s="248">
        <f t="shared" si="76"/>
        <v>0</v>
      </c>
      <c r="D161" s="270" t="s">
        <v>156</v>
      </c>
      <c r="E161" s="237" t="s">
        <v>112</v>
      </c>
      <c r="F161" s="213"/>
      <c r="G161" s="11"/>
      <c r="H161" s="11"/>
      <c r="I161" s="11"/>
      <c r="J161" s="11"/>
      <c r="K161" s="11"/>
      <c r="L161" s="11"/>
      <c r="M161" s="11"/>
      <c r="N161" s="11"/>
      <c r="O161" s="11"/>
      <c r="P161" s="355">
        <f>G$151*$B161*P$142</f>
        <v>0</v>
      </c>
      <c r="Q161" s="355">
        <f t="shared" ref="Q161:S161" si="86">H$151*$B161*Q$142</f>
        <v>0</v>
      </c>
      <c r="R161" s="355">
        <f t="shared" si="86"/>
        <v>0</v>
      </c>
      <c r="S161" s="355">
        <f t="shared" si="86"/>
        <v>0</v>
      </c>
      <c r="T161" s="246"/>
      <c r="U161" s="246"/>
    </row>
    <row r="162" spans="1:36" ht="15" customHeight="1">
      <c r="A162" s="107" t="b">
        <f>ROUND(C150-C162-C166,5)=0</f>
        <v>1</v>
      </c>
      <c r="B162" s="272"/>
      <c r="C162" s="248">
        <f t="shared" si="76"/>
        <v>0</v>
      </c>
      <c r="D162" s="273" t="s">
        <v>283</v>
      </c>
      <c r="E162" s="237" t="s">
        <v>112</v>
      </c>
      <c r="F162" s="213"/>
      <c r="G162" s="246">
        <f>SUM(G152:G161)</f>
        <v>0</v>
      </c>
      <c r="H162" s="246">
        <f t="shared" ref="H162:S162" si="87">SUM(H152:H161)</f>
        <v>0</v>
      </c>
      <c r="I162" s="246">
        <f t="shared" si="87"/>
        <v>0</v>
      </c>
      <c r="J162" s="246">
        <f t="shared" si="87"/>
        <v>0</v>
      </c>
      <c r="K162" s="246">
        <f t="shared" si="87"/>
        <v>0</v>
      </c>
      <c r="L162" s="246">
        <f t="shared" si="87"/>
        <v>0</v>
      </c>
      <c r="M162" s="246">
        <f t="shared" si="87"/>
        <v>0</v>
      </c>
      <c r="N162" s="246">
        <f t="shared" si="87"/>
        <v>0</v>
      </c>
      <c r="O162" s="246">
        <f t="shared" si="87"/>
        <v>0</v>
      </c>
      <c r="P162" s="246">
        <f t="shared" si="87"/>
        <v>0</v>
      </c>
      <c r="Q162" s="246">
        <f t="shared" si="87"/>
        <v>0</v>
      </c>
      <c r="R162" s="246">
        <f t="shared" si="87"/>
        <v>0</v>
      </c>
      <c r="S162" s="246">
        <f t="shared" si="87"/>
        <v>0</v>
      </c>
      <c r="T162" s="246"/>
      <c r="U162" s="246"/>
    </row>
    <row r="163" spans="1:36" s="15" customFormat="1" ht="15" customHeight="1">
      <c r="A163" s="92"/>
      <c r="B163" s="92"/>
      <c r="C163" s="105"/>
      <c r="D163" s="73"/>
      <c r="E163" s="40"/>
      <c r="F163" s="130"/>
      <c r="G163" s="11"/>
      <c r="H163" s="11"/>
      <c r="I163" s="11"/>
      <c r="J163" s="11"/>
      <c r="K163" s="11"/>
      <c r="L163" s="11"/>
      <c r="M163" s="11"/>
      <c r="N163" s="11"/>
      <c r="O163" s="11"/>
      <c r="P163" s="11"/>
      <c r="Q163" s="11"/>
      <c r="R163" s="11"/>
      <c r="S163" s="11"/>
      <c r="T163" s="27"/>
      <c r="U163" s="27"/>
      <c r="V163" s="27"/>
      <c r="W163" s="129"/>
      <c r="X163" s="27"/>
      <c r="Y163" s="27"/>
      <c r="Z163" s="88"/>
      <c r="AA163" s="89"/>
      <c r="AB163" s="90"/>
      <c r="AC163" s="90"/>
      <c r="AD163" s="90"/>
      <c r="AE163" s="89"/>
      <c r="AF163" s="90"/>
      <c r="AG163" s="90"/>
      <c r="AH163" s="90"/>
      <c r="AI163" s="90"/>
      <c r="AJ163" s="38"/>
    </row>
    <row r="164" spans="1:36" s="15" customFormat="1" ht="15" customHeight="1">
      <c r="A164" s="92"/>
      <c r="B164" s="92"/>
      <c r="C164" s="105">
        <f>INDEX(G164:S164,,MATCH($C$75,$G$75:$S$75,0))</f>
        <v>0</v>
      </c>
      <c r="D164" s="15" t="s">
        <v>383</v>
      </c>
      <c r="E164" s="40" t="s">
        <v>112</v>
      </c>
      <c r="F164" s="130"/>
      <c r="G164" s="11">
        <f>(F164+G150+F166)*G142</f>
        <v>0</v>
      </c>
      <c r="H164" s="11">
        <f t="shared" ref="H164:S164" si="88">(G164+H150+G166)*H142</f>
        <v>0</v>
      </c>
      <c r="I164" s="11">
        <f t="shared" si="88"/>
        <v>0</v>
      </c>
      <c r="J164" s="11">
        <f t="shared" si="88"/>
        <v>0</v>
      </c>
      <c r="K164" s="11">
        <f t="shared" si="88"/>
        <v>0</v>
      </c>
      <c r="L164" s="11">
        <f t="shared" si="88"/>
        <v>0</v>
      </c>
      <c r="M164" s="11">
        <f t="shared" si="88"/>
        <v>0</v>
      </c>
      <c r="N164" s="11">
        <f t="shared" si="88"/>
        <v>0</v>
      </c>
      <c r="O164" s="11">
        <f t="shared" si="88"/>
        <v>0</v>
      </c>
      <c r="P164" s="11">
        <f t="shared" si="88"/>
        <v>0</v>
      </c>
      <c r="Q164" s="11">
        <f t="shared" si="88"/>
        <v>0</v>
      </c>
      <c r="R164" s="11">
        <f t="shared" si="88"/>
        <v>0</v>
      </c>
      <c r="S164" s="11">
        <f t="shared" si="88"/>
        <v>0</v>
      </c>
      <c r="T164" s="27"/>
      <c r="U164" s="27"/>
      <c r="V164" s="27"/>
      <c r="W164" s="129"/>
      <c r="X164" s="27"/>
      <c r="Y164" s="27"/>
      <c r="Z164" s="88"/>
      <c r="AA164" s="89"/>
      <c r="AB164" s="90"/>
      <c r="AC164" s="90"/>
      <c r="AD164" s="90"/>
      <c r="AE164" s="89"/>
      <c r="AF164" s="90"/>
      <c r="AG164" s="90"/>
      <c r="AH164" s="90"/>
      <c r="AI164" s="90"/>
      <c r="AJ164" s="38"/>
    </row>
    <row r="165" spans="1:36" s="15" customFormat="1" ht="15" customHeight="1">
      <c r="A165" s="92"/>
      <c r="B165" s="92"/>
      <c r="C165" s="105">
        <f>INDEX(G165:S165,,MATCH($C$75,$G$75:$S$75,0))</f>
        <v>0</v>
      </c>
      <c r="D165" s="73" t="s">
        <v>382</v>
      </c>
      <c r="E165" s="40" t="s">
        <v>112</v>
      </c>
      <c r="F165" s="130"/>
      <c r="G165" s="11">
        <f>(F165+G162)*G142</f>
        <v>0</v>
      </c>
      <c r="H165" s="11">
        <f t="shared" ref="H165:S165" si="89">(G165+H162)*H142</f>
        <v>0</v>
      </c>
      <c r="I165" s="11">
        <f t="shared" si="89"/>
        <v>0</v>
      </c>
      <c r="J165" s="11">
        <f t="shared" si="89"/>
        <v>0</v>
      </c>
      <c r="K165" s="11">
        <f t="shared" si="89"/>
        <v>0</v>
      </c>
      <c r="L165" s="11">
        <f t="shared" si="89"/>
        <v>0</v>
      </c>
      <c r="M165" s="11">
        <f t="shared" si="89"/>
        <v>0</v>
      </c>
      <c r="N165" s="11">
        <f t="shared" si="89"/>
        <v>0</v>
      </c>
      <c r="O165" s="11">
        <f t="shared" si="89"/>
        <v>0</v>
      </c>
      <c r="P165" s="11">
        <f t="shared" si="89"/>
        <v>0</v>
      </c>
      <c r="Q165" s="11">
        <f t="shared" si="89"/>
        <v>0</v>
      </c>
      <c r="R165" s="11">
        <f t="shared" si="89"/>
        <v>0</v>
      </c>
      <c r="S165" s="11">
        <f t="shared" si="89"/>
        <v>0</v>
      </c>
      <c r="T165" s="27"/>
      <c r="U165" s="27"/>
      <c r="V165" s="27"/>
      <c r="W165" s="129"/>
      <c r="X165" s="27"/>
      <c r="Y165" s="27"/>
      <c r="Z165" s="88"/>
      <c r="AA165" s="89"/>
      <c r="AB165" s="90"/>
      <c r="AC165" s="90"/>
      <c r="AD165" s="90"/>
      <c r="AE165" s="89"/>
      <c r="AF165" s="90"/>
      <c r="AG165" s="90"/>
      <c r="AH165" s="90"/>
      <c r="AI165" s="90"/>
      <c r="AJ165" s="38"/>
    </row>
    <row r="166" spans="1:36" s="15" customFormat="1" ht="15" customHeight="1">
      <c r="A166" s="107" t="b">
        <f>ROUND(C164-C165-C166,5)=0</f>
        <v>1</v>
      </c>
      <c r="B166" s="92"/>
      <c r="C166" s="11">
        <f>SUM(G166:S166)</f>
        <v>0</v>
      </c>
      <c r="D166" s="73" t="s">
        <v>380</v>
      </c>
      <c r="E166" s="40" t="s">
        <v>112</v>
      </c>
      <c r="F166" s="130"/>
      <c r="G166" s="11">
        <f>(G164-G165)*(G76=1)</f>
        <v>0</v>
      </c>
      <c r="H166" s="11">
        <f t="shared" ref="H166:S166" si="90">(H164-H165)*(H76=1)</f>
        <v>0</v>
      </c>
      <c r="I166" s="11">
        <f t="shared" si="90"/>
        <v>0</v>
      </c>
      <c r="J166" s="11">
        <f t="shared" si="90"/>
        <v>0</v>
      </c>
      <c r="K166" s="11">
        <f t="shared" si="90"/>
        <v>0</v>
      </c>
      <c r="L166" s="11">
        <f t="shared" si="90"/>
        <v>0</v>
      </c>
      <c r="M166" s="11">
        <f t="shared" si="90"/>
        <v>0</v>
      </c>
      <c r="N166" s="11">
        <f t="shared" si="90"/>
        <v>0</v>
      </c>
      <c r="O166" s="11">
        <f t="shared" si="90"/>
        <v>0</v>
      </c>
      <c r="P166" s="11">
        <f t="shared" si="90"/>
        <v>0</v>
      </c>
      <c r="Q166" s="11">
        <f t="shared" si="90"/>
        <v>0</v>
      </c>
      <c r="R166" s="11">
        <f t="shared" si="90"/>
        <v>0</v>
      </c>
      <c r="S166" s="11">
        <f t="shared" si="90"/>
        <v>0</v>
      </c>
      <c r="T166" s="27"/>
      <c r="U166" s="27"/>
      <c r="V166" s="27"/>
      <c r="W166" s="129"/>
      <c r="X166" s="27"/>
      <c r="Y166" s="27"/>
      <c r="Z166" s="88"/>
      <c r="AA166" s="89"/>
      <c r="AB166" s="90"/>
      <c r="AC166" s="90"/>
      <c r="AD166" s="90"/>
      <c r="AE166" s="89"/>
      <c r="AF166" s="90"/>
      <c r="AG166" s="90"/>
      <c r="AH166" s="90"/>
      <c r="AI166" s="90"/>
      <c r="AJ166" s="38"/>
    </row>
    <row r="167" spans="1:36" ht="9.75" customHeight="1">
      <c r="C167" s="274"/>
      <c r="D167" s="213"/>
      <c r="E167" s="213"/>
      <c r="F167" s="213"/>
      <c r="G167" s="246"/>
      <c r="H167" s="246"/>
      <c r="I167" s="246"/>
      <c r="J167" s="246"/>
      <c r="K167" s="246"/>
      <c r="L167" s="246"/>
      <c r="M167" s="246"/>
      <c r="N167" s="246"/>
      <c r="O167" s="246"/>
      <c r="P167" s="246"/>
      <c r="Q167" s="246"/>
      <c r="R167" s="246"/>
      <c r="S167" s="246"/>
      <c r="T167" s="246"/>
      <c r="U167" s="246"/>
    </row>
    <row r="168" spans="1:36" ht="15" customHeight="1">
      <c r="C168" s="213"/>
      <c r="D168" s="231" t="s">
        <v>187</v>
      </c>
      <c r="E168" s="213"/>
      <c r="F168" s="213"/>
      <c r="G168" s="246"/>
      <c r="H168" s="246"/>
      <c r="I168" s="246"/>
      <c r="J168" s="246"/>
      <c r="K168" s="246"/>
      <c r="L168" s="246"/>
      <c r="M168" s="246"/>
      <c r="N168" s="246"/>
      <c r="O168" s="246"/>
      <c r="P168" s="246"/>
      <c r="Q168" s="246"/>
      <c r="R168" s="246"/>
      <c r="S168" s="246"/>
      <c r="T168" s="246"/>
      <c r="U168" s="246"/>
    </row>
    <row r="169" spans="1:36" ht="15" customHeight="1">
      <c r="C169" s="248">
        <f>SUM(G169:U169)</f>
        <v>8593.0532819263954</v>
      </c>
      <c r="D169" s="271" t="s">
        <v>97</v>
      </c>
      <c r="E169" s="237" t="s">
        <v>112</v>
      </c>
      <c r="F169" s="213"/>
      <c r="G169" s="246">
        <f>G89</f>
        <v>0</v>
      </c>
      <c r="H169" s="246">
        <f t="shared" ref="H169:S169" si="91">H89</f>
        <v>0</v>
      </c>
      <c r="I169" s="246">
        <f t="shared" si="91"/>
        <v>784.77371999999991</v>
      </c>
      <c r="J169" s="246">
        <f t="shared" si="91"/>
        <v>800.46919439999988</v>
      </c>
      <c r="K169" s="246">
        <f t="shared" si="91"/>
        <v>816.47857828799988</v>
      </c>
      <c r="L169" s="246">
        <f t="shared" si="91"/>
        <v>832.80814985375991</v>
      </c>
      <c r="M169" s="246">
        <f t="shared" si="91"/>
        <v>849.4643128508352</v>
      </c>
      <c r="N169" s="246">
        <f t="shared" si="91"/>
        <v>866.45359910785169</v>
      </c>
      <c r="O169" s="246">
        <f t="shared" si="91"/>
        <v>883.78267109000888</v>
      </c>
      <c r="P169" s="246">
        <f t="shared" si="91"/>
        <v>901.458324511809</v>
      </c>
      <c r="Q169" s="246">
        <f t="shared" si="91"/>
        <v>919.4874910020452</v>
      </c>
      <c r="R169" s="246">
        <f t="shared" si="91"/>
        <v>937.87724082208592</v>
      </c>
      <c r="S169" s="246">
        <f t="shared" si="91"/>
        <v>0</v>
      </c>
      <c r="T169" s="246"/>
      <c r="U169" s="246"/>
    </row>
    <row r="170" spans="1:36" ht="15" customHeight="1">
      <c r="C170" s="248">
        <f t="shared" ref="C170:C181" si="92">SUM(G170:U170)</f>
        <v>432.89940966883609</v>
      </c>
      <c r="D170" s="271" t="s">
        <v>132</v>
      </c>
      <c r="E170" s="237" t="s">
        <v>112</v>
      </c>
      <c r="F170" s="213"/>
      <c r="G170" s="246">
        <f>G125</f>
        <v>0</v>
      </c>
      <c r="H170" s="246">
        <f t="shared" ref="H170:S170" si="93">H125</f>
        <v>0</v>
      </c>
      <c r="I170" s="246">
        <f t="shared" si="93"/>
        <v>39.535200000000003</v>
      </c>
      <c r="J170" s="246">
        <f t="shared" si="93"/>
        <v>40.325904000000001</v>
      </c>
      <c r="K170" s="246">
        <f t="shared" si="93"/>
        <v>41.132422079999998</v>
      </c>
      <c r="L170" s="246">
        <f t="shared" si="93"/>
        <v>41.9550705216</v>
      </c>
      <c r="M170" s="246">
        <f t="shared" si="93"/>
        <v>42.794171932032008</v>
      </c>
      <c r="N170" s="246">
        <f t="shared" si="93"/>
        <v>43.650055370672639</v>
      </c>
      <c r="O170" s="246">
        <f t="shared" si="93"/>
        <v>44.52305647808609</v>
      </c>
      <c r="P170" s="246">
        <f t="shared" si="93"/>
        <v>45.413517607647812</v>
      </c>
      <c r="Q170" s="246">
        <f t="shared" si="93"/>
        <v>46.321787959800773</v>
      </c>
      <c r="R170" s="246">
        <f t="shared" si="93"/>
        <v>47.248223718996776</v>
      </c>
      <c r="S170" s="246">
        <f t="shared" si="93"/>
        <v>0</v>
      </c>
      <c r="T170" s="246"/>
      <c r="U170" s="246"/>
    </row>
    <row r="171" spans="1:36" ht="15" customHeight="1">
      <c r="C171" s="248">
        <f t="shared" si="92"/>
        <v>0</v>
      </c>
      <c r="D171" s="271" t="s">
        <v>251</v>
      </c>
      <c r="E171" s="237" t="s">
        <v>112</v>
      </c>
      <c r="F171" s="213"/>
      <c r="G171" s="246">
        <f>G128</f>
        <v>0</v>
      </c>
      <c r="H171" s="246">
        <f t="shared" ref="H171:S171" si="94">H128</f>
        <v>0</v>
      </c>
      <c r="I171" s="246">
        <f t="shared" si="94"/>
        <v>0</v>
      </c>
      <c r="J171" s="246">
        <f t="shared" si="94"/>
        <v>0</v>
      </c>
      <c r="K171" s="246">
        <f t="shared" si="94"/>
        <v>0</v>
      </c>
      <c r="L171" s="246">
        <f t="shared" si="94"/>
        <v>0</v>
      </c>
      <c r="M171" s="246">
        <f t="shared" si="94"/>
        <v>0</v>
      </c>
      <c r="N171" s="246">
        <f t="shared" si="94"/>
        <v>0</v>
      </c>
      <c r="O171" s="246">
        <f t="shared" si="94"/>
        <v>0</v>
      </c>
      <c r="P171" s="246">
        <f t="shared" si="94"/>
        <v>0</v>
      </c>
      <c r="Q171" s="246">
        <f t="shared" si="94"/>
        <v>0</v>
      </c>
      <c r="R171" s="246">
        <f t="shared" si="94"/>
        <v>0</v>
      </c>
      <c r="S171" s="246">
        <f t="shared" si="94"/>
        <v>0</v>
      </c>
      <c r="T171" s="246"/>
      <c r="U171" s="246"/>
    </row>
    <row r="172" spans="1:36" ht="15" customHeight="1">
      <c r="C172" s="248">
        <f t="shared" si="92"/>
        <v>42.42</v>
      </c>
      <c r="D172" s="271" t="s">
        <v>88</v>
      </c>
      <c r="E172" s="237" t="s">
        <v>112</v>
      </c>
      <c r="F172" s="213"/>
      <c r="G172" s="246">
        <f>G145</f>
        <v>0</v>
      </c>
      <c r="H172" s="246">
        <f t="shared" ref="H172:S172" si="95">H145</f>
        <v>0</v>
      </c>
      <c r="I172" s="246">
        <f t="shared" si="95"/>
        <v>42.42</v>
      </c>
      <c r="J172" s="246">
        <f t="shared" si="95"/>
        <v>0</v>
      </c>
      <c r="K172" s="246">
        <f t="shared" si="95"/>
        <v>0</v>
      </c>
      <c r="L172" s="246">
        <f t="shared" si="95"/>
        <v>0</v>
      </c>
      <c r="M172" s="246">
        <f t="shared" si="95"/>
        <v>0</v>
      </c>
      <c r="N172" s="246">
        <f t="shared" si="95"/>
        <v>0</v>
      </c>
      <c r="O172" s="246">
        <f t="shared" si="95"/>
        <v>0</v>
      </c>
      <c r="P172" s="246">
        <f t="shared" si="95"/>
        <v>0</v>
      </c>
      <c r="Q172" s="246">
        <f t="shared" si="95"/>
        <v>0</v>
      </c>
      <c r="R172" s="246">
        <f t="shared" si="95"/>
        <v>0</v>
      </c>
      <c r="S172" s="246">
        <f t="shared" si="95"/>
        <v>0</v>
      </c>
      <c r="T172" s="246"/>
      <c r="U172" s="246"/>
    </row>
    <row r="173" spans="1:36" ht="15" customHeight="1">
      <c r="C173" s="248">
        <f t="shared" si="92"/>
        <v>290</v>
      </c>
      <c r="D173" s="271" t="s">
        <v>284</v>
      </c>
      <c r="E173" s="237" t="s">
        <v>112</v>
      </c>
      <c r="F173" s="213"/>
      <c r="G173" s="246">
        <f>G148</f>
        <v>0</v>
      </c>
      <c r="H173" s="246">
        <f t="shared" ref="H173:S173" si="96">H148</f>
        <v>0</v>
      </c>
      <c r="I173" s="246">
        <f t="shared" si="96"/>
        <v>290</v>
      </c>
      <c r="J173" s="246">
        <f t="shared" si="96"/>
        <v>0</v>
      </c>
      <c r="K173" s="246">
        <f t="shared" si="96"/>
        <v>0</v>
      </c>
      <c r="L173" s="246">
        <f t="shared" si="96"/>
        <v>0</v>
      </c>
      <c r="M173" s="246">
        <f t="shared" si="96"/>
        <v>0</v>
      </c>
      <c r="N173" s="246">
        <f t="shared" si="96"/>
        <v>0</v>
      </c>
      <c r="O173" s="246">
        <f t="shared" si="96"/>
        <v>0</v>
      </c>
      <c r="P173" s="246">
        <f t="shared" si="96"/>
        <v>0</v>
      </c>
      <c r="Q173" s="246">
        <f t="shared" si="96"/>
        <v>0</v>
      </c>
      <c r="R173" s="246">
        <f t="shared" si="96"/>
        <v>0</v>
      </c>
      <c r="S173" s="246">
        <f t="shared" si="96"/>
        <v>0</v>
      </c>
      <c r="T173" s="246"/>
      <c r="U173" s="246"/>
    </row>
    <row r="174" spans="1:36" ht="15" customHeight="1">
      <c r="C174" s="248">
        <f t="shared" si="92"/>
        <v>0</v>
      </c>
      <c r="D174" s="213" t="s">
        <v>335</v>
      </c>
      <c r="E174" s="237" t="s">
        <v>112</v>
      </c>
      <c r="F174" s="213"/>
      <c r="G174" s="246">
        <f>G162</f>
        <v>0</v>
      </c>
      <c r="H174" s="246">
        <f t="shared" ref="H174:S174" si="97">H162</f>
        <v>0</v>
      </c>
      <c r="I174" s="246">
        <f t="shared" si="97"/>
        <v>0</v>
      </c>
      <c r="J174" s="246">
        <f t="shared" si="97"/>
        <v>0</v>
      </c>
      <c r="K174" s="246">
        <f t="shared" si="97"/>
        <v>0</v>
      </c>
      <c r="L174" s="246">
        <f t="shared" si="97"/>
        <v>0</v>
      </c>
      <c r="M174" s="246">
        <f t="shared" si="97"/>
        <v>0</v>
      </c>
      <c r="N174" s="246">
        <f t="shared" si="97"/>
        <v>0</v>
      </c>
      <c r="O174" s="246">
        <f t="shared" si="97"/>
        <v>0</v>
      </c>
      <c r="P174" s="246">
        <f t="shared" si="97"/>
        <v>0</v>
      </c>
      <c r="Q174" s="246">
        <f t="shared" si="97"/>
        <v>0</v>
      </c>
      <c r="R174" s="246">
        <f t="shared" si="97"/>
        <v>0</v>
      </c>
      <c r="S174" s="246">
        <f t="shared" si="97"/>
        <v>0</v>
      </c>
      <c r="T174" s="246"/>
      <c r="U174" s="246"/>
    </row>
    <row r="175" spans="1:36" ht="15" customHeight="1">
      <c r="C175" s="248">
        <f t="shared" si="92"/>
        <v>3417.6269184381795</v>
      </c>
      <c r="D175" s="271" t="s">
        <v>90</v>
      </c>
      <c r="E175" s="237" t="s">
        <v>112</v>
      </c>
      <c r="F175" s="213"/>
      <c r="G175" s="246">
        <f>G136</f>
        <v>0</v>
      </c>
      <c r="H175" s="246">
        <f t="shared" ref="H175:S176" si="98">H136</f>
        <v>0</v>
      </c>
      <c r="I175" s="246">
        <f t="shared" si="98"/>
        <v>312.12</v>
      </c>
      <c r="J175" s="246">
        <f t="shared" si="98"/>
        <v>318.36239999999998</v>
      </c>
      <c r="K175" s="246">
        <f t="shared" si="98"/>
        <v>324.729648</v>
      </c>
      <c r="L175" s="246">
        <f t="shared" si="98"/>
        <v>331.22424096000003</v>
      </c>
      <c r="M175" s="246">
        <f t="shared" si="98"/>
        <v>337.84872577920004</v>
      </c>
      <c r="N175" s="246">
        <f t="shared" si="98"/>
        <v>344.60570029478396</v>
      </c>
      <c r="O175" s="246">
        <f t="shared" si="98"/>
        <v>351.49781430067964</v>
      </c>
      <c r="P175" s="246">
        <f t="shared" si="98"/>
        <v>358.52777058669324</v>
      </c>
      <c r="Q175" s="246">
        <f t="shared" si="98"/>
        <v>365.69832599842715</v>
      </c>
      <c r="R175" s="246">
        <f t="shared" si="98"/>
        <v>373.01229251839561</v>
      </c>
      <c r="S175" s="246">
        <f t="shared" si="98"/>
        <v>0</v>
      </c>
      <c r="T175" s="246"/>
      <c r="U175" s="246"/>
    </row>
    <row r="176" spans="1:36" ht="15" customHeight="1">
      <c r="C176" s="248">
        <f t="shared" si="92"/>
        <v>63.412089728127263</v>
      </c>
      <c r="D176" s="271" t="s">
        <v>137</v>
      </c>
      <c r="E176" s="237" t="s">
        <v>112</v>
      </c>
      <c r="F176" s="213"/>
      <c r="G176" s="246">
        <f>G137</f>
        <v>0</v>
      </c>
      <c r="H176" s="246">
        <f t="shared" si="98"/>
        <v>0</v>
      </c>
      <c r="I176" s="246">
        <f t="shared" si="98"/>
        <v>0</v>
      </c>
      <c r="J176" s="246">
        <f t="shared" si="98"/>
        <v>0</v>
      </c>
      <c r="K176" s="246">
        <f t="shared" si="98"/>
        <v>0</v>
      </c>
      <c r="L176" s="246">
        <f t="shared" si="98"/>
        <v>0</v>
      </c>
      <c r="M176" s="246">
        <f t="shared" si="98"/>
        <v>0</v>
      </c>
      <c r="N176" s="246">
        <f t="shared" si="98"/>
        <v>0</v>
      </c>
      <c r="O176" s="246">
        <f t="shared" si="98"/>
        <v>14.938657107778885</v>
      </c>
      <c r="P176" s="246">
        <f t="shared" si="98"/>
        <v>15.337021297319655</v>
      </c>
      <c r="Q176" s="246">
        <f t="shared" si="98"/>
        <v>15.946518507317037</v>
      </c>
      <c r="R176" s="246">
        <f t="shared" si="98"/>
        <v>17.189892815711673</v>
      </c>
      <c r="S176" s="246">
        <f t="shared" si="98"/>
        <v>1.4210854715202004E-14</v>
      </c>
      <c r="T176" s="246"/>
      <c r="U176" s="246"/>
    </row>
    <row r="177" spans="3:45" ht="15" customHeight="1">
      <c r="C177" s="248">
        <f t="shared" si="92"/>
        <v>42.069598985624943</v>
      </c>
      <c r="D177" s="213" t="s">
        <v>190</v>
      </c>
      <c r="E177" s="237" t="s">
        <v>112</v>
      </c>
      <c r="F177" s="213"/>
      <c r="G177" s="246">
        <f>G187</f>
        <v>0</v>
      </c>
      <c r="H177" s="246">
        <f t="shared" ref="H177:S177" si="99">H187</f>
        <v>0</v>
      </c>
      <c r="I177" s="246">
        <f t="shared" si="99"/>
        <v>13.253000000000021</v>
      </c>
      <c r="J177" s="246">
        <f t="shared" si="99"/>
        <v>11.044691930542797</v>
      </c>
      <c r="K177" s="246">
        <f t="shared" si="99"/>
        <v>8.6345445035371817</v>
      </c>
      <c r="L177" s="246">
        <f t="shared" si="99"/>
        <v>6.0041096017032487</v>
      </c>
      <c r="M177" s="246">
        <f t="shared" si="99"/>
        <v>3.1332529498416979</v>
      </c>
      <c r="N177" s="246">
        <f t="shared" si="99"/>
        <v>0</v>
      </c>
      <c r="O177" s="246">
        <f t="shared" si="99"/>
        <v>0</v>
      </c>
      <c r="P177" s="246">
        <f t="shared" si="99"/>
        <v>0</v>
      </c>
      <c r="Q177" s="246">
        <f t="shared" si="99"/>
        <v>0</v>
      </c>
      <c r="R177" s="246">
        <f t="shared" si="99"/>
        <v>0</v>
      </c>
      <c r="S177" s="246">
        <f t="shared" si="99"/>
        <v>0</v>
      </c>
      <c r="T177" s="246"/>
      <c r="U177" s="246"/>
    </row>
    <row r="178" spans="3:45" ht="15" customHeight="1">
      <c r="C178" s="248">
        <f t="shared" si="92"/>
        <v>4304.6252651056275</v>
      </c>
      <c r="D178" s="213" t="s">
        <v>191</v>
      </c>
      <c r="E178" s="237" t="s">
        <v>112</v>
      </c>
      <c r="F178" s="213"/>
      <c r="G178" s="246">
        <f>G169-SUM(G170:G177)</f>
        <v>0</v>
      </c>
      <c r="H178" s="246">
        <f t="shared" ref="H178:S178" si="100">H169-SUM(H170:H177)</f>
        <v>0</v>
      </c>
      <c r="I178" s="246">
        <f t="shared" si="100"/>
        <v>87.445519999999874</v>
      </c>
      <c r="J178" s="246">
        <f t="shared" si="100"/>
        <v>430.73619846945712</v>
      </c>
      <c r="K178" s="246">
        <f t="shared" si="100"/>
        <v>441.98196370446271</v>
      </c>
      <c r="L178" s="246">
        <f t="shared" si="100"/>
        <v>453.62472877045661</v>
      </c>
      <c r="M178" s="246">
        <f t="shared" si="100"/>
        <v>465.6881621897615</v>
      </c>
      <c r="N178" s="246">
        <f t="shared" si="100"/>
        <v>478.19784344239508</v>
      </c>
      <c r="O178" s="246">
        <f t="shared" si="100"/>
        <v>472.82314320346427</v>
      </c>
      <c r="P178" s="246">
        <f t="shared" si="100"/>
        <v>482.18001502014829</v>
      </c>
      <c r="Q178" s="246">
        <f t="shared" si="100"/>
        <v>491.52085853650027</v>
      </c>
      <c r="R178" s="246">
        <f t="shared" si="100"/>
        <v>500.42683176898186</v>
      </c>
      <c r="S178" s="246">
        <f t="shared" si="100"/>
        <v>-1.4210854715202004E-14</v>
      </c>
      <c r="T178" s="246"/>
      <c r="U178" s="246"/>
    </row>
    <row r="179" spans="3:45" ht="15" customHeight="1">
      <c r="C179" s="248">
        <f t="shared" si="92"/>
        <v>0</v>
      </c>
      <c r="D179" s="270" t="s">
        <v>192</v>
      </c>
      <c r="E179" s="237" t="s">
        <v>112</v>
      </c>
      <c r="F179" s="213"/>
      <c r="G179" s="246">
        <f>F180*(F180&lt;0)</f>
        <v>0</v>
      </c>
      <c r="H179" s="246">
        <f t="shared" ref="H179:S179" si="101">G180*(G180&lt;0)</f>
        <v>0</v>
      </c>
      <c r="I179" s="246">
        <f t="shared" si="101"/>
        <v>0</v>
      </c>
      <c r="J179" s="246">
        <f t="shared" si="101"/>
        <v>0</v>
      </c>
      <c r="K179" s="246">
        <f t="shared" si="101"/>
        <v>0</v>
      </c>
      <c r="L179" s="246">
        <f t="shared" si="101"/>
        <v>0</v>
      </c>
      <c r="M179" s="246">
        <f t="shared" si="101"/>
        <v>0</v>
      </c>
      <c r="N179" s="246">
        <f t="shared" si="101"/>
        <v>0</v>
      </c>
      <c r="O179" s="246">
        <f t="shared" si="101"/>
        <v>0</v>
      </c>
      <c r="P179" s="246">
        <f t="shared" si="101"/>
        <v>0</v>
      </c>
      <c r="Q179" s="246">
        <f t="shared" si="101"/>
        <v>0</v>
      </c>
      <c r="R179" s="246">
        <f t="shared" si="101"/>
        <v>0</v>
      </c>
      <c r="S179" s="246">
        <f t="shared" si="101"/>
        <v>0</v>
      </c>
      <c r="T179" s="246"/>
      <c r="U179" s="246"/>
    </row>
    <row r="180" spans="3:45" ht="15" customHeight="1">
      <c r="C180" s="248">
        <f t="shared" si="92"/>
        <v>4304.6252651056275</v>
      </c>
      <c r="D180" s="213" t="s">
        <v>193</v>
      </c>
      <c r="E180" s="237" t="s">
        <v>112</v>
      </c>
      <c r="F180" s="213"/>
      <c r="G180" s="246">
        <f>SUM(G178:G179)</f>
        <v>0</v>
      </c>
      <c r="H180" s="246">
        <f t="shared" ref="H180:S180" si="102">SUM(H178:H179)</f>
        <v>0</v>
      </c>
      <c r="I180" s="246">
        <f t="shared" si="102"/>
        <v>87.445519999999874</v>
      </c>
      <c r="J180" s="246">
        <f t="shared" si="102"/>
        <v>430.73619846945712</v>
      </c>
      <c r="K180" s="246">
        <f t="shared" si="102"/>
        <v>441.98196370446271</v>
      </c>
      <c r="L180" s="246">
        <f t="shared" si="102"/>
        <v>453.62472877045661</v>
      </c>
      <c r="M180" s="246">
        <f t="shared" si="102"/>
        <v>465.6881621897615</v>
      </c>
      <c r="N180" s="246">
        <f t="shared" si="102"/>
        <v>478.19784344239508</v>
      </c>
      <c r="O180" s="246">
        <f t="shared" si="102"/>
        <v>472.82314320346427</v>
      </c>
      <c r="P180" s="246">
        <f t="shared" si="102"/>
        <v>482.18001502014829</v>
      </c>
      <c r="Q180" s="246">
        <f t="shared" si="102"/>
        <v>491.52085853650027</v>
      </c>
      <c r="R180" s="246">
        <f t="shared" si="102"/>
        <v>500.42683176898186</v>
      </c>
      <c r="S180" s="246">
        <f t="shared" si="102"/>
        <v>-1.4210854715202004E-14</v>
      </c>
      <c r="T180" s="246"/>
      <c r="U180" s="246"/>
    </row>
    <row r="181" spans="3:45" ht="15" customHeight="1">
      <c r="C181" s="248">
        <f t="shared" si="92"/>
        <v>1291.3875795316883</v>
      </c>
      <c r="D181" s="213" t="s">
        <v>194</v>
      </c>
      <c r="E181" s="237" t="s">
        <v>112</v>
      </c>
      <c r="F181" s="213"/>
      <c r="G181" s="246">
        <f t="shared" ref="G181:S181" si="103">G180*(G180&gt;0)*$F$13</f>
        <v>0</v>
      </c>
      <c r="H181" s="246">
        <f t="shared" si="103"/>
        <v>0</v>
      </c>
      <c r="I181" s="246">
        <f t="shared" si="103"/>
        <v>26.233655999999961</v>
      </c>
      <c r="J181" s="246">
        <f t="shared" si="103"/>
        <v>129.22085954083713</v>
      </c>
      <c r="K181" s="246">
        <f t="shared" si="103"/>
        <v>132.59458911133882</v>
      </c>
      <c r="L181" s="246">
        <f t="shared" si="103"/>
        <v>136.08741863113698</v>
      </c>
      <c r="M181" s="246">
        <f t="shared" si="103"/>
        <v>139.70644865692844</v>
      </c>
      <c r="N181" s="246">
        <f t="shared" si="103"/>
        <v>143.45935303271852</v>
      </c>
      <c r="O181" s="246">
        <f t="shared" si="103"/>
        <v>141.84694296103928</v>
      </c>
      <c r="P181" s="246">
        <f t="shared" si="103"/>
        <v>144.65400450604449</v>
      </c>
      <c r="Q181" s="246">
        <f t="shared" si="103"/>
        <v>147.45625756095006</v>
      </c>
      <c r="R181" s="246">
        <f t="shared" si="103"/>
        <v>150.12804953069454</v>
      </c>
      <c r="S181" s="246">
        <f t="shared" si="103"/>
        <v>0</v>
      </c>
      <c r="T181" s="246"/>
      <c r="U181" s="246"/>
    </row>
    <row r="182" spans="3:45" ht="15" customHeight="1">
      <c r="C182" s="275"/>
      <c r="D182" s="211"/>
      <c r="E182" s="276"/>
      <c r="F182" s="211"/>
      <c r="G182" s="277"/>
      <c r="H182" s="277"/>
      <c r="I182" s="277"/>
      <c r="J182" s="277"/>
      <c r="K182" s="277"/>
      <c r="L182" s="277"/>
      <c r="M182" s="277"/>
      <c r="N182" s="277"/>
      <c r="O182" s="277"/>
      <c r="P182" s="277"/>
      <c r="Q182" s="277"/>
      <c r="R182" s="277"/>
      <c r="S182" s="277"/>
      <c r="T182" s="277"/>
      <c r="U182" s="277"/>
    </row>
    <row r="183" spans="3:45" ht="15" customHeight="1" outlineLevel="1">
      <c r="C183" s="259"/>
      <c r="D183" s="231" t="s">
        <v>195</v>
      </c>
      <c r="E183" s="237"/>
      <c r="F183" s="213"/>
      <c r="G183" s="271"/>
      <c r="H183" s="271"/>
      <c r="I183" s="271"/>
      <c r="J183" s="271"/>
      <c r="K183" s="271"/>
      <c r="L183" s="271"/>
      <c r="M183" s="271"/>
      <c r="N183" s="271"/>
      <c r="O183" s="271"/>
      <c r="P183" s="271"/>
      <c r="Q183" s="271"/>
      <c r="R183" s="271"/>
      <c r="S183" s="271"/>
      <c r="T183" s="271"/>
      <c r="U183" s="271"/>
      <c r="AL183" s="271"/>
      <c r="AM183" s="271"/>
      <c r="AN183" s="271"/>
      <c r="AO183" s="271"/>
      <c r="AP183" s="271"/>
      <c r="AQ183" s="271"/>
      <c r="AR183" s="271"/>
      <c r="AS183" s="271"/>
    </row>
    <row r="184" spans="3:45" ht="15" customHeight="1" outlineLevel="1">
      <c r="C184" s="248">
        <f>SUM(G184:U184)</f>
        <v>145</v>
      </c>
      <c r="D184" s="213" t="s">
        <v>196</v>
      </c>
      <c r="E184" s="237" t="s">
        <v>112</v>
      </c>
      <c r="F184" s="213"/>
      <c r="G184" s="248">
        <f t="shared" ref="G184:S184" si="104">SUM(G133:G134)*$F$27*(G75=0)</f>
        <v>145</v>
      </c>
      <c r="H184" s="248">
        <f t="shared" si="104"/>
        <v>0</v>
      </c>
      <c r="I184" s="248">
        <f t="shared" si="104"/>
        <v>0</v>
      </c>
      <c r="J184" s="248">
        <f t="shared" si="104"/>
        <v>0</v>
      </c>
      <c r="K184" s="248">
        <f t="shared" si="104"/>
        <v>0</v>
      </c>
      <c r="L184" s="248">
        <f t="shared" si="104"/>
        <v>0</v>
      </c>
      <c r="M184" s="248">
        <f t="shared" si="104"/>
        <v>0</v>
      </c>
      <c r="N184" s="248">
        <f t="shared" si="104"/>
        <v>0</v>
      </c>
      <c r="O184" s="248">
        <f t="shared" si="104"/>
        <v>0</v>
      </c>
      <c r="P184" s="248">
        <f t="shared" si="104"/>
        <v>0</v>
      </c>
      <c r="Q184" s="248">
        <f t="shared" si="104"/>
        <v>0</v>
      </c>
      <c r="R184" s="248">
        <f t="shared" si="104"/>
        <v>0</v>
      </c>
      <c r="S184" s="248">
        <f t="shared" si="104"/>
        <v>0</v>
      </c>
      <c r="T184" s="248"/>
      <c r="U184" s="248"/>
      <c r="AL184" s="248"/>
      <c r="AM184" s="248"/>
      <c r="AN184" s="248"/>
      <c r="AO184" s="248"/>
      <c r="AP184" s="248"/>
      <c r="AQ184" s="248"/>
      <c r="AR184" s="248"/>
      <c r="AS184" s="248"/>
    </row>
    <row r="185" spans="3:45" ht="15" customHeight="1" outlineLevel="1">
      <c r="C185" s="248">
        <f>SUM(G185:U185)</f>
        <v>187.06959898562496</v>
      </c>
      <c r="D185" s="213" t="s">
        <v>197</v>
      </c>
      <c r="E185" s="237" t="s">
        <v>112</v>
      </c>
      <c r="F185" s="213"/>
      <c r="G185" s="248">
        <f t="shared" ref="G185:S185" si="105">PMT(($F$29+1)*(1+$F$34)-1,$F$28,$C$184)*AND(G75&gt;0,G75&lt;=$F$28)*-1</f>
        <v>0</v>
      </c>
      <c r="H185" s="248">
        <f t="shared" si="105"/>
        <v>0</v>
      </c>
      <c r="I185" s="248">
        <f t="shared" si="105"/>
        <v>37.41391979712499</v>
      </c>
      <c r="J185" s="248">
        <f t="shared" si="105"/>
        <v>37.41391979712499</v>
      </c>
      <c r="K185" s="248">
        <f t="shared" si="105"/>
        <v>37.41391979712499</v>
      </c>
      <c r="L185" s="248">
        <f t="shared" si="105"/>
        <v>37.41391979712499</v>
      </c>
      <c r="M185" s="248">
        <f t="shared" si="105"/>
        <v>37.41391979712499</v>
      </c>
      <c r="N185" s="248">
        <f t="shared" si="105"/>
        <v>0</v>
      </c>
      <c r="O185" s="248">
        <f t="shared" si="105"/>
        <v>0</v>
      </c>
      <c r="P185" s="248">
        <f t="shared" si="105"/>
        <v>0</v>
      </c>
      <c r="Q185" s="248">
        <f t="shared" si="105"/>
        <v>0</v>
      </c>
      <c r="R185" s="248">
        <f t="shared" si="105"/>
        <v>0</v>
      </c>
      <c r="S185" s="248">
        <f t="shared" si="105"/>
        <v>0</v>
      </c>
      <c r="T185" s="248"/>
      <c r="U185" s="248"/>
      <c r="AL185" s="248"/>
      <c r="AM185" s="248"/>
      <c r="AN185" s="248"/>
      <c r="AO185" s="248"/>
      <c r="AP185" s="248"/>
      <c r="AQ185" s="248"/>
      <c r="AR185" s="248"/>
      <c r="AS185" s="248"/>
    </row>
    <row r="186" spans="3:45" ht="15" customHeight="1">
      <c r="C186" s="248">
        <f>SUM(G186:U186)</f>
        <v>42.06959898562495</v>
      </c>
      <c r="D186" s="213" t="s">
        <v>198</v>
      </c>
      <c r="E186" s="237" t="s">
        <v>112</v>
      </c>
      <c r="F186" s="213"/>
      <c r="G186" s="248">
        <f>G185-G184</f>
        <v>-145</v>
      </c>
      <c r="H186" s="248">
        <f t="shared" ref="H186:S186" si="106">H185-H184</f>
        <v>0</v>
      </c>
      <c r="I186" s="248">
        <f t="shared" si="106"/>
        <v>37.41391979712499</v>
      </c>
      <c r="J186" s="248">
        <f t="shared" si="106"/>
        <v>37.41391979712499</v>
      </c>
      <c r="K186" s="248">
        <f t="shared" si="106"/>
        <v>37.41391979712499</v>
      </c>
      <c r="L186" s="248">
        <f t="shared" si="106"/>
        <v>37.41391979712499</v>
      </c>
      <c r="M186" s="248">
        <f t="shared" si="106"/>
        <v>37.41391979712499</v>
      </c>
      <c r="N186" s="248">
        <f t="shared" si="106"/>
        <v>0</v>
      </c>
      <c r="O186" s="248">
        <f t="shared" si="106"/>
        <v>0</v>
      </c>
      <c r="P186" s="248">
        <f t="shared" si="106"/>
        <v>0</v>
      </c>
      <c r="Q186" s="248">
        <f t="shared" si="106"/>
        <v>0</v>
      </c>
      <c r="R186" s="248">
        <f t="shared" si="106"/>
        <v>0</v>
      </c>
      <c r="S186" s="248">
        <f t="shared" si="106"/>
        <v>0</v>
      </c>
      <c r="T186" s="248"/>
      <c r="U186" s="248"/>
    </row>
    <row r="187" spans="3:45" ht="15" customHeight="1" outlineLevel="1">
      <c r="C187" s="248">
        <f>SUM(G187:U187)</f>
        <v>42.069598985624943</v>
      </c>
      <c r="D187" s="213" t="s">
        <v>190</v>
      </c>
      <c r="E187" s="237" t="s">
        <v>112</v>
      </c>
      <c r="F187" s="213"/>
      <c r="G187" s="248">
        <f t="shared" ref="G187:S187" si="107">IF(AND(G75&gt;0,G75&lt;=$F$28),-1*IPMT(($F$29+1)*(1+$F$34)-1,G75,$F$28,$C$184),0)</f>
        <v>0</v>
      </c>
      <c r="H187" s="248">
        <f t="shared" si="107"/>
        <v>0</v>
      </c>
      <c r="I187" s="248">
        <f t="shared" si="107"/>
        <v>13.253000000000021</v>
      </c>
      <c r="J187" s="248">
        <f t="shared" si="107"/>
        <v>11.044691930542797</v>
      </c>
      <c r="K187" s="248">
        <f t="shared" si="107"/>
        <v>8.6345445035371817</v>
      </c>
      <c r="L187" s="248">
        <f t="shared" si="107"/>
        <v>6.0041096017032487</v>
      </c>
      <c r="M187" s="248">
        <f t="shared" si="107"/>
        <v>3.1332529498416979</v>
      </c>
      <c r="N187" s="248">
        <f t="shared" si="107"/>
        <v>0</v>
      </c>
      <c r="O187" s="248">
        <f t="shared" si="107"/>
        <v>0</v>
      </c>
      <c r="P187" s="248">
        <f t="shared" si="107"/>
        <v>0</v>
      </c>
      <c r="Q187" s="248">
        <f t="shared" si="107"/>
        <v>0</v>
      </c>
      <c r="R187" s="248">
        <f t="shared" si="107"/>
        <v>0</v>
      </c>
      <c r="S187" s="248">
        <f t="shared" si="107"/>
        <v>0</v>
      </c>
      <c r="T187" s="248"/>
      <c r="U187" s="248"/>
      <c r="AL187" s="248"/>
      <c r="AM187" s="248"/>
      <c r="AN187" s="248"/>
      <c r="AO187" s="248"/>
      <c r="AP187" s="248"/>
      <c r="AQ187" s="248"/>
      <c r="AR187" s="248"/>
      <c r="AS187" s="248"/>
    </row>
    <row r="188" spans="3:45" ht="15" customHeight="1">
      <c r="C188" s="275"/>
      <c r="D188" s="211"/>
      <c r="E188" s="276"/>
      <c r="F188" s="211"/>
      <c r="G188" s="277"/>
      <c r="H188" s="277"/>
      <c r="I188" s="277"/>
      <c r="J188" s="277"/>
      <c r="K188" s="277"/>
      <c r="L188" s="277"/>
      <c r="M188" s="277"/>
      <c r="N188" s="277"/>
      <c r="O188" s="277"/>
      <c r="P188" s="277"/>
      <c r="Q188" s="277"/>
      <c r="R188" s="277"/>
      <c r="S188" s="277"/>
      <c r="T188" s="277"/>
      <c r="U188" s="277"/>
    </row>
    <row r="189" spans="3:45" ht="15" customHeight="1">
      <c r="C189" s="259"/>
      <c r="D189" s="231" t="s">
        <v>332</v>
      </c>
      <c r="E189" s="237"/>
      <c r="F189" s="213"/>
      <c r="G189" s="271"/>
      <c r="H189" s="271"/>
      <c r="I189" s="271"/>
      <c r="J189" s="271"/>
      <c r="K189" s="271"/>
      <c r="L189" s="271"/>
      <c r="M189" s="271"/>
      <c r="N189" s="271"/>
      <c r="O189" s="271"/>
      <c r="P189" s="271"/>
      <c r="Q189" s="271"/>
      <c r="R189" s="271"/>
      <c r="S189" s="271"/>
      <c r="T189" s="271"/>
      <c r="U189" s="271"/>
    </row>
    <row r="190" spans="3:45" ht="15" customHeight="1">
      <c r="C190" s="248">
        <f t="shared" ref="C190:C199" si="108">SUM(G190:U190)</f>
        <v>4304.6252651056275</v>
      </c>
      <c r="D190" s="213" t="s">
        <v>285</v>
      </c>
      <c r="E190" s="237" t="s">
        <v>112</v>
      </c>
      <c r="F190" s="213"/>
      <c r="G190" s="248">
        <f>G178</f>
        <v>0</v>
      </c>
      <c r="H190" s="248">
        <f t="shared" ref="H190:S190" si="109">H178</f>
        <v>0</v>
      </c>
      <c r="I190" s="248">
        <f t="shared" si="109"/>
        <v>87.445519999999874</v>
      </c>
      <c r="J190" s="248">
        <f t="shared" si="109"/>
        <v>430.73619846945712</v>
      </c>
      <c r="K190" s="248">
        <f t="shared" si="109"/>
        <v>441.98196370446271</v>
      </c>
      <c r="L190" s="248">
        <f t="shared" si="109"/>
        <v>453.62472877045661</v>
      </c>
      <c r="M190" s="248">
        <f t="shared" si="109"/>
        <v>465.6881621897615</v>
      </c>
      <c r="N190" s="248">
        <f t="shared" si="109"/>
        <v>478.19784344239508</v>
      </c>
      <c r="O190" s="248">
        <f t="shared" si="109"/>
        <v>472.82314320346427</v>
      </c>
      <c r="P190" s="248">
        <f t="shared" si="109"/>
        <v>482.18001502014829</v>
      </c>
      <c r="Q190" s="248">
        <f t="shared" si="109"/>
        <v>491.52085853650027</v>
      </c>
      <c r="R190" s="248">
        <f t="shared" si="109"/>
        <v>500.42683176898186</v>
      </c>
      <c r="S190" s="248">
        <f t="shared" si="109"/>
        <v>-1.4210854715202004E-14</v>
      </c>
      <c r="T190" s="248"/>
      <c r="U190" s="248"/>
    </row>
    <row r="191" spans="3:45" ht="15" customHeight="1">
      <c r="C191" s="248">
        <f t="shared" si="108"/>
        <v>42.069598985624943</v>
      </c>
      <c r="D191" s="270" t="s">
        <v>286</v>
      </c>
      <c r="E191" s="237" t="s">
        <v>112</v>
      </c>
      <c r="F191" s="213"/>
      <c r="G191" s="248">
        <f>G177</f>
        <v>0</v>
      </c>
      <c r="H191" s="248">
        <f t="shared" ref="H191:S191" si="110">H177</f>
        <v>0</v>
      </c>
      <c r="I191" s="248">
        <f t="shared" si="110"/>
        <v>13.253000000000021</v>
      </c>
      <c r="J191" s="248">
        <f t="shared" si="110"/>
        <v>11.044691930542797</v>
      </c>
      <c r="K191" s="248">
        <f t="shared" si="110"/>
        <v>8.6345445035371817</v>
      </c>
      <c r="L191" s="248">
        <f t="shared" si="110"/>
        <v>6.0041096017032487</v>
      </c>
      <c r="M191" s="248">
        <f t="shared" si="110"/>
        <v>3.1332529498416979</v>
      </c>
      <c r="N191" s="248">
        <f t="shared" si="110"/>
        <v>0</v>
      </c>
      <c r="O191" s="248">
        <f t="shared" si="110"/>
        <v>0</v>
      </c>
      <c r="P191" s="248">
        <f t="shared" si="110"/>
        <v>0</v>
      </c>
      <c r="Q191" s="248">
        <f t="shared" si="110"/>
        <v>0</v>
      </c>
      <c r="R191" s="248">
        <f t="shared" si="110"/>
        <v>0</v>
      </c>
      <c r="S191" s="248">
        <f t="shared" si="110"/>
        <v>0</v>
      </c>
      <c r="T191" s="248"/>
      <c r="U191" s="248"/>
    </row>
    <row r="192" spans="3:45" ht="15" customHeight="1">
      <c r="C192" s="248">
        <f t="shared" si="108"/>
        <v>0</v>
      </c>
      <c r="D192" s="270" t="s">
        <v>287</v>
      </c>
      <c r="E192" s="237" t="s">
        <v>112</v>
      </c>
      <c r="F192" s="213"/>
      <c r="G192" s="248">
        <f>G174</f>
        <v>0</v>
      </c>
      <c r="H192" s="248">
        <f t="shared" ref="H192:S192" si="111">H174</f>
        <v>0</v>
      </c>
      <c r="I192" s="248">
        <f t="shared" si="111"/>
        <v>0</v>
      </c>
      <c r="J192" s="248">
        <f t="shared" si="111"/>
        <v>0</v>
      </c>
      <c r="K192" s="248">
        <f t="shared" si="111"/>
        <v>0</v>
      </c>
      <c r="L192" s="248">
        <f t="shared" si="111"/>
        <v>0</v>
      </c>
      <c r="M192" s="248">
        <f t="shared" si="111"/>
        <v>0</v>
      </c>
      <c r="N192" s="248">
        <f t="shared" si="111"/>
        <v>0</v>
      </c>
      <c r="O192" s="248">
        <f t="shared" si="111"/>
        <v>0</v>
      </c>
      <c r="P192" s="248">
        <f t="shared" si="111"/>
        <v>0</v>
      </c>
      <c r="Q192" s="248">
        <f t="shared" si="111"/>
        <v>0</v>
      </c>
      <c r="R192" s="248">
        <f t="shared" si="111"/>
        <v>0</v>
      </c>
      <c r="S192" s="248">
        <f t="shared" si="111"/>
        <v>0</v>
      </c>
      <c r="T192" s="248"/>
      <c r="U192" s="248"/>
    </row>
    <row r="193" spans="1:21" ht="15" customHeight="1">
      <c r="C193" s="248">
        <f t="shared" si="108"/>
        <v>0</v>
      </c>
      <c r="D193" s="270" t="s">
        <v>385</v>
      </c>
      <c r="E193" s="237" t="s">
        <v>112</v>
      </c>
      <c r="F193" s="213"/>
      <c r="G193" s="248">
        <f>G166</f>
        <v>0</v>
      </c>
      <c r="H193" s="248">
        <f t="shared" ref="H193:S193" si="112">H166</f>
        <v>0</v>
      </c>
      <c r="I193" s="248">
        <f t="shared" si="112"/>
        <v>0</v>
      </c>
      <c r="J193" s="248">
        <f t="shared" si="112"/>
        <v>0</v>
      </c>
      <c r="K193" s="248">
        <f t="shared" si="112"/>
        <v>0</v>
      </c>
      <c r="L193" s="248">
        <f t="shared" si="112"/>
        <v>0</v>
      </c>
      <c r="M193" s="248">
        <f t="shared" si="112"/>
        <v>0</v>
      </c>
      <c r="N193" s="248">
        <f t="shared" si="112"/>
        <v>0</v>
      </c>
      <c r="O193" s="248">
        <f t="shared" si="112"/>
        <v>0</v>
      </c>
      <c r="P193" s="248">
        <f t="shared" si="112"/>
        <v>0</v>
      </c>
      <c r="Q193" s="248">
        <f t="shared" si="112"/>
        <v>0</v>
      </c>
      <c r="R193" s="248">
        <f t="shared" si="112"/>
        <v>0</v>
      </c>
      <c r="S193" s="248">
        <f t="shared" si="112"/>
        <v>0</v>
      </c>
      <c r="T193" s="248"/>
      <c r="U193" s="248"/>
    </row>
    <row r="194" spans="1:21" ht="15" customHeight="1">
      <c r="C194" s="248">
        <f t="shared" si="108"/>
        <v>0</v>
      </c>
      <c r="D194" s="270" t="s">
        <v>339</v>
      </c>
      <c r="E194" s="237" t="s">
        <v>112</v>
      </c>
      <c r="F194" s="213"/>
      <c r="G194" s="248">
        <f>(G92+G93)*-1</f>
        <v>0</v>
      </c>
      <c r="H194" s="248">
        <f t="shared" ref="H194:S194" si="113">(H92+H93)*-1</f>
        <v>0</v>
      </c>
      <c r="I194" s="248">
        <f t="shared" si="113"/>
        <v>0</v>
      </c>
      <c r="J194" s="248">
        <f t="shared" si="113"/>
        <v>0</v>
      </c>
      <c r="K194" s="248">
        <f t="shared" si="113"/>
        <v>0</v>
      </c>
      <c r="L194" s="248">
        <f t="shared" si="113"/>
        <v>0</v>
      </c>
      <c r="M194" s="248">
        <f t="shared" si="113"/>
        <v>0</v>
      </c>
      <c r="N194" s="248">
        <f t="shared" si="113"/>
        <v>0</v>
      </c>
      <c r="O194" s="248">
        <f t="shared" si="113"/>
        <v>0</v>
      </c>
      <c r="P194" s="248">
        <f t="shared" si="113"/>
        <v>0</v>
      </c>
      <c r="Q194" s="248">
        <f t="shared" si="113"/>
        <v>0</v>
      </c>
      <c r="R194" s="248">
        <f t="shared" si="113"/>
        <v>0</v>
      </c>
      <c r="S194" s="248">
        <f t="shared" si="113"/>
        <v>0</v>
      </c>
      <c r="T194" s="248"/>
      <c r="U194" s="248"/>
    </row>
    <row r="195" spans="1:21" ht="15" customHeight="1">
      <c r="C195" s="248">
        <f t="shared" si="108"/>
        <v>0</v>
      </c>
      <c r="D195" s="270" t="str">
        <f>"(deduct) CIT paid: "&amp;IF($F$19="yes","yes","no")</f>
        <v>(deduct) CIT paid: no</v>
      </c>
      <c r="E195" s="237" t="s">
        <v>112</v>
      </c>
      <c r="F195" s="213"/>
      <c r="G195" s="248">
        <f>G181*($F$19="yes")*-1</f>
        <v>0</v>
      </c>
      <c r="H195" s="248">
        <f t="shared" ref="H195:S195" si="114">H181*($F$19="yes")*-1</f>
        <v>0</v>
      </c>
      <c r="I195" s="248">
        <f t="shared" si="114"/>
        <v>0</v>
      </c>
      <c r="J195" s="248">
        <f t="shared" si="114"/>
        <v>0</v>
      </c>
      <c r="K195" s="248">
        <f t="shared" si="114"/>
        <v>0</v>
      </c>
      <c r="L195" s="248">
        <f t="shared" si="114"/>
        <v>0</v>
      </c>
      <c r="M195" s="248">
        <f t="shared" si="114"/>
        <v>0</v>
      </c>
      <c r="N195" s="248">
        <f t="shared" si="114"/>
        <v>0</v>
      </c>
      <c r="O195" s="248">
        <f t="shared" si="114"/>
        <v>0</v>
      </c>
      <c r="P195" s="248">
        <f t="shared" si="114"/>
        <v>0</v>
      </c>
      <c r="Q195" s="248">
        <f t="shared" si="114"/>
        <v>0</v>
      </c>
      <c r="R195" s="248">
        <f t="shared" si="114"/>
        <v>0</v>
      </c>
      <c r="S195" s="248">
        <f t="shared" si="114"/>
        <v>0</v>
      </c>
      <c r="T195" s="248"/>
      <c r="U195" s="248"/>
    </row>
    <row r="196" spans="1:21" ht="15" customHeight="1">
      <c r="A196" s="253" t="b">
        <f>ROUND(C196+C125+C128-C166-C195,5)=ROUND(C97,5)</f>
        <v>1</v>
      </c>
      <c r="C196" s="248">
        <f t="shared" si="108"/>
        <v>4346.6948640912533</v>
      </c>
      <c r="D196" s="213" t="s">
        <v>288</v>
      </c>
      <c r="E196" s="237" t="s">
        <v>112</v>
      </c>
      <c r="F196" s="213"/>
      <c r="G196" s="248">
        <f>SUM(G190:G195)</f>
        <v>0</v>
      </c>
      <c r="H196" s="248">
        <f t="shared" ref="H196:S196" si="115">SUM(H190:H195)</f>
        <v>0</v>
      </c>
      <c r="I196" s="248">
        <f t="shared" si="115"/>
        <v>100.69851999999989</v>
      </c>
      <c r="J196" s="248">
        <f t="shared" si="115"/>
        <v>441.78089039999992</v>
      </c>
      <c r="K196" s="248">
        <f t="shared" si="115"/>
        <v>450.61650820799991</v>
      </c>
      <c r="L196" s="248">
        <f t="shared" si="115"/>
        <v>459.62883837215986</v>
      </c>
      <c r="M196" s="248">
        <f t="shared" si="115"/>
        <v>468.82141513960318</v>
      </c>
      <c r="N196" s="248">
        <f t="shared" si="115"/>
        <v>478.19784344239508</v>
      </c>
      <c r="O196" s="248">
        <f t="shared" si="115"/>
        <v>472.82314320346427</v>
      </c>
      <c r="P196" s="248">
        <f t="shared" si="115"/>
        <v>482.18001502014829</v>
      </c>
      <c r="Q196" s="248">
        <f t="shared" si="115"/>
        <v>491.52085853650027</v>
      </c>
      <c r="R196" s="248">
        <f t="shared" si="115"/>
        <v>500.42683176898186</v>
      </c>
      <c r="S196" s="248">
        <f t="shared" si="115"/>
        <v>-1.4210854715202004E-14</v>
      </c>
      <c r="T196" s="248"/>
      <c r="U196" s="248"/>
    </row>
    <row r="197" spans="1:21" ht="15" customHeight="1">
      <c r="C197" s="248">
        <f t="shared" si="108"/>
        <v>0</v>
      </c>
      <c r="D197" s="273" t="s">
        <v>289</v>
      </c>
      <c r="E197" s="237" t="s">
        <v>112</v>
      </c>
      <c r="F197" s="213"/>
      <c r="G197" s="248">
        <f>F198*(F198&lt;0)</f>
        <v>0</v>
      </c>
      <c r="H197" s="248">
        <f t="shared" ref="H197:S197" si="116">G198*(G198&lt;0)</f>
        <v>0</v>
      </c>
      <c r="I197" s="248">
        <f t="shared" si="116"/>
        <v>0</v>
      </c>
      <c r="J197" s="248">
        <f t="shared" si="116"/>
        <v>0</v>
      </c>
      <c r="K197" s="248">
        <f t="shared" si="116"/>
        <v>0</v>
      </c>
      <c r="L197" s="248">
        <f t="shared" si="116"/>
        <v>0</v>
      </c>
      <c r="M197" s="248">
        <f t="shared" si="116"/>
        <v>0</v>
      </c>
      <c r="N197" s="248">
        <f t="shared" si="116"/>
        <v>0</v>
      </c>
      <c r="O197" s="248">
        <f t="shared" si="116"/>
        <v>0</v>
      </c>
      <c r="P197" s="248">
        <f t="shared" si="116"/>
        <v>0</v>
      </c>
      <c r="Q197" s="248">
        <f t="shared" si="116"/>
        <v>0</v>
      </c>
      <c r="R197" s="248">
        <f t="shared" si="116"/>
        <v>0</v>
      </c>
      <c r="S197" s="248">
        <f t="shared" si="116"/>
        <v>0</v>
      </c>
      <c r="T197" s="248"/>
      <c r="U197" s="248"/>
    </row>
    <row r="198" spans="1:21" ht="15" customHeight="1">
      <c r="C198" s="248">
        <f t="shared" si="108"/>
        <v>4346.6948640912533</v>
      </c>
      <c r="D198" s="213" t="s">
        <v>290</v>
      </c>
      <c r="E198" s="237" t="s">
        <v>112</v>
      </c>
      <c r="F198" s="213"/>
      <c r="G198" s="248">
        <f>SUM(G196:G197)</f>
        <v>0</v>
      </c>
      <c r="H198" s="248">
        <f t="shared" ref="H198:S198" si="117">SUM(H196:H197)</f>
        <v>0</v>
      </c>
      <c r="I198" s="248">
        <f t="shared" si="117"/>
        <v>100.69851999999989</v>
      </c>
      <c r="J198" s="248">
        <f t="shared" si="117"/>
        <v>441.78089039999992</v>
      </c>
      <c r="K198" s="248">
        <f t="shared" si="117"/>
        <v>450.61650820799991</v>
      </c>
      <c r="L198" s="248">
        <f t="shared" si="117"/>
        <v>459.62883837215986</v>
      </c>
      <c r="M198" s="248">
        <f t="shared" si="117"/>
        <v>468.82141513960318</v>
      </c>
      <c r="N198" s="248">
        <f t="shared" si="117"/>
        <v>478.19784344239508</v>
      </c>
      <c r="O198" s="248">
        <f t="shared" si="117"/>
        <v>472.82314320346427</v>
      </c>
      <c r="P198" s="248">
        <f t="shared" si="117"/>
        <v>482.18001502014829</v>
      </c>
      <c r="Q198" s="248">
        <f t="shared" si="117"/>
        <v>491.52085853650027</v>
      </c>
      <c r="R198" s="248">
        <f t="shared" si="117"/>
        <v>500.42683176898186</v>
      </c>
      <c r="S198" s="248">
        <f t="shared" si="117"/>
        <v>-1.4210854715202004E-14</v>
      </c>
      <c r="T198" s="248"/>
      <c r="U198" s="248"/>
    </row>
    <row r="199" spans="1:21" ht="15" customHeight="1">
      <c r="C199" s="248">
        <f t="shared" si="108"/>
        <v>0</v>
      </c>
      <c r="D199" s="213" t="s">
        <v>333</v>
      </c>
      <c r="E199" s="237" t="s">
        <v>112</v>
      </c>
      <c r="F199" s="213"/>
      <c r="G199" s="248">
        <f t="shared" ref="G199:S199" si="118">$F$18*G198*(G198&gt;0)</f>
        <v>0</v>
      </c>
      <c r="H199" s="248">
        <f t="shared" si="118"/>
        <v>0</v>
      </c>
      <c r="I199" s="248">
        <f t="shared" si="118"/>
        <v>0</v>
      </c>
      <c r="J199" s="248">
        <f t="shared" si="118"/>
        <v>0</v>
      </c>
      <c r="K199" s="248">
        <f t="shared" si="118"/>
        <v>0</v>
      </c>
      <c r="L199" s="248">
        <f t="shared" si="118"/>
        <v>0</v>
      </c>
      <c r="M199" s="248">
        <f t="shared" si="118"/>
        <v>0</v>
      </c>
      <c r="N199" s="248">
        <f t="shared" si="118"/>
        <v>0</v>
      </c>
      <c r="O199" s="248">
        <f t="shared" si="118"/>
        <v>0</v>
      </c>
      <c r="P199" s="248">
        <f t="shared" si="118"/>
        <v>0</v>
      </c>
      <c r="Q199" s="248">
        <f t="shared" si="118"/>
        <v>0</v>
      </c>
      <c r="R199" s="248">
        <f t="shared" si="118"/>
        <v>0</v>
      </c>
      <c r="S199" s="248">
        <f t="shared" si="118"/>
        <v>0</v>
      </c>
      <c r="T199" s="248"/>
      <c r="U199" s="248"/>
    </row>
    <row r="200" spans="1:21" ht="15" customHeight="1">
      <c r="C200" s="259"/>
      <c r="D200" s="213"/>
      <c r="E200" s="237"/>
      <c r="F200" s="213"/>
      <c r="G200" s="248"/>
      <c r="H200" s="248"/>
      <c r="I200" s="248"/>
      <c r="J200" s="248"/>
      <c r="K200" s="248"/>
      <c r="L200" s="248"/>
      <c r="M200" s="248"/>
      <c r="N200" s="248"/>
      <c r="O200" s="248"/>
      <c r="P200" s="248"/>
      <c r="Q200" s="248"/>
      <c r="R200" s="248"/>
      <c r="S200" s="248"/>
      <c r="T200" s="248"/>
      <c r="U200" s="248"/>
    </row>
    <row r="201" spans="1:21" ht="15" customHeight="1">
      <c r="C201" s="259"/>
      <c r="D201" s="231" t="s">
        <v>291</v>
      </c>
      <c r="E201" s="237"/>
      <c r="F201" s="213"/>
      <c r="G201" s="271"/>
      <c r="H201" s="271"/>
      <c r="I201" s="271"/>
      <c r="J201" s="271"/>
      <c r="K201" s="271"/>
      <c r="L201" s="271"/>
      <c r="M201" s="271"/>
      <c r="N201" s="271"/>
      <c r="O201" s="271"/>
      <c r="P201" s="271"/>
      <c r="Q201" s="271"/>
      <c r="R201" s="271"/>
      <c r="S201" s="271"/>
      <c r="T201" s="271"/>
      <c r="U201" s="271"/>
    </row>
    <row r="202" spans="1:21" ht="15" customHeight="1">
      <c r="C202" s="248">
        <f t="shared" ref="C202:C208" si="119">SUM(G202:U202)</f>
        <v>-643.42000000000007</v>
      </c>
      <c r="D202" s="213" t="s">
        <v>292</v>
      </c>
      <c r="E202" s="237" t="s">
        <v>112</v>
      </c>
      <c r="F202" s="213"/>
      <c r="G202" s="248">
        <f>F207*(F207&lt;0)</f>
        <v>0</v>
      </c>
      <c r="H202" s="248">
        <f t="shared" ref="H202:S202" si="120">G207*(G207&lt;0)</f>
        <v>-311</v>
      </c>
      <c r="I202" s="248">
        <f t="shared" si="120"/>
        <v>-332.42</v>
      </c>
      <c r="J202" s="248">
        <f t="shared" si="120"/>
        <v>0</v>
      </c>
      <c r="K202" s="248">
        <f t="shared" si="120"/>
        <v>0</v>
      </c>
      <c r="L202" s="248">
        <f t="shared" si="120"/>
        <v>0</v>
      </c>
      <c r="M202" s="248">
        <f t="shared" si="120"/>
        <v>0</v>
      </c>
      <c r="N202" s="248">
        <f t="shared" si="120"/>
        <v>0</v>
      </c>
      <c r="O202" s="248">
        <f t="shared" si="120"/>
        <v>0</v>
      </c>
      <c r="P202" s="248">
        <f t="shared" si="120"/>
        <v>0</v>
      </c>
      <c r="Q202" s="248">
        <f t="shared" si="120"/>
        <v>0</v>
      </c>
      <c r="R202" s="248">
        <f t="shared" si="120"/>
        <v>0</v>
      </c>
      <c r="S202" s="248">
        <f t="shared" si="120"/>
        <v>0</v>
      </c>
      <c r="T202" s="248"/>
      <c r="U202" s="248"/>
    </row>
    <row r="203" spans="1:21" ht="15" customHeight="1">
      <c r="C203" s="248">
        <f t="shared" si="119"/>
        <v>0</v>
      </c>
      <c r="D203" s="270" t="s">
        <v>293</v>
      </c>
      <c r="E203" s="237" t="s">
        <v>112</v>
      </c>
      <c r="F203" s="213"/>
      <c r="G203" s="248">
        <f t="shared" ref="G203:S203" si="121">G202*$F$21</f>
        <v>0</v>
      </c>
      <c r="H203" s="248">
        <f t="shared" si="121"/>
        <v>0</v>
      </c>
      <c r="I203" s="248">
        <f t="shared" si="121"/>
        <v>0</v>
      </c>
      <c r="J203" s="248">
        <f t="shared" si="121"/>
        <v>0</v>
      </c>
      <c r="K203" s="248">
        <f t="shared" si="121"/>
        <v>0</v>
      </c>
      <c r="L203" s="248">
        <f t="shared" si="121"/>
        <v>0</v>
      </c>
      <c r="M203" s="248">
        <f t="shared" si="121"/>
        <v>0</v>
      </c>
      <c r="N203" s="248">
        <f t="shared" si="121"/>
        <v>0</v>
      </c>
      <c r="O203" s="248">
        <f t="shared" si="121"/>
        <v>0</v>
      </c>
      <c r="P203" s="248">
        <f t="shared" si="121"/>
        <v>0</v>
      </c>
      <c r="Q203" s="248">
        <f t="shared" si="121"/>
        <v>0</v>
      </c>
      <c r="R203" s="248">
        <f t="shared" si="121"/>
        <v>0</v>
      </c>
      <c r="S203" s="248">
        <f t="shared" si="121"/>
        <v>0</v>
      </c>
      <c r="T203" s="248"/>
      <c r="U203" s="248"/>
    </row>
    <row r="204" spans="1:21" ht="15" customHeight="1">
      <c r="C204" s="248">
        <f t="shared" si="119"/>
        <v>4346.6948640912524</v>
      </c>
      <c r="D204" s="270" t="s">
        <v>294</v>
      </c>
      <c r="E204" s="237" t="s">
        <v>112</v>
      </c>
      <c r="F204" s="213"/>
      <c r="G204" s="248">
        <f>G139</f>
        <v>-311</v>
      </c>
      <c r="H204" s="248">
        <f t="shared" ref="H204:S204" si="122">H139</f>
        <v>-21.42</v>
      </c>
      <c r="I204" s="248">
        <f t="shared" si="122"/>
        <v>433.11851999999988</v>
      </c>
      <c r="J204" s="248">
        <f t="shared" si="122"/>
        <v>441.78089039999986</v>
      </c>
      <c r="K204" s="248">
        <f t="shared" si="122"/>
        <v>450.61650820799991</v>
      </c>
      <c r="L204" s="248">
        <f t="shared" si="122"/>
        <v>459.62883837215992</v>
      </c>
      <c r="M204" s="248">
        <f t="shared" si="122"/>
        <v>468.82141513960318</v>
      </c>
      <c r="N204" s="248">
        <f t="shared" si="122"/>
        <v>478.19784344239514</v>
      </c>
      <c r="O204" s="248">
        <f t="shared" si="122"/>
        <v>472.82314320346421</v>
      </c>
      <c r="P204" s="248">
        <f t="shared" si="122"/>
        <v>482.18001502014829</v>
      </c>
      <c r="Q204" s="248">
        <f t="shared" si="122"/>
        <v>491.52085853650027</v>
      </c>
      <c r="R204" s="248">
        <f t="shared" si="122"/>
        <v>500.42683176898186</v>
      </c>
      <c r="S204" s="248">
        <f t="shared" si="122"/>
        <v>-1.4210854715202004E-14</v>
      </c>
      <c r="T204" s="248"/>
      <c r="U204" s="248"/>
    </row>
    <row r="205" spans="1:21" ht="15" customHeight="1">
      <c r="C205" s="248">
        <f t="shared" ref="C205" si="123">SUM(G205:U205)</f>
        <v>0</v>
      </c>
      <c r="D205" s="270" t="s">
        <v>385</v>
      </c>
      <c r="E205" s="237" t="s">
        <v>112</v>
      </c>
      <c r="F205" s="213"/>
      <c r="G205" s="248">
        <f>G166</f>
        <v>0</v>
      </c>
      <c r="H205" s="248">
        <f t="shared" ref="H205:S205" si="124">H166</f>
        <v>0</v>
      </c>
      <c r="I205" s="248">
        <f t="shared" si="124"/>
        <v>0</v>
      </c>
      <c r="J205" s="248">
        <f t="shared" si="124"/>
        <v>0</v>
      </c>
      <c r="K205" s="248">
        <f t="shared" si="124"/>
        <v>0</v>
      </c>
      <c r="L205" s="248">
        <f t="shared" si="124"/>
        <v>0</v>
      </c>
      <c r="M205" s="248">
        <f t="shared" si="124"/>
        <v>0</v>
      </c>
      <c r="N205" s="248">
        <f t="shared" si="124"/>
        <v>0</v>
      </c>
      <c r="O205" s="248">
        <f t="shared" si="124"/>
        <v>0</v>
      </c>
      <c r="P205" s="248">
        <f t="shared" si="124"/>
        <v>0</v>
      </c>
      <c r="Q205" s="248">
        <f t="shared" si="124"/>
        <v>0</v>
      </c>
      <c r="R205" s="248">
        <f t="shared" si="124"/>
        <v>0</v>
      </c>
      <c r="S205" s="248">
        <f t="shared" si="124"/>
        <v>0</v>
      </c>
      <c r="T205" s="248"/>
      <c r="U205" s="248"/>
    </row>
    <row r="206" spans="1:21" ht="15" customHeight="1">
      <c r="C206" s="248">
        <f t="shared" si="119"/>
        <v>0</v>
      </c>
      <c r="D206" s="270" t="str">
        <f>"(deduct) CIT paid: "&amp;IF($F$22="yes","yes","no")</f>
        <v>(deduct) CIT paid: no</v>
      </c>
      <c r="E206" s="237" t="s">
        <v>112</v>
      </c>
      <c r="F206" s="213"/>
      <c r="G206" s="248">
        <f>G181*($F$22="yes")*-1</f>
        <v>0</v>
      </c>
      <c r="H206" s="248">
        <f t="shared" ref="H206:S206" si="125">H181*($F$22="yes")*-1</f>
        <v>0</v>
      </c>
      <c r="I206" s="248">
        <f t="shared" si="125"/>
        <v>0</v>
      </c>
      <c r="J206" s="248">
        <f t="shared" si="125"/>
        <v>0</v>
      </c>
      <c r="K206" s="248">
        <f t="shared" si="125"/>
        <v>0</v>
      </c>
      <c r="L206" s="248">
        <f t="shared" si="125"/>
        <v>0</v>
      </c>
      <c r="M206" s="248">
        <f t="shared" si="125"/>
        <v>0</v>
      </c>
      <c r="N206" s="248">
        <f t="shared" si="125"/>
        <v>0</v>
      </c>
      <c r="O206" s="248">
        <f t="shared" si="125"/>
        <v>0</v>
      </c>
      <c r="P206" s="248">
        <f t="shared" si="125"/>
        <v>0</v>
      </c>
      <c r="Q206" s="248">
        <f t="shared" si="125"/>
        <v>0</v>
      </c>
      <c r="R206" s="248">
        <f t="shared" si="125"/>
        <v>0</v>
      </c>
      <c r="S206" s="248">
        <f t="shared" si="125"/>
        <v>0</v>
      </c>
      <c r="T206" s="248"/>
      <c r="U206" s="248"/>
    </row>
    <row r="207" spans="1:21" ht="15" customHeight="1">
      <c r="C207" s="248">
        <f t="shared" si="119"/>
        <v>3703.2748640912523</v>
      </c>
      <c r="D207" s="273" t="s">
        <v>295</v>
      </c>
      <c r="E207" s="237" t="s">
        <v>112</v>
      </c>
      <c r="F207" s="213"/>
      <c r="G207" s="248">
        <f>SUM(G202:G206)</f>
        <v>-311</v>
      </c>
      <c r="H207" s="248">
        <f t="shared" ref="H207:S207" si="126">SUM(H202:H206)</f>
        <v>-332.42</v>
      </c>
      <c r="I207" s="248">
        <f t="shared" si="126"/>
        <v>100.69851999999986</v>
      </c>
      <c r="J207" s="248">
        <f t="shared" si="126"/>
        <v>441.78089039999986</v>
      </c>
      <c r="K207" s="248">
        <f t="shared" si="126"/>
        <v>450.61650820799991</v>
      </c>
      <c r="L207" s="248">
        <f t="shared" si="126"/>
        <v>459.62883837215992</v>
      </c>
      <c r="M207" s="248">
        <f t="shared" si="126"/>
        <v>468.82141513960318</v>
      </c>
      <c r="N207" s="248">
        <f t="shared" si="126"/>
        <v>478.19784344239514</v>
      </c>
      <c r="O207" s="248">
        <f t="shared" si="126"/>
        <v>472.82314320346421</v>
      </c>
      <c r="P207" s="248">
        <f t="shared" si="126"/>
        <v>482.18001502014829</v>
      </c>
      <c r="Q207" s="248">
        <f t="shared" si="126"/>
        <v>491.52085853650027</v>
      </c>
      <c r="R207" s="248">
        <f t="shared" si="126"/>
        <v>500.42683176898186</v>
      </c>
      <c r="S207" s="248">
        <f t="shared" si="126"/>
        <v>-1.4210854715202004E-14</v>
      </c>
      <c r="T207" s="248"/>
      <c r="U207" s="248"/>
    </row>
    <row r="208" spans="1:21" ht="15" customHeight="1">
      <c r="C208" s="248">
        <f t="shared" si="119"/>
        <v>0</v>
      </c>
      <c r="D208" s="213" t="s">
        <v>296</v>
      </c>
      <c r="E208" s="237" t="s">
        <v>112</v>
      </c>
      <c r="F208" s="213"/>
      <c r="G208" s="248">
        <f t="shared" ref="G208:S208" si="127">G207*(G207&gt;0)*$F$20</f>
        <v>0</v>
      </c>
      <c r="H208" s="248">
        <f t="shared" si="127"/>
        <v>0</v>
      </c>
      <c r="I208" s="248">
        <f t="shared" si="127"/>
        <v>0</v>
      </c>
      <c r="J208" s="248">
        <f t="shared" si="127"/>
        <v>0</v>
      </c>
      <c r="K208" s="248">
        <f t="shared" si="127"/>
        <v>0</v>
      </c>
      <c r="L208" s="248">
        <f t="shared" si="127"/>
        <v>0</v>
      </c>
      <c r="M208" s="248">
        <f t="shared" si="127"/>
        <v>0</v>
      </c>
      <c r="N208" s="248">
        <f t="shared" si="127"/>
        <v>0</v>
      </c>
      <c r="O208" s="248">
        <f t="shared" si="127"/>
        <v>0</v>
      </c>
      <c r="P208" s="248">
        <f t="shared" si="127"/>
        <v>0</v>
      </c>
      <c r="Q208" s="248">
        <f t="shared" si="127"/>
        <v>0</v>
      </c>
      <c r="R208" s="248">
        <f t="shared" si="127"/>
        <v>0</v>
      </c>
      <c r="S208" s="248">
        <f t="shared" si="127"/>
        <v>0</v>
      </c>
      <c r="T208" s="248"/>
      <c r="U208" s="248"/>
    </row>
    <row r="209" spans="1:37" ht="15" customHeight="1">
      <c r="C209" s="248"/>
      <c r="D209" s="278" t="s">
        <v>173</v>
      </c>
      <c r="E209" s="237"/>
      <c r="F209" s="213"/>
      <c r="G209" s="248"/>
      <c r="H209" s="248"/>
      <c r="I209" s="248"/>
      <c r="J209" s="248"/>
      <c r="K209" s="248"/>
      <c r="L209" s="248"/>
      <c r="M209" s="248"/>
      <c r="N209" s="248"/>
      <c r="O209" s="248"/>
      <c r="P209" s="248"/>
      <c r="Q209" s="248"/>
      <c r="R209" s="248"/>
      <c r="S209" s="248"/>
      <c r="T209" s="248"/>
      <c r="U209" s="248"/>
    </row>
    <row r="210" spans="1:37" ht="15" customHeight="1">
      <c r="C210" s="248">
        <f>SUM(G210:U210)</f>
        <v>4346.6948640912524</v>
      </c>
      <c r="D210" s="213" t="s">
        <v>297</v>
      </c>
      <c r="E210" s="237" t="s">
        <v>112</v>
      </c>
      <c r="F210" s="213"/>
      <c r="G210" s="248">
        <f>G204+G206</f>
        <v>-311</v>
      </c>
      <c r="H210" s="248">
        <f t="shared" ref="H210:S210" si="128">H204+H206</f>
        <v>-21.42</v>
      </c>
      <c r="I210" s="248">
        <f t="shared" si="128"/>
        <v>433.11851999999988</v>
      </c>
      <c r="J210" s="248">
        <f t="shared" si="128"/>
        <v>441.78089039999986</v>
      </c>
      <c r="K210" s="248">
        <f t="shared" si="128"/>
        <v>450.61650820799991</v>
      </c>
      <c r="L210" s="248">
        <f t="shared" si="128"/>
        <v>459.62883837215992</v>
      </c>
      <c r="M210" s="248">
        <f t="shared" si="128"/>
        <v>468.82141513960318</v>
      </c>
      <c r="N210" s="248">
        <f t="shared" si="128"/>
        <v>478.19784344239514</v>
      </c>
      <c r="O210" s="248">
        <f t="shared" si="128"/>
        <v>472.82314320346421</v>
      </c>
      <c r="P210" s="248">
        <f t="shared" si="128"/>
        <v>482.18001502014829</v>
      </c>
      <c r="Q210" s="248">
        <f t="shared" si="128"/>
        <v>491.52085853650027</v>
      </c>
      <c r="R210" s="248">
        <f t="shared" si="128"/>
        <v>500.42683176898186</v>
      </c>
      <c r="S210" s="248">
        <f t="shared" si="128"/>
        <v>-1.4210854715202004E-14</v>
      </c>
      <c r="T210" s="248"/>
      <c r="U210" s="248"/>
    </row>
    <row r="211" spans="1:37" ht="15" customHeight="1">
      <c r="C211" s="259"/>
      <c r="D211" s="213" t="s">
        <v>298</v>
      </c>
      <c r="E211" s="237" t="s">
        <v>17</v>
      </c>
      <c r="F211" s="213"/>
      <c r="G211" s="279">
        <f>IFERROR(IRR($G$210:G210),0)</f>
        <v>0</v>
      </c>
      <c r="H211" s="279">
        <f>IFERROR(IRR($G$210:H210),0)</f>
        <v>0</v>
      </c>
      <c r="I211" s="279">
        <f>IFERROR(IRR($G$210:I210),0)</f>
        <v>0.14617693898294082</v>
      </c>
      <c r="J211" s="279">
        <f>IFERROR(IRR($G$210:J210),0)</f>
        <v>0.49631260662942078</v>
      </c>
      <c r="K211" s="279">
        <f>IFERROR(IRR($G$210:K210),0)</f>
        <v>0.63889582035635795</v>
      </c>
      <c r="L211" s="279">
        <f>IFERROR(IRR($G$210:L210),0)</f>
        <v>0.70459728676439948</v>
      </c>
      <c r="M211" s="279">
        <f>IFERROR(IRR($G$210:M210),0)</f>
        <v>0.73727247067601498</v>
      </c>
      <c r="N211" s="279">
        <f>IFERROR(IRR($G$210:N210),0)</f>
        <v>0.7543428682930029</v>
      </c>
      <c r="O211" s="279">
        <f>IFERROR(IRR($G$210:O210),0)</f>
        <v>0.76328040131097796</v>
      </c>
      <c r="P211" s="279">
        <f>IFERROR(IRR($G$210:P210),0)</f>
        <v>0.76821486586678778</v>
      </c>
      <c r="Q211" s="279">
        <f>IFERROR(IRR($G$210:Q210),0)</f>
        <v>0.77097607002561142</v>
      </c>
      <c r="R211" s="279">
        <f>IFERROR(IRR($G$210:R210),0)</f>
        <v>0.77253354193404267</v>
      </c>
      <c r="S211" s="279">
        <f>IFERROR(IRR($G$210:S210),0)</f>
        <v>0.77253354193404267</v>
      </c>
      <c r="T211" s="279"/>
      <c r="U211" s="279"/>
    </row>
    <row r="212" spans="1:37" ht="15" customHeight="1">
      <c r="C212" s="259"/>
      <c r="D212" s="211"/>
      <c r="E212" s="211"/>
      <c r="F212" s="211"/>
      <c r="G212" s="211"/>
      <c r="H212" s="211"/>
      <c r="I212" s="211"/>
      <c r="J212" s="211"/>
      <c r="K212" s="211"/>
      <c r="L212" s="211"/>
      <c r="M212" s="211"/>
      <c r="N212" s="211"/>
      <c r="O212" s="211"/>
      <c r="P212" s="211"/>
      <c r="Q212" s="211"/>
      <c r="R212" s="211"/>
      <c r="S212" s="211"/>
      <c r="T212" s="211"/>
      <c r="U212" s="211"/>
    </row>
    <row r="213" spans="1:37" ht="15" customHeight="1">
      <c r="C213" s="280"/>
      <c r="D213" s="231" t="s">
        <v>299</v>
      </c>
      <c r="E213" s="237"/>
      <c r="F213" s="213"/>
      <c r="G213" s="248"/>
      <c r="H213" s="248"/>
      <c r="I213" s="248"/>
      <c r="J213" s="248"/>
      <c r="K213" s="248"/>
      <c r="L213" s="248"/>
      <c r="M213" s="248"/>
      <c r="N213" s="248"/>
      <c r="O213" s="248"/>
      <c r="P213" s="248"/>
      <c r="Q213" s="248"/>
      <c r="R213" s="248"/>
      <c r="S213" s="248"/>
      <c r="T213" s="248"/>
      <c r="U213" s="248"/>
    </row>
    <row r="214" spans="1:37" ht="15" customHeight="1">
      <c r="C214" s="248">
        <f>SUM(G214:U214)</f>
        <v>4346.6948640912524</v>
      </c>
      <c r="D214" s="213" t="s">
        <v>300</v>
      </c>
      <c r="E214" s="237" t="s">
        <v>112</v>
      </c>
      <c r="F214" s="213"/>
      <c r="G214" s="248">
        <f t="shared" ref="G214:S214" si="129">G139</f>
        <v>-311</v>
      </c>
      <c r="H214" s="248">
        <f t="shared" si="129"/>
        <v>-21.42</v>
      </c>
      <c r="I214" s="248">
        <f t="shared" si="129"/>
        <v>433.11851999999988</v>
      </c>
      <c r="J214" s="248">
        <f t="shared" si="129"/>
        <v>441.78089039999986</v>
      </c>
      <c r="K214" s="248">
        <f t="shared" si="129"/>
        <v>450.61650820799991</v>
      </c>
      <c r="L214" s="248">
        <f t="shared" si="129"/>
        <v>459.62883837215992</v>
      </c>
      <c r="M214" s="248">
        <f t="shared" si="129"/>
        <v>468.82141513960318</v>
      </c>
      <c r="N214" s="248">
        <f t="shared" si="129"/>
        <v>478.19784344239514</v>
      </c>
      <c r="O214" s="248">
        <f t="shared" si="129"/>
        <v>472.82314320346421</v>
      </c>
      <c r="P214" s="248">
        <f t="shared" si="129"/>
        <v>482.18001502014829</v>
      </c>
      <c r="Q214" s="248">
        <f t="shared" si="129"/>
        <v>491.52085853650027</v>
      </c>
      <c r="R214" s="248">
        <f t="shared" si="129"/>
        <v>500.42683176898186</v>
      </c>
      <c r="S214" s="248">
        <f t="shared" si="129"/>
        <v>-1.4210854715202004E-14</v>
      </c>
      <c r="T214" s="248"/>
      <c r="U214" s="248"/>
    </row>
    <row r="215" spans="1:37" ht="15" customHeight="1">
      <c r="C215" s="248">
        <f>SUM(G215:U215)</f>
        <v>0</v>
      </c>
      <c r="D215" s="213" t="s">
        <v>386</v>
      </c>
      <c r="E215" s="237" t="s">
        <v>112</v>
      </c>
      <c r="F215" s="213"/>
      <c r="G215" s="248">
        <f>G166</f>
        <v>0</v>
      </c>
      <c r="H215" s="248">
        <f t="shared" ref="H215:S215" si="130">H166</f>
        <v>0</v>
      </c>
      <c r="I215" s="248">
        <f t="shared" si="130"/>
        <v>0</v>
      </c>
      <c r="J215" s="248">
        <f t="shared" si="130"/>
        <v>0</v>
      </c>
      <c r="K215" s="248">
        <f t="shared" si="130"/>
        <v>0</v>
      </c>
      <c r="L215" s="248">
        <f t="shared" si="130"/>
        <v>0</v>
      </c>
      <c r="M215" s="248">
        <f t="shared" si="130"/>
        <v>0</v>
      </c>
      <c r="N215" s="248">
        <f t="shared" si="130"/>
        <v>0</v>
      </c>
      <c r="O215" s="248">
        <f t="shared" si="130"/>
        <v>0</v>
      </c>
      <c r="P215" s="248">
        <f t="shared" si="130"/>
        <v>0</v>
      </c>
      <c r="Q215" s="248">
        <f t="shared" si="130"/>
        <v>0</v>
      </c>
      <c r="R215" s="248">
        <f t="shared" si="130"/>
        <v>0</v>
      </c>
      <c r="S215" s="248">
        <f t="shared" si="130"/>
        <v>0</v>
      </c>
      <c r="T215" s="248"/>
      <c r="U215" s="248"/>
    </row>
    <row r="216" spans="1:37" ht="15" customHeight="1">
      <c r="C216" s="248">
        <f t="shared" ref="C216:C221" si="131">SUM(G216:U216)</f>
        <v>42.06959898562495</v>
      </c>
      <c r="D216" s="213" t="s">
        <v>301</v>
      </c>
      <c r="E216" s="237" t="s">
        <v>112</v>
      </c>
      <c r="F216" s="213"/>
      <c r="G216" s="248">
        <f t="shared" ref="G216:S216" si="132">G186</f>
        <v>-145</v>
      </c>
      <c r="H216" s="248">
        <f t="shared" si="132"/>
        <v>0</v>
      </c>
      <c r="I216" s="248">
        <f t="shared" si="132"/>
        <v>37.41391979712499</v>
      </c>
      <c r="J216" s="248">
        <f t="shared" si="132"/>
        <v>37.41391979712499</v>
      </c>
      <c r="K216" s="248">
        <f t="shared" si="132"/>
        <v>37.41391979712499</v>
      </c>
      <c r="L216" s="248">
        <f t="shared" si="132"/>
        <v>37.41391979712499</v>
      </c>
      <c r="M216" s="248">
        <f t="shared" si="132"/>
        <v>37.41391979712499</v>
      </c>
      <c r="N216" s="248">
        <f t="shared" si="132"/>
        <v>0</v>
      </c>
      <c r="O216" s="248">
        <f t="shared" si="132"/>
        <v>0</v>
      </c>
      <c r="P216" s="248">
        <f t="shared" si="132"/>
        <v>0</v>
      </c>
      <c r="Q216" s="248">
        <f t="shared" si="132"/>
        <v>0</v>
      </c>
      <c r="R216" s="248">
        <f t="shared" si="132"/>
        <v>0</v>
      </c>
      <c r="S216" s="248">
        <f t="shared" si="132"/>
        <v>0</v>
      </c>
      <c r="T216" s="248"/>
      <c r="U216" s="248"/>
    </row>
    <row r="217" spans="1:37" ht="15" customHeight="1">
      <c r="C217" s="248">
        <f t="shared" si="131"/>
        <v>1291.3875795316883</v>
      </c>
      <c r="D217" s="213" t="s">
        <v>187</v>
      </c>
      <c r="E217" s="237" t="s">
        <v>112</v>
      </c>
      <c r="F217" s="213"/>
      <c r="G217" s="248">
        <f>G181</f>
        <v>0</v>
      </c>
      <c r="H217" s="248">
        <f t="shared" ref="H217:S217" si="133">H181</f>
        <v>0</v>
      </c>
      <c r="I217" s="248">
        <f t="shared" si="133"/>
        <v>26.233655999999961</v>
      </c>
      <c r="J217" s="248">
        <f t="shared" si="133"/>
        <v>129.22085954083713</v>
      </c>
      <c r="K217" s="248">
        <f t="shared" si="133"/>
        <v>132.59458911133882</v>
      </c>
      <c r="L217" s="248">
        <f t="shared" si="133"/>
        <v>136.08741863113698</v>
      </c>
      <c r="M217" s="248">
        <f t="shared" si="133"/>
        <v>139.70644865692844</v>
      </c>
      <c r="N217" s="248">
        <f t="shared" si="133"/>
        <v>143.45935303271852</v>
      </c>
      <c r="O217" s="248">
        <f t="shared" si="133"/>
        <v>141.84694296103928</v>
      </c>
      <c r="P217" s="248">
        <f t="shared" si="133"/>
        <v>144.65400450604449</v>
      </c>
      <c r="Q217" s="248">
        <f t="shared" si="133"/>
        <v>147.45625756095006</v>
      </c>
      <c r="R217" s="248">
        <f t="shared" si="133"/>
        <v>150.12804953069454</v>
      </c>
      <c r="S217" s="248">
        <f t="shared" si="133"/>
        <v>0</v>
      </c>
      <c r="T217" s="248"/>
      <c r="U217" s="248"/>
    </row>
    <row r="218" spans="1:37" s="282" customFormat="1" ht="15" customHeight="1">
      <c r="A218" s="281"/>
      <c r="C218" s="248">
        <f t="shared" si="131"/>
        <v>0</v>
      </c>
      <c r="D218" s="213" t="s">
        <v>332</v>
      </c>
      <c r="E218" s="237" t="s">
        <v>112</v>
      </c>
      <c r="F218" s="232"/>
      <c r="G218" s="248">
        <f>G199</f>
        <v>0</v>
      </c>
      <c r="H218" s="248">
        <f t="shared" ref="H218:S218" si="134">H199</f>
        <v>0</v>
      </c>
      <c r="I218" s="248">
        <f t="shared" si="134"/>
        <v>0</v>
      </c>
      <c r="J218" s="248">
        <f t="shared" si="134"/>
        <v>0</v>
      </c>
      <c r="K218" s="248">
        <f t="shared" si="134"/>
        <v>0</v>
      </c>
      <c r="L218" s="248">
        <f t="shared" si="134"/>
        <v>0</v>
      </c>
      <c r="M218" s="248">
        <f t="shared" si="134"/>
        <v>0</v>
      </c>
      <c r="N218" s="248">
        <f t="shared" si="134"/>
        <v>0</v>
      </c>
      <c r="O218" s="248">
        <f t="shared" si="134"/>
        <v>0</v>
      </c>
      <c r="P218" s="248">
        <f t="shared" si="134"/>
        <v>0</v>
      </c>
      <c r="Q218" s="248">
        <f t="shared" si="134"/>
        <v>0</v>
      </c>
      <c r="R218" s="248">
        <f t="shared" si="134"/>
        <v>0</v>
      </c>
      <c r="S218" s="248">
        <f t="shared" si="134"/>
        <v>0</v>
      </c>
      <c r="T218" s="248"/>
      <c r="U218" s="248"/>
      <c r="V218" s="202"/>
      <c r="W218" s="202"/>
      <c r="X218" s="202"/>
      <c r="Y218" s="202"/>
      <c r="Z218" s="202"/>
      <c r="AA218" s="202"/>
      <c r="AB218" s="202"/>
      <c r="AC218" s="202"/>
      <c r="AD218" s="202"/>
      <c r="AE218" s="202"/>
      <c r="AF218" s="202"/>
      <c r="AG218" s="202"/>
      <c r="AH218" s="202"/>
      <c r="AI218" s="202"/>
      <c r="AJ218" s="202"/>
      <c r="AK218" s="202"/>
    </row>
    <row r="219" spans="1:37" s="282" customFormat="1" ht="15" customHeight="1">
      <c r="A219" s="281"/>
      <c r="C219" s="248">
        <f t="shared" si="131"/>
        <v>0</v>
      </c>
      <c r="D219" s="213" t="s">
        <v>291</v>
      </c>
      <c r="E219" s="237" t="s">
        <v>112</v>
      </c>
      <c r="F219" s="232"/>
      <c r="G219" s="248">
        <f>G208</f>
        <v>0</v>
      </c>
      <c r="H219" s="248">
        <f t="shared" ref="H219:S219" si="135">H208</f>
        <v>0</v>
      </c>
      <c r="I219" s="248">
        <f t="shared" si="135"/>
        <v>0</v>
      </c>
      <c r="J219" s="248">
        <f t="shared" si="135"/>
        <v>0</v>
      </c>
      <c r="K219" s="248">
        <f t="shared" si="135"/>
        <v>0</v>
      </c>
      <c r="L219" s="248">
        <f t="shared" si="135"/>
        <v>0</v>
      </c>
      <c r="M219" s="248">
        <f t="shared" si="135"/>
        <v>0</v>
      </c>
      <c r="N219" s="248">
        <f t="shared" si="135"/>
        <v>0</v>
      </c>
      <c r="O219" s="248">
        <f t="shared" si="135"/>
        <v>0</v>
      </c>
      <c r="P219" s="248">
        <f t="shared" si="135"/>
        <v>0</v>
      </c>
      <c r="Q219" s="248">
        <f t="shared" si="135"/>
        <v>0</v>
      </c>
      <c r="R219" s="248">
        <f t="shared" si="135"/>
        <v>0</v>
      </c>
      <c r="S219" s="248">
        <f t="shared" si="135"/>
        <v>0</v>
      </c>
      <c r="T219" s="248"/>
      <c r="U219" s="248"/>
      <c r="V219" s="202"/>
      <c r="W219" s="202"/>
      <c r="X219" s="202"/>
      <c r="Y219" s="202"/>
      <c r="Z219" s="202"/>
      <c r="AA219" s="202"/>
      <c r="AB219" s="202"/>
      <c r="AC219" s="202"/>
      <c r="AD219" s="202"/>
      <c r="AE219" s="202"/>
      <c r="AF219" s="202"/>
      <c r="AG219" s="202"/>
      <c r="AH219" s="202"/>
      <c r="AI219" s="202"/>
      <c r="AJ219" s="202"/>
      <c r="AK219" s="202"/>
    </row>
    <row r="220" spans="1:37" ht="15" customHeight="1">
      <c r="C220" s="248">
        <f t="shared" si="131"/>
        <v>3013.2376855739394</v>
      </c>
      <c r="D220" s="213" t="s">
        <v>200</v>
      </c>
      <c r="E220" s="237" t="s">
        <v>112</v>
      </c>
      <c r="F220" s="213"/>
      <c r="G220" s="248">
        <f>G214+G215-SUM(G216:G219)</f>
        <v>-166</v>
      </c>
      <c r="H220" s="248">
        <f t="shared" ref="H220:S220" si="136">H214+H215-SUM(H216:H219)</f>
        <v>-21.42</v>
      </c>
      <c r="I220" s="248">
        <f t="shared" si="136"/>
        <v>369.47094420287493</v>
      </c>
      <c r="J220" s="248">
        <f t="shared" si="136"/>
        <v>275.14611106203773</v>
      </c>
      <c r="K220" s="248">
        <f t="shared" si="136"/>
        <v>280.60799929953612</v>
      </c>
      <c r="L220" s="248">
        <f t="shared" si="136"/>
        <v>286.12749994389793</v>
      </c>
      <c r="M220" s="248">
        <f t="shared" si="136"/>
        <v>291.70104668554973</v>
      </c>
      <c r="N220" s="248">
        <f t="shared" si="136"/>
        <v>334.73849040967661</v>
      </c>
      <c r="O220" s="248">
        <f t="shared" si="136"/>
        <v>330.97620024242497</v>
      </c>
      <c r="P220" s="248">
        <f t="shared" si="136"/>
        <v>337.5260105141038</v>
      </c>
      <c r="Q220" s="248">
        <f t="shared" si="136"/>
        <v>344.06460097555021</v>
      </c>
      <c r="R220" s="248">
        <f t="shared" si="136"/>
        <v>350.29878223828734</v>
      </c>
      <c r="S220" s="248">
        <f t="shared" si="136"/>
        <v>-1.4210854715202004E-14</v>
      </c>
      <c r="T220" s="248"/>
      <c r="U220" s="248"/>
    </row>
    <row r="221" spans="1:37" ht="15" customHeight="1">
      <c r="C221" s="248">
        <f t="shared" si="131"/>
        <v>18003.208170027679</v>
      </c>
      <c r="D221" s="213" t="s">
        <v>201</v>
      </c>
      <c r="E221" s="237" t="s">
        <v>112</v>
      </c>
      <c r="F221" s="213"/>
      <c r="G221" s="248">
        <f>SUM($G$220:G220)</f>
        <v>-166</v>
      </c>
      <c r="H221" s="248">
        <f>SUM($G$220:H220)</f>
        <v>-187.42000000000002</v>
      </c>
      <c r="I221" s="248">
        <f>SUM($G$220:I220)</f>
        <v>182.05094420287492</v>
      </c>
      <c r="J221" s="248">
        <f>SUM($G$220:J220)</f>
        <v>457.19705526491265</v>
      </c>
      <c r="K221" s="248">
        <f>SUM($G$220:K220)</f>
        <v>737.80505456444871</v>
      </c>
      <c r="L221" s="248">
        <f>SUM($G$220:L220)</f>
        <v>1023.9325545083466</v>
      </c>
      <c r="M221" s="248">
        <f>SUM($G$220:M220)</f>
        <v>1315.6336011938963</v>
      </c>
      <c r="N221" s="248">
        <f>SUM($G$220:N220)</f>
        <v>1650.3720916035729</v>
      </c>
      <c r="O221" s="248">
        <f>SUM($G$220:O220)</f>
        <v>1981.3482918459979</v>
      </c>
      <c r="P221" s="248">
        <f>SUM($G$220:P220)</f>
        <v>2318.8743023601019</v>
      </c>
      <c r="Q221" s="248">
        <f>SUM($G$220:Q220)</f>
        <v>2662.938903335652</v>
      </c>
      <c r="R221" s="248">
        <f>SUM($G$220:R220)</f>
        <v>3013.2376855739394</v>
      </c>
      <c r="S221" s="248">
        <f>SUM($G$220:S220)</f>
        <v>3013.2376855739394</v>
      </c>
      <c r="T221" s="248"/>
      <c r="U221" s="248"/>
    </row>
    <row r="222" spans="1:37" ht="15" customHeight="1">
      <c r="C222" s="259"/>
      <c r="D222" s="213"/>
      <c r="E222" s="237"/>
      <c r="F222" s="213"/>
      <c r="G222" s="248"/>
      <c r="H222" s="248"/>
      <c r="I222" s="248"/>
      <c r="J222" s="248"/>
      <c r="K222" s="248"/>
      <c r="L222" s="248"/>
      <c r="M222" s="248"/>
      <c r="N222" s="248"/>
      <c r="O222" s="248"/>
      <c r="P222" s="248"/>
      <c r="Q222" s="248"/>
      <c r="R222" s="248"/>
      <c r="S222" s="248"/>
      <c r="T222" s="248"/>
      <c r="U222" s="248"/>
    </row>
    <row r="223" spans="1:37" ht="15" customHeight="1">
      <c r="C223" s="248">
        <f t="shared" ref="C223:C226" si="137">SUM(G223:U223)</f>
        <v>3013.2376855739394</v>
      </c>
      <c r="D223" s="213" t="s">
        <v>302</v>
      </c>
      <c r="E223" s="237" t="s">
        <v>112</v>
      </c>
      <c r="F223" s="213"/>
      <c r="G223" s="248">
        <f>IF(G221&lt;0,0,MAX(0,MIN(G221,G220)))</f>
        <v>0</v>
      </c>
      <c r="H223" s="248">
        <f t="shared" ref="H223:S223" si="138">IF(H221&lt;0,0,MAX(0,MIN(H221,H220)))</f>
        <v>0</v>
      </c>
      <c r="I223" s="248">
        <f t="shared" si="138"/>
        <v>182.05094420287492</v>
      </c>
      <c r="J223" s="248">
        <f t="shared" si="138"/>
        <v>275.14611106203773</v>
      </c>
      <c r="K223" s="248">
        <f t="shared" si="138"/>
        <v>280.60799929953612</v>
      </c>
      <c r="L223" s="248">
        <f t="shared" si="138"/>
        <v>286.12749994389793</v>
      </c>
      <c r="M223" s="248">
        <f t="shared" si="138"/>
        <v>291.70104668554973</v>
      </c>
      <c r="N223" s="248">
        <f t="shared" si="138"/>
        <v>334.73849040967661</v>
      </c>
      <c r="O223" s="248">
        <f t="shared" si="138"/>
        <v>330.97620024242497</v>
      </c>
      <c r="P223" s="248">
        <f t="shared" si="138"/>
        <v>337.5260105141038</v>
      </c>
      <c r="Q223" s="248">
        <f t="shared" si="138"/>
        <v>344.06460097555021</v>
      </c>
      <c r="R223" s="248">
        <f t="shared" si="138"/>
        <v>350.29878223828734</v>
      </c>
      <c r="S223" s="248">
        <f t="shared" si="138"/>
        <v>0</v>
      </c>
      <c r="T223" s="248"/>
      <c r="U223" s="248"/>
    </row>
    <row r="224" spans="1:37" ht="15" customHeight="1">
      <c r="B224" s="283"/>
      <c r="C224" s="248">
        <f t="shared" si="137"/>
        <v>301.32376855739398</v>
      </c>
      <c r="D224" s="270" t="s">
        <v>303</v>
      </c>
      <c r="E224" s="237" t="s">
        <v>112</v>
      </c>
      <c r="F224" s="213"/>
      <c r="G224" s="248">
        <f t="shared" ref="G224:S224" si="139">G$223*$F$24*(G223&gt;0)</f>
        <v>0</v>
      </c>
      <c r="H224" s="248">
        <f t="shared" si="139"/>
        <v>0</v>
      </c>
      <c r="I224" s="248">
        <f t="shared" si="139"/>
        <v>18.205094420287491</v>
      </c>
      <c r="J224" s="248">
        <f t="shared" si="139"/>
        <v>27.514611106203773</v>
      </c>
      <c r="K224" s="248">
        <f t="shared" si="139"/>
        <v>28.060799929953614</v>
      </c>
      <c r="L224" s="248">
        <f t="shared" si="139"/>
        <v>28.612749994389794</v>
      </c>
      <c r="M224" s="248">
        <f t="shared" si="139"/>
        <v>29.170104668554973</v>
      </c>
      <c r="N224" s="248">
        <f t="shared" si="139"/>
        <v>33.473849040967664</v>
      </c>
      <c r="O224" s="248">
        <f t="shared" si="139"/>
        <v>33.097620024242495</v>
      </c>
      <c r="P224" s="248">
        <f t="shared" si="139"/>
        <v>33.75260105141038</v>
      </c>
      <c r="Q224" s="248">
        <f t="shared" si="139"/>
        <v>34.406460097555019</v>
      </c>
      <c r="R224" s="248">
        <f t="shared" si="139"/>
        <v>35.029878223828739</v>
      </c>
      <c r="S224" s="248">
        <f t="shared" si="139"/>
        <v>0</v>
      </c>
      <c r="T224" s="248"/>
      <c r="U224" s="248"/>
    </row>
    <row r="225" spans="2:21" ht="15" customHeight="1">
      <c r="C225" s="248">
        <f t="shared" si="137"/>
        <v>2711.9139170165454</v>
      </c>
      <c r="D225" s="270" t="s">
        <v>202</v>
      </c>
      <c r="E225" s="237" t="s">
        <v>112</v>
      </c>
      <c r="F225" s="213"/>
      <c r="G225" s="248">
        <f>G223-G224</f>
        <v>0</v>
      </c>
      <c r="H225" s="248">
        <f t="shared" ref="H225:S225" si="140">H223-H224</f>
        <v>0</v>
      </c>
      <c r="I225" s="248">
        <f t="shared" si="140"/>
        <v>163.84584978258744</v>
      </c>
      <c r="J225" s="248">
        <f t="shared" si="140"/>
        <v>247.63149995583396</v>
      </c>
      <c r="K225" s="248">
        <f t="shared" si="140"/>
        <v>252.5471993695825</v>
      </c>
      <c r="L225" s="248">
        <f t="shared" si="140"/>
        <v>257.51474994950814</v>
      </c>
      <c r="M225" s="248">
        <f t="shared" si="140"/>
        <v>262.53094201699474</v>
      </c>
      <c r="N225" s="248">
        <f t="shared" si="140"/>
        <v>301.26464136870896</v>
      </c>
      <c r="O225" s="248">
        <f t="shared" si="140"/>
        <v>297.87858021818249</v>
      </c>
      <c r="P225" s="248">
        <f t="shared" si="140"/>
        <v>303.77340946269339</v>
      </c>
      <c r="Q225" s="248">
        <f t="shared" si="140"/>
        <v>309.65814087799521</v>
      </c>
      <c r="R225" s="248">
        <f t="shared" si="140"/>
        <v>315.2689040144586</v>
      </c>
      <c r="S225" s="248">
        <f t="shared" si="140"/>
        <v>0</v>
      </c>
      <c r="T225" s="248"/>
      <c r="U225" s="248"/>
    </row>
    <row r="226" spans="2:21" ht="15" customHeight="1">
      <c r="B226" s="283"/>
      <c r="C226" s="248">
        <f t="shared" si="137"/>
        <v>271.1913917016546</v>
      </c>
      <c r="D226" s="213" t="s">
        <v>67</v>
      </c>
      <c r="E226" s="237" t="s">
        <v>112</v>
      </c>
      <c r="F226" s="213"/>
      <c r="G226" s="248">
        <f t="shared" ref="G226:S226" si="141">G225*$F$23</f>
        <v>0</v>
      </c>
      <c r="H226" s="248">
        <f t="shared" si="141"/>
        <v>0</v>
      </c>
      <c r="I226" s="248">
        <f t="shared" si="141"/>
        <v>16.384584978258744</v>
      </c>
      <c r="J226" s="248">
        <f t="shared" si="141"/>
        <v>24.763149995583397</v>
      </c>
      <c r="K226" s="248">
        <f t="shared" si="141"/>
        <v>25.254719936958253</v>
      </c>
      <c r="L226" s="248">
        <f t="shared" si="141"/>
        <v>25.751474994950815</v>
      </c>
      <c r="M226" s="248">
        <f t="shared" si="141"/>
        <v>26.253094201699476</v>
      </c>
      <c r="N226" s="248">
        <f t="shared" si="141"/>
        <v>30.126464136870897</v>
      </c>
      <c r="O226" s="248">
        <f t="shared" si="141"/>
        <v>29.787858021818252</v>
      </c>
      <c r="P226" s="248">
        <f t="shared" si="141"/>
        <v>30.377340946269342</v>
      </c>
      <c r="Q226" s="248">
        <f t="shared" si="141"/>
        <v>30.965814087799522</v>
      </c>
      <c r="R226" s="248">
        <f t="shared" si="141"/>
        <v>31.526890401445861</v>
      </c>
      <c r="S226" s="248">
        <f t="shared" si="141"/>
        <v>0</v>
      </c>
      <c r="T226" s="248"/>
      <c r="U226" s="248"/>
    </row>
    <row r="227" spans="2:21" ht="15" customHeight="1"/>
    <row r="228" spans="2:21" ht="15" customHeight="1">
      <c r="C228" s="248">
        <f>SUM(G228:U228)</f>
        <v>2440.7225253148913</v>
      </c>
      <c r="D228" s="213" t="s">
        <v>304</v>
      </c>
      <c r="E228" s="237" t="s">
        <v>112</v>
      </c>
      <c r="F228" s="213"/>
      <c r="G228" s="248">
        <f t="shared" ref="G228:S228" si="142">G220-G226-G224</f>
        <v>-166</v>
      </c>
      <c r="H228" s="248">
        <f t="shared" si="142"/>
        <v>-21.42</v>
      </c>
      <c r="I228" s="248">
        <f t="shared" si="142"/>
        <v>334.88126480432874</v>
      </c>
      <c r="J228" s="248">
        <f t="shared" si="142"/>
        <v>222.86834996025055</v>
      </c>
      <c r="K228" s="248">
        <f t="shared" si="142"/>
        <v>227.29247943262425</v>
      </c>
      <c r="L228" s="248">
        <f t="shared" si="142"/>
        <v>231.76327495455735</v>
      </c>
      <c r="M228" s="248">
        <f t="shared" si="142"/>
        <v>236.27784781529527</v>
      </c>
      <c r="N228" s="248">
        <f t="shared" si="142"/>
        <v>271.13817723183809</v>
      </c>
      <c r="O228" s="248">
        <f t="shared" si="142"/>
        <v>268.09072219636425</v>
      </c>
      <c r="P228" s="248">
        <f t="shared" si="142"/>
        <v>273.39606851642407</v>
      </c>
      <c r="Q228" s="248">
        <f t="shared" si="142"/>
        <v>278.69232679019569</v>
      </c>
      <c r="R228" s="248">
        <f t="shared" si="142"/>
        <v>283.74201361301272</v>
      </c>
      <c r="S228" s="248">
        <f t="shared" si="142"/>
        <v>-1.4210854715202004E-14</v>
      </c>
      <c r="T228" s="248"/>
      <c r="U228" s="248"/>
    </row>
    <row r="229" spans="2:21" ht="15" customHeight="1">
      <c r="C229" s="248"/>
      <c r="D229" s="213"/>
      <c r="E229" s="237"/>
      <c r="F229" s="213"/>
      <c r="G229" s="248"/>
      <c r="H229" s="248"/>
      <c r="I229" s="248"/>
      <c r="J229" s="248"/>
      <c r="K229" s="248"/>
      <c r="L229" s="248"/>
      <c r="M229" s="248"/>
      <c r="N229" s="248"/>
      <c r="O229" s="248"/>
      <c r="P229" s="248"/>
      <c r="Q229" s="248"/>
      <c r="R229" s="248"/>
      <c r="S229" s="248"/>
      <c r="T229" s="248"/>
      <c r="U229" s="248"/>
    </row>
    <row r="230" spans="2:21" ht="15" customHeight="1">
      <c r="C230" s="259"/>
      <c r="D230" s="200" t="s">
        <v>205</v>
      </c>
      <c r="E230" s="200" t="s">
        <v>0</v>
      </c>
      <c r="F230" s="284"/>
      <c r="G230" s="284">
        <v>1</v>
      </c>
      <c r="H230" s="284">
        <f t="shared" ref="H230:S230" si="143">G230+1</f>
        <v>2</v>
      </c>
      <c r="I230" s="284">
        <f t="shared" si="143"/>
        <v>3</v>
      </c>
      <c r="J230" s="284">
        <f t="shared" si="143"/>
        <v>4</v>
      </c>
      <c r="K230" s="284">
        <f t="shared" si="143"/>
        <v>5</v>
      </c>
      <c r="L230" s="284">
        <f t="shared" si="143"/>
        <v>6</v>
      </c>
      <c r="M230" s="284">
        <f t="shared" si="143"/>
        <v>7</v>
      </c>
      <c r="N230" s="284">
        <f t="shared" si="143"/>
        <v>8</v>
      </c>
      <c r="O230" s="284">
        <f t="shared" si="143"/>
        <v>9</v>
      </c>
      <c r="P230" s="284">
        <f t="shared" si="143"/>
        <v>10</v>
      </c>
      <c r="Q230" s="284">
        <f t="shared" si="143"/>
        <v>11</v>
      </c>
      <c r="R230" s="284">
        <f t="shared" si="143"/>
        <v>12</v>
      </c>
      <c r="S230" s="284">
        <f t="shared" si="143"/>
        <v>13</v>
      </c>
      <c r="T230" s="213"/>
      <c r="U230" s="213"/>
    </row>
    <row r="231" spans="2:21" ht="15" customHeight="1">
      <c r="C231" s="259"/>
      <c r="D231" s="259"/>
      <c r="E231" s="259"/>
      <c r="F231" s="259"/>
      <c r="G231" s="259"/>
      <c r="H231" s="259"/>
      <c r="I231" s="259"/>
      <c r="J231" s="259"/>
      <c r="K231" s="259"/>
      <c r="L231" s="259"/>
      <c r="M231" s="259"/>
      <c r="N231" s="259"/>
      <c r="O231" s="259"/>
      <c r="P231" s="259"/>
      <c r="Q231" s="259"/>
      <c r="R231" s="259"/>
      <c r="S231" s="259"/>
      <c r="T231" s="259"/>
      <c r="U231" s="259"/>
    </row>
    <row r="232" spans="2:21" ht="15" customHeight="1">
      <c r="C232" s="69" t="s">
        <v>379</v>
      </c>
      <c r="D232" s="231" t="s">
        <v>206</v>
      </c>
      <c r="E232" s="237"/>
      <c r="F232" s="213"/>
      <c r="G232" s="248"/>
      <c r="H232" s="248"/>
      <c r="I232" s="248"/>
      <c r="J232" s="248"/>
      <c r="K232" s="248"/>
      <c r="L232" s="248"/>
      <c r="M232" s="248"/>
      <c r="N232" s="248"/>
      <c r="O232" s="248"/>
      <c r="P232" s="248"/>
      <c r="Q232" s="248"/>
      <c r="R232" s="248"/>
      <c r="S232" s="248"/>
      <c r="T232" s="248"/>
      <c r="U232" s="248"/>
    </row>
    <row r="233" spans="2:21" ht="15" customHeight="1">
      <c r="C233" s="248">
        <f t="shared" ref="C233:C243" si="144">SUM(G233:U233)</f>
        <v>4346.6948640912524</v>
      </c>
      <c r="D233" s="213" t="s">
        <v>300</v>
      </c>
      <c r="E233" s="237" t="s">
        <v>112</v>
      </c>
      <c r="F233" s="213"/>
      <c r="G233" s="248">
        <f>G139</f>
        <v>-311</v>
      </c>
      <c r="H233" s="248">
        <f t="shared" ref="H233:S233" si="145">H139</f>
        <v>-21.42</v>
      </c>
      <c r="I233" s="248">
        <f t="shared" si="145"/>
        <v>433.11851999999988</v>
      </c>
      <c r="J233" s="248">
        <f t="shared" si="145"/>
        <v>441.78089039999986</v>
      </c>
      <c r="K233" s="248">
        <f t="shared" si="145"/>
        <v>450.61650820799991</v>
      </c>
      <c r="L233" s="248">
        <f t="shared" si="145"/>
        <v>459.62883837215992</v>
      </c>
      <c r="M233" s="248">
        <f t="shared" si="145"/>
        <v>468.82141513960318</v>
      </c>
      <c r="N233" s="248">
        <f t="shared" si="145"/>
        <v>478.19784344239514</v>
      </c>
      <c r="O233" s="248">
        <f t="shared" si="145"/>
        <v>472.82314320346421</v>
      </c>
      <c r="P233" s="248">
        <f t="shared" si="145"/>
        <v>482.18001502014829</v>
      </c>
      <c r="Q233" s="248">
        <f t="shared" si="145"/>
        <v>491.52085853650027</v>
      </c>
      <c r="R233" s="248">
        <f t="shared" si="145"/>
        <v>500.42683176898186</v>
      </c>
      <c r="S233" s="248">
        <f t="shared" si="145"/>
        <v>-1.4210854715202004E-14</v>
      </c>
      <c r="T233" s="248"/>
      <c r="U233" s="248"/>
    </row>
    <row r="234" spans="2:21" ht="15" customHeight="1">
      <c r="C234" s="248">
        <f>SUM(G234:U234)</f>
        <v>0</v>
      </c>
      <c r="D234" s="213" t="s">
        <v>386</v>
      </c>
      <c r="E234" s="237" t="s">
        <v>112</v>
      </c>
      <c r="F234" s="213"/>
      <c r="G234" s="248">
        <f>G166</f>
        <v>0</v>
      </c>
      <c r="H234" s="248">
        <f t="shared" ref="H234:S234" si="146">H166</f>
        <v>0</v>
      </c>
      <c r="I234" s="248">
        <f t="shared" si="146"/>
        <v>0</v>
      </c>
      <c r="J234" s="248">
        <f t="shared" si="146"/>
        <v>0</v>
      </c>
      <c r="K234" s="248">
        <f t="shared" si="146"/>
        <v>0</v>
      </c>
      <c r="L234" s="248">
        <f t="shared" si="146"/>
        <v>0</v>
      </c>
      <c r="M234" s="248">
        <f t="shared" si="146"/>
        <v>0</v>
      </c>
      <c r="N234" s="248">
        <f t="shared" si="146"/>
        <v>0</v>
      </c>
      <c r="O234" s="248">
        <f t="shared" si="146"/>
        <v>0</v>
      </c>
      <c r="P234" s="248">
        <f t="shared" si="146"/>
        <v>0</v>
      </c>
      <c r="Q234" s="248">
        <f t="shared" si="146"/>
        <v>0</v>
      </c>
      <c r="R234" s="248">
        <f t="shared" si="146"/>
        <v>0</v>
      </c>
      <c r="S234" s="248">
        <f t="shared" si="146"/>
        <v>0</v>
      </c>
      <c r="T234" s="248"/>
      <c r="U234" s="248"/>
    </row>
    <row r="235" spans="2:21" ht="15" customHeight="1">
      <c r="C235" s="248">
        <f t="shared" si="144"/>
        <v>42.06959898562495</v>
      </c>
      <c r="D235" s="213" t="s">
        <v>208</v>
      </c>
      <c r="E235" s="237" t="s">
        <v>112</v>
      </c>
      <c r="F235" s="213"/>
      <c r="G235" s="248">
        <f>G186</f>
        <v>-145</v>
      </c>
      <c r="H235" s="248">
        <f t="shared" ref="H235:S235" si="147">H186</f>
        <v>0</v>
      </c>
      <c r="I235" s="248">
        <f t="shared" si="147"/>
        <v>37.41391979712499</v>
      </c>
      <c r="J235" s="248">
        <f t="shared" si="147"/>
        <v>37.41391979712499</v>
      </c>
      <c r="K235" s="248">
        <f t="shared" si="147"/>
        <v>37.41391979712499</v>
      </c>
      <c r="L235" s="248">
        <f t="shared" si="147"/>
        <v>37.41391979712499</v>
      </c>
      <c r="M235" s="248">
        <f t="shared" si="147"/>
        <v>37.41391979712499</v>
      </c>
      <c r="N235" s="248">
        <f t="shared" si="147"/>
        <v>0</v>
      </c>
      <c r="O235" s="248">
        <f t="shared" si="147"/>
        <v>0</v>
      </c>
      <c r="P235" s="248">
        <f t="shared" si="147"/>
        <v>0</v>
      </c>
      <c r="Q235" s="248">
        <f t="shared" si="147"/>
        <v>0</v>
      </c>
      <c r="R235" s="248">
        <f t="shared" si="147"/>
        <v>0</v>
      </c>
      <c r="S235" s="248">
        <f t="shared" si="147"/>
        <v>0</v>
      </c>
      <c r="T235" s="248"/>
      <c r="U235" s="248"/>
    </row>
    <row r="236" spans="2:21" ht="15" customHeight="1">
      <c r="C236" s="248">
        <f t="shared" si="144"/>
        <v>1291.3875795316883</v>
      </c>
      <c r="D236" s="213" t="s">
        <v>214</v>
      </c>
      <c r="E236" s="237" t="s">
        <v>112</v>
      </c>
      <c r="F236" s="213"/>
      <c r="G236" s="248">
        <f>G181</f>
        <v>0</v>
      </c>
      <c r="H236" s="248">
        <f t="shared" ref="H236:S236" si="148">H181</f>
        <v>0</v>
      </c>
      <c r="I236" s="248">
        <f t="shared" si="148"/>
        <v>26.233655999999961</v>
      </c>
      <c r="J236" s="248">
        <f t="shared" si="148"/>
        <v>129.22085954083713</v>
      </c>
      <c r="K236" s="248">
        <f t="shared" si="148"/>
        <v>132.59458911133882</v>
      </c>
      <c r="L236" s="248">
        <f t="shared" si="148"/>
        <v>136.08741863113698</v>
      </c>
      <c r="M236" s="248">
        <f t="shared" si="148"/>
        <v>139.70644865692844</v>
      </c>
      <c r="N236" s="248">
        <f t="shared" si="148"/>
        <v>143.45935303271852</v>
      </c>
      <c r="O236" s="248">
        <f t="shared" si="148"/>
        <v>141.84694296103928</v>
      </c>
      <c r="P236" s="248">
        <f t="shared" si="148"/>
        <v>144.65400450604449</v>
      </c>
      <c r="Q236" s="248">
        <f t="shared" si="148"/>
        <v>147.45625756095006</v>
      </c>
      <c r="R236" s="248">
        <f t="shared" si="148"/>
        <v>150.12804953069454</v>
      </c>
      <c r="S236" s="248">
        <f t="shared" si="148"/>
        <v>0</v>
      </c>
      <c r="T236" s="248"/>
      <c r="U236" s="248"/>
    </row>
    <row r="237" spans="2:21" ht="15" customHeight="1">
      <c r="C237" s="248">
        <f t="shared" si="144"/>
        <v>0</v>
      </c>
      <c r="D237" s="213" t="s">
        <v>334</v>
      </c>
      <c r="E237" s="237" t="s">
        <v>112</v>
      </c>
      <c r="F237" s="213"/>
      <c r="G237" s="248">
        <f>G199</f>
        <v>0</v>
      </c>
      <c r="H237" s="248">
        <f t="shared" ref="H237:S237" si="149">H199</f>
        <v>0</v>
      </c>
      <c r="I237" s="248">
        <f t="shared" si="149"/>
        <v>0</v>
      </c>
      <c r="J237" s="248">
        <f t="shared" si="149"/>
        <v>0</v>
      </c>
      <c r="K237" s="248">
        <f t="shared" si="149"/>
        <v>0</v>
      </c>
      <c r="L237" s="248">
        <f t="shared" si="149"/>
        <v>0</v>
      </c>
      <c r="M237" s="248">
        <f t="shared" si="149"/>
        <v>0</v>
      </c>
      <c r="N237" s="248">
        <f t="shared" si="149"/>
        <v>0</v>
      </c>
      <c r="O237" s="248">
        <f t="shared" si="149"/>
        <v>0</v>
      </c>
      <c r="P237" s="248">
        <f t="shared" si="149"/>
        <v>0</v>
      </c>
      <c r="Q237" s="248">
        <f t="shared" si="149"/>
        <v>0</v>
      </c>
      <c r="R237" s="248">
        <f t="shared" si="149"/>
        <v>0</v>
      </c>
      <c r="S237" s="248">
        <f t="shared" si="149"/>
        <v>0</v>
      </c>
      <c r="T237" s="248"/>
      <c r="U237" s="248"/>
    </row>
    <row r="238" spans="2:21" ht="15" customHeight="1">
      <c r="C238" s="248">
        <f t="shared" si="144"/>
        <v>0</v>
      </c>
      <c r="D238" s="213" t="s">
        <v>305</v>
      </c>
      <c r="E238" s="237" t="s">
        <v>112</v>
      </c>
      <c r="F238" s="213"/>
      <c r="G238" s="248">
        <f>G208</f>
        <v>0</v>
      </c>
      <c r="H238" s="248">
        <f t="shared" ref="H238:S238" si="150">H208</f>
        <v>0</v>
      </c>
      <c r="I238" s="248">
        <f t="shared" si="150"/>
        <v>0</v>
      </c>
      <c r="J238" s="248">
        <f t="shared" si="150"/>
        <v>0</v>
      </c>
      <c r="K238" s="248">
        <f t="shared" si="150"/>
        <v>0</v>
      </c>
      <c r="L238" s="248">
        <f t="shared" si="150"/>
        <v>0</v>
      </c>
      <c r="M238" s="248">
        <f t="shared" si="150"/>
        <v>0</v>
      </c>
      <c r="N238" s="248">
        <f t="shared" si="150"/>
        <v>0</v>
      </c>
      <c r="O238" s="248">
        <f t="shared" si="150"/>
        <v>0</v>
      </c>
      <c r="P238" s="248">
        <f t="shared" si="150"/>
        <v>0</v>
      </c>
      <c r="Q238" s="248">
        <f t="shared" si="150"/>
        <v>0</v>
      </c>
      <c r="R238" s="248">
        <f t="shared" si="150"/>
        <v>0</v>
      </c>
      <c r="S238" s="248">
        <f t="shared" si="150"/>
        <v>0</v>
      </c>
      <c r="T238" s="248"/>
      <c r="U238" s="248"/>
    </row>
    <row r="239" spans="2:21" ht="15" customHeight="1">
      <c r="C239" s="248">
        <f t="shared" si="144"/>
        <v>301.32376855739398</v>
      </c>
      <c r="D239" s="213" t="s">
        <v>306</v>
      </c>
      <c r="E239" s="237" t="s">
        <v>112</v>
      </c>
      <c r="F239" s="213"/>
      <c r="G239" s="248">
        <f>G224</f>
        <v>0</v>
      </c>
      <c r="H239" s="248">
        <f t="shared" ref="H239:S239" si="151">H224</f>
        <v>0</v>
      </c>
      <c r="I239" s="248">
        <f t="shared" si="151"/>
        <v>18.205094420287491</v>
      </c>
      <c r="J239" s="248">
        <f t="shared" si="151"/>
        <v>27.514611106203773</v>
      </c>
      <c r="K239" s="248">
        <f t="shared" si="151"/>
        <v>28.060799929953614</v>
      </c>
      <c r="L239" s="248">
        <f t="shared" si="151"/>
        <v>28.612749994389794</v>
      </c>
      <c r="M239" s="248">
        <f t="shared" si="151"/>
        <v>29.170104668554973</v>
      </c>
      <c r="N239" s="248">
        <f t="shared" si="151"/>
        <v>33.473849040967664</v>
      </c>
      <c r="O239" s="248">
        <f t="shared" si="151"/>
        <v>33.097620024242495</v>
      </c>
      <c r="P239" s="248">
        <f t="shared" si="151"/>
        <v>33.75260105141038</v>
      </c>
      <c r="Q239" s="248">
        <f t="shared" si="151"/>
        <v>34.406460097555019</v>
      </c>
      <c r="R239" s="248">
        <f t="shared" si="151"/>
        <v>35.029878223828739</v>
      </c>
      <c r="S239" s="248">
        <f t="shared" si="151"/>
        <v>0</v>
      </c>
      <c r="T239" s="248"/>
      <c r="U239" s="248"/>
    </row>
    <row r="240" spans="2:21" ht="15" customHeight="1">
      <c r="C240" s="248">
        <f t="shared" si="144"/>
        <v>271.1913917016546</v>
      </c>
      <c r="D240" s="213" t="s">
        <v>215</v>
      </c>
      <c r="E240" s="237" t="s">
        <v>112</v>
      </c>
      <c r="F240" s="213"/>
      <c r="G240" s="248">
        <f>G226</f>
        <v>0</v>
      </c>
      <c r="H240" s="248">
        <f t="shared" ref="H240:S240" si="152">H226</f>
        <v>0</v>
      </c>
      <c r="I240" s="248">
        <f t="shared" si="152"/>
        <v>16.384584978258744</v>
      </c>
      <c r="J240" s="248">
        <f t="shared" si="152"/>
        <v>24.763149995583397</v>
      </c>
      <c r="K240" s="248">
        <f t="shared" si="152"/>
        <v>25.254719936958253</v>
      </c>
      <c r="L240" s="248">
        <f t="shared" si="152"/>
        <v>25.751474994950815</v>
      </c>
      <c r="M240" s="248">
        <f t="shared" si="152"/>
        <v>26.253094201699476</v>
      </c>
      <c r="N240" s="248">
        <f t="shared" si="152"/>
        <v>30.126464136870897</v>
      </c>
      <c r="O240" s="248">
        <f t="shared" si="152"/>
        <v>29.787858021818252</v>
      </c>
      <c r="P240" s="248">
        <f t="shared" si="152"/>
        <v>30.377340946269342</v>
      </c>
      <c r="Q240" s="248">
        <f t="shared" si="152"/>
        <v>30.965814087799522</v>
      </c>
      <c r="R240" s="248">
        <f t="shared" si="152"/>
        <v>31.526890401445861</v>
      </c>
      <c r="S240" s="248">
        <f t="shared" si="152"/>
        <v>0</v>
      </c>
      <c r="T240" s="248"/>
      <c r="U240" s="248"/>
    </row>
    <row r="241" spans="3:21" ht="15" customHeight="1">
      <c r="C241" s="248">
        <f t="shared" si="144"/>
        <v>2440.7225253148908</v>
      </c>
      <c r="D241" s="213" t="s">
        <v>232</v>
      </c>
      <c r="E241" s="237" t="s">
        <v>112</v>
      </c>
      <c r="F241" s="213"/>
      <c r="G241" s="248">
        <f>G233+G234-SUM(G235:G240)</f>
        <v>-166</v>
      </c>
      <c r="H241" s="248">
        <f t="shared" ref="H241:S241" si="153">H233+H234-SUM(H235:H240)</f>
        <v>-21.42</v>
      </c>
      <c r="I241" s="248">
        <f t="shared" si="153"/>
        <v>334.88126480432868</v>
      </c>
      <c r="J241" s="248">
        <f t="shared" si="153"/>
        <v>222.86834996025055</v>
      </c>
      <c r="K241" s="248">
        <f t="shared" si="153"/>
        <v>227.29247943262425</v>
      </c>
      <c r="L241" s="248">
        <f t="shared" si="153"/>
        <v>231.76327495455732</v>
      </c>
      <c r="M241" s="248">
        <f t="shared" si="153"/>
        <v>236.27784781529527</v>
      </c>
      <c r="N241" s="248">
        <f t="shared" si="153"/>
        <v>271.13817723183809</v>
      </c>
      <c r="O241" s="248">
        <f t="shared" si="153"/>
        <v>268.0907221963642</v>
      </c>
      <c r="P241" s="248">
        <f t="shared" si="153"/>
        <v>273.39606851642407</v>
      </c>
      <c r="Q241" s="248">
        <f t="shared" si="153"/>
        <v>278.69232679019569</v>
      </c>
      <c r="R241" s="248">
        <f t="shared" si="153"/>
        <v>283.74201361301272</v>
      </c>
      <c r="S241" s="248">
        <f t="shared" si="153"/>
        <v>-1.4210854715202004E-14</v>
      </c>
      <c r="T241" s="248"/>
      <c r="U241" s="248"/>
    </row>
    <row r="242" spans="3:21" ht="15" customHeight="1">
      <c r="C242" s="279">
        <f>IFERROR(IRR(G241:S241),0)</f>
        <v>0.84667686772189787</v>
      </c>
      <c r="D242" s="213" t="s">
        <v>217</v>
      </c>
      <c r="E242" s="237"/>
      <c r="F242" s="213"/>
      <c r="G242" s="248"/>
      <c r="H242" s="248"/>
      <c r="I242" s="248"/>
      <c r="J242" s="248"/>
      <c r="K242" s="248"/>
      <c r="L242" s="248"/>
      <c r="M242" s="248"/>
      <c r="N242" s="248"/>
      <c r="O242" s="248"/>
      <c r="P242" s="248"/>
      <c r="Q242" s="248"/>
      <c r="R242" s="248"/>
      <c r="S242" s="248"/>
      <c r="T242" s="248"/>
      <c r="U242" s="248"/>
    </row>
    <row r="243" spans="3:21" ht="15" customHeight="1">
      <c r="C243" s="248">
        <f t="shared" si="144"/>
        <v>0</v>
      </c>
      <c r="D243" s="213" t="s">
        <v>218</v>
      </c>
      <c r="E243" s="237" t="s">
        <v>112</v>
      </c>
      <c r="F243" s="213"/>
      <c r="G243" s="248">
        <f>G116+G117+G118</f>
        <v>0</v>
      </c>
      <c r="H243" s="248">
        <f t="shared" ref="H243:S243" si="154">H116+H117+H118</f>
        <v>0</v>
      </c>
      <c r="I243" s="248">
        <f t="shared" si="154"/>
        <v>0</v>
      </c>
      <c r="J243" s="248">
        <f t="shared" si="154"/>
        <v>0</v>
      </c>
      <c r="K243" s="248">
        <f t="shared" si="154"/>
        <v>0</v>
      </c>
      <c r="L243" s="248">
        <f t="shared" si="154"/>
        <v>0</v>
      </c>
      <c r="M243" s="248">
        <f t="shared" si="154"/>
        <v>0</v>
      </c>
      <c r="N243" s="248">
        <f t="shared" si="154"/>
        <v>0</v>
      </c>
      <c r="O243" s="248">
        <f t="shared" si="154"/>
        <v>14.938657107778885</v>
      </c>
      <c r="P243" s="248">
        <f t="shared" si="154"/>
        <v>15.337021297319655</v>
      </c>
      <c r="Q243" s="248">
        <f t="shared" si="154"/>
        <v>15.946518507317037</v>
      </c>
      <c r="R243" s="248">
        <f t="shared" si="154"/>
        <v>17.189892815711673</v>
      </c>
      <c r="S243" s="248">
        <f t="shared" si="154"/>
        <v>-63.412089728127249</v>
      </c>
      <c r="T243" s="248"/>
      <c r="U243" s="248"/>
    </row>
    <row r="244" spans="3:21" ht="15" customHeight="1">
      <c r="C244" s="248"/>
      <c r="D244" s="213"/>
      <c r="E244" s="237"/>
      <c r="F244" s="213"/>
      <c r="G244" s="248"/>
      <c r="H244" s="248"/>
      <c r="I244" s="248"/>
      <c r="J244" s="248"/>
      <c r="K244" s="248"/>
      <c r="L244" s="248"/>
      <c r="M244" s="248"/>
      <c r="N244" s="248"/>
      <c r="O244" s="248"/>
      <c r="P244" s="248"/>
      <c r="Q244" s="248"/>
      <c r="R244" s="248"/>
      <c r="S244" s="248"/>
      <c r="T244" s="248"/>
      <c r="U244" s="248"/>
    </row>
    <row r="245" spans="3:21" ht="15" customHeight="1">
      <c r="C245" s="259"/>
      <c r="D245" s="231" t="s">
        <v>219</v>
      </c>
      <c r="E245" s="237"/>
      <c r="F245" s="213"/>
      <c r="G245" s="248"/>
      <c r="H245" s="248"/>
      <c r="I245" s="248"/>
      <c r="J245" s="248"/>
      <c r="K245" s="248"/>
      <c r="L245" s="248"/>
      <c r="M245" s="248"/>
      <c r="N245" s="248"/>
      <c r="O245" s="248"/>
      <c r="P245" s="248"/>
      <c r="Q245" s="248"/>
      <c r="R245" s="248"/>
      <c r="S245" s="248"/>
      <c r="T245" s="248"/>
      <c r="U245" s="248"/>
    </row>
    <row r="246" spans="3:21" ht="15" customHeight="1">
      <c r="C246" s="213"/>
      <c r="D246" s="213" t="s">
        <v>220</v>
      </c>
      <c r="E246" s="213"/>
      <c r="F246" s="213"/>
      <c r="G246" s="264">
        <f>G84</f>
        <v>1</v>
      </c>
      <c r="H246" s="264">
        <f t="shared" ref="H246:S246" si="155">H84</f>
        <v>1.02</v>
      </c>
      <c r="I246" s="264">
        <f t="shared" si="155"/>
        <v>1.0404</v>
      </c>
      <c r="J246" s="264">
        <f t="shared" si="155"/>
        <v>1.0612079999999999</v>
      </c>
      <c r="K246" s="264">
        <f t="shared" si="155"/>
        <v>1.08243216</v>
      </c>
      <c r="L246" s="264">
        <f t="shared" si="155"/>
        <v>1.1040808032</v>
      </c>
      <c r="M246" s="264">
        <f t="shared" si="155"/>
        <v>1.1261624192640001</v>
      </c>
      <c r="N246" s="264">
        <f t="shared" si="155"/>
        <v>1.1486856676492798</v>
      </c>
      <c r="O246" s="264">
        <f t="shared" si="155"/>
        <v>1.1716593810022655</v>
      </c>
      <c r="P246" s="264">
        <f t="shared" si="155"/>
        <v>1.1950925686223108</v>
      </c>
      <c r="Q246" s="264">
        <f t="shared" si="155"/>
        <v>1.2189944199947571</v>
      </c>
      <c r="R246" s="264">
        <f t="shared" si="155"/>
        <v>1.243374308394652</v>
      </c>
      <c r="S246" s="264">
        <f t="shared" si="155"/>
        <v>1.2682417945625453</v>
      </c>
      <c r="T246" s="264"/>
      <c r="U246" s="264"/>
    </row>
    <row r="247" spans="3:21" ht="15" customHeight="1">
      <c r="C247" s="248">
        <f t="shared" ref="C247:C255" si="156">SUM(G247:U247)</f>
        <v>3778.5097718826087</v>
      </c>
      <c r="D247" s="213" t="s">
        <v>300</v>
      </c>
      <c r="E247" s="237" t="s">
        <v>12</v>
      </c>
      <c r="F247" s="213"/>
      <c r="G247" s="248">
        <f t="shared" ref="G247:S247" si="157">G233/G$246</f>
        <v>-311</v>
      </c>
      <c r="H247" s="248">
        <f t="shared" si="157"/>
        <v>-21</v>
      </c>
      <c r="I247" s="248">
        <f t="shared" si="157"/>
        <v>416.2999999999999</v>
      </c>
      <c r="J247" s="248">
        <f t="shared" si="157"/>
        <v>416.2999999999999</v>
      </c>
      <c r="K247" s="248">
        <f t="shared" si="157"/>
        <v>416.29999999999995</v>
      </c>
      <c r="L247" s="248">
        <f t="shared" si="157"/>
        <v>416.2999999999999</v>
      </c>
      <c r="M247" s="248">
        <f t="shared" si="157"/>
        <v>416.29999999999995</v>
      </c>
      <c r="N247" s="248">
        <f t="shared" si="157"/>
        <v>416.29999999999995</v>
      </c>
      <c r="O247" s="248">
        <f t="shared" si="157"/>
        <v>403.54999999999995</v>
      </c>
      <c r="P247" s="248">
        <f t="shared" si="157"/>
        <v>403.46666666666664</v>
      </c>
      <c r="Q247" s="248">
        <f t="shared" si="157"/>
        <v>403.21830065359472</v>
      </c>
      <c r="R247" s="248">
        <f t="shared" si="157"/>
        <v>402.47480456234774</v>
      </c>
      <c r="S247" s="248">
        <f t="shared" si="157"/>
        <v>-1.1205161962119184E-14</v>
      </c>
      <c r="T247" s="248"/>
      <c r="U247" s="248"/>
    </row>
    <row r="248" spans="3:21" ht="15" customHeight="1">
      <c r="C248" s="248">
        <f>SUM(G248:U248)</f>
        <v>0</v>
      </c>
      <c r="D248" s="213" t="s">
        <v>386</v>
      </c>
      <c r="E248" s="237" t="s">
        <v>12</v>
      </c>
      <c r="F248" s="213"/>
      <c r="G248" s="248">
        <f t="shared" ref="G248:G254" si="158">G234/G$246</f>
        <v>0</v>
      </c>
      <c r="H248" s="248">
        <f t="shared" ref="H248:S248" si="159">H234/H$246</f>
        <v>0</v>
      </c>
      <c r="I248" s="248">
        <f t="shared" si="159"/>
        <v>0</v>
      </c>
      <c r="J248" s="248">
        <f t="shared" si="159"/>
        <v>0</v>
      </c>
      <c r="K248" s="248">
        <f t="shared" si="159"/>
        <v>0</v>
      </c>
      <c r="L248" s="248">
        <f t="shared" si="159"/>
        <v>0</v>
      </c>
      <c r="M248" s="248">
        <f t="shared" si="159"/>
        <v>0</v>
      </c>
      <c r="N248" s="248">
        <f t="shared" si="159"/>
        <v>0</v>
      </c>
      <c r="O248" s="248">
        <f t="shared" si="159"/>
        <v>0</v>
      </c>
      <c r="P248" s="248">
        <f t="shared" si="159"/>
        <v>0</v>
      </c>
      <c r="Q248" s="248">
        <f t="shared" si="159"/>
        <v>0</v>
      </c>
      <c r="R248" s="248">
        <f t="shared" si="159"/>
        <v>0</v>
      </c>
      <c r="S248" s="248">
        <f t="shared" si="159"/>
        <v>0</v>
      </c>
      <c r="T248" s="248"/>
      <c r="U248" s="248"/>
    </row>
    <row r="249" spans="3:21" ht="15" customHeight="1">
      <c r="C249" s="248">
        <f t="shared" si="156"/>
        <v>27.891172566835792</v>
      </c>
      <c r="D249" s="213" t="s">
        <v>208</v>
      </c>
      <c r="E249" s="237" t="s">
        <v>12</v>
      </c>
      <c r="F249" s="213"/>
      <c r="G249" s="248">
        <f t="shared" si="158"/>
        <v>-145</v>
      </c>
      <c r="H249" s="248">
        <f t="shared" ref="H249:S249" si="160">H235/H$246</f>
        <v>0</v>
      </c>
      <c r="I249" s="248">
        <f t="shared" si="160"/>
        <v>35.961091692738357</v>
      </c>
      <c r="J249" s="248">
        <f t="shared" si="160"/>
        <v>35.255972247782708</v>
      </c>
      <c r="K249" s="248">
        <f t="shared" si="160"/>
        <v>34.564678674296772</v>
      </c>
      <c r="L249" s="248">
        <f t="shared" si="160"/>
        <v>33.886939876761538</v>
      </c>
      <c r="M249" s="248">
        <f t="shared" si="160"/>
        <v>33.22249007525641</v>
      </c>
      <c r="N249" s="248">
        <f t="shared" si="160"/>
        <v>0</v>
      </c>
      <c r="O249" s="248">
        <f t="shared" si="160"/>
        <v>0</v>
      </c>
      <c r="P249" s="248">
        <f t="shared" si="160"/>
        <v>0</v>
      </c>
      <c r="Q249" s="248">
        <f t="shared" si="160"/>
        <v>0</v>
      </c>
      <c r="R249" s="248">
        <f t="shared" si="160"/>
        <v>0</v>
      </c>
      <c r="S249" s="248">
        <f t="shared" si="160"/>
        <v>0</v>
      </c>
      <c r="T249" s="248"/>
      <c r="U249" s="248"/>
    </row>
    <row r="250" spans="3:21" ht="15" customHeight="1">
      <c r="C250" s="248">
        <f t="shared" si="156"/>
        <v>1125.4964056294514</v>
      </c>
      <c r="D250" s="213" t="s">
        <v>214</v>
      </c>
      <c r="E250" s="237" t="s">
        <v>12</v>
      </c>
      <c r="F250" s="213"/>
      <c r="G250" s="248">
        <f t="shared" si="158"/>
        <v>0</v>
      </c>
      <c r="H250" s="248">
        <f t="shared" ref="H250:S250" si="161">H236/H$246</f>
        <v>0</v>
      </c>
      <c r="I250" s="248">
        <f t="shared" si="161"/>
        <v>25.214971164936525</v>
      </c>
      <c r="J250" s="248">
        <f t="shared" si="161"/>
        <v>121.76770203469738</v>
      </c>
      <c r="K250" s="248">
        <f t="shared" si="161"/>
        <v>122.49690466637541</v>
      </c>
      <c r="L250" s="248">
        <f t="shared" si="161"/>
        <v>123.25856788444248</v>
      </c>
      <c r="M250" s="248">
        <f t="shared" si="161"/>
        <v>124.05532831421702</v>
      </c>
      <c r="N250" s="248">
        <f t="shared" si="161"/>
        <v>124.88999999999997</v>
      </c>
      <c r="O250" s="248">
        <f t="shared" si="161"/>
        <v>121.065</v>
      </c>
      <c r="P250" s="248">
        <f t="shared" si="161"/>
        <v>121.03999999999999</v>
      </c>
      <c r="Q250" s="248">
        <f t="shared" si="161"/>
        <v>120.96549019607839</v>
      </c>
      <c r="R250" s="248">
        <f t="shared" si="161"/>
        <v>120.74244136870431</v>
      </c>
      <c r="S250" s="248">
        <f t="shared" si="161"/>
        <v>0</v>
      </c>
      <c r="T250" s="248"/>
      <c r="U250" s="248"/>
    </row>
    <row r="251" spans="3:21" ht="15" customHeight="1">
      <c r="C251" s="248">
        <f t="shared" si="156"/>
        <v>0</v>
      </c>
      <c r="D251" s="213" t="s">
        <v>334</v>
      </c>
      <c r="E251" s="237" t="s">
        <v>12</v>
      </c>
      <c r="F251" s="213"/>
      <c r="G251" s="248">
        <f t="shared" si="158"/>
        <v>0</v>
      </c>
      <c r="H251" s="248">
        <f t="shared" ref="H251:S251" si="162">H237/H$246</f>
        <v>0</v>
      </c>
      <c r="I251" s="248">
        <f t="shared" si="162"/>
        <v>0</v>
      </c>
      <c r="J251" s="248">
        <f t="shared" si="162"/>
        <v>0</v>
      </c>
      <c r="K251" s="248">
        <f t="shared" si="162"/>
        <v>0</v>
      </c>
      <c r="L251" s="248">
        <f t="shared" si="162"/>
        <v>0</v>
      </c>
      <c r="M251" s="248">
        <f t="shared" si="162"/>
        <v>0</v>
      </c>
      <c r="N251" s="248">
        <f t="shared" si="162"/>
        <v>0</v>
      </c>
      <c r="O251" s="248">
        <f t="shared" si="162"/>
        <v>0</v>
      </c>
      <c r="P251" s="248">
        <f t="shared" si="162"/>
        <v>0</v>
      </c>
      <c r="Q251" s="248">
        <f t="shared" si="162"/>
        <v>0</v>
      </c>
      <c r="R251" s="248">
        <f t="shared" si="162"/>
        <v>0</v>
      </c>
      <c r="S251" s="248">
        <f t="shared" si="162"/>
        <v>0</v>
      </c>
      <c r="T251" s="248"/>
      <c r="U251" s="248"/>
    </row>
    <row r="252" spans="3:21" ht="15" customHeight="1">
      <c r="C252" s="248">
        <f t="shared" si="156"/>
        <v>0</v>
      </c>
      <c r="D252" s="213" t="s">
        <v>305</v>
      </c>
      <c r="E252" s="237" t="s">
        <v>12</v>
      </c>
      <c r="F252" s="213"/>
      <c r="G252" s="248">
        <f t="shared" si="158"/>
        <v>0</v>
      </c>
      <c r="H252" s="248">
        <f t="shared" ref="H252:S252" si="163">H238/H$246</f>
        <v>0</v>
      </c>
      <c r="I252" s="248">
        <f t="shared" si="163"/>
        <v>0</v>
      </c>
      <c r="J252" s="248">
        <f t="shared" si="163"/>
        <v>0</v>
      </c>
      <c r="K252" s="248">
        <f t="shared" si="163"/>
        <v>0</v>
      </c>
      <c r="L252" s="248">
        <f t="shared" si="163"/>
        <v>0</v>
      </c>
      <c r="M252" s="248">
        <f t="shared" si="163"/>
        <v>0</v>
      </c>
      <c r="N252" s="248">
        <f t="shared" si="163"/>
        <v>0</v>
      </c>
      <c r="O252" s="248">
        <f t="shared" si="163"/>
        <v>0</v>
      </c>
      <c r="P252" s="248">
        <f t="shared" si="163"/>
        <v>0</v>
      </c>
      <c r="Q252" s="248">
        <f t="shared" si="163"/>
        <v>0</v>
      </c>
      <c r="R252" s="248">
        <f t="shared" si="163"/>
        <v>0</v>
      </c>
      <c r="S252" s="248">
        <f t="shared" si="163"/>
        <v>0</v>
      </c>
      <c r="T252" s="248"/>
      <c r="U252" s="248"/>
    </row>
    <row r="253" spans="3:21" ht="15" customHeight="1">
      <c r="C253" s="248">
        <f t="shared" si="156"/>
        <v>263.19799407066978</v>
      </c>
      <c r="D253" s="213" t="s">
        <v>306</v>
      </c>
      <c r="E253" s="237" t="s">
        <v>12</v>
      </c>
      <c r="F253" s="213"/>
      <c r="G253" s="248">
        <f t="shared" si="158"/>
        <v>0</v>
      </c>
      <c r="H253" s="248">
        <f t="shared" ref="H253:S253" si="164">H239/H$246</f>
        <v>0</v>
      </c>
      <c r="I253" s="248">
        <f t="shared" si="164"/>
        <v>17.498168416270175</v>
      </c>
      <c r="J253" s="248">
        <f t="shared" si="164"/>
        <v>25.927632571751978</v>
      </c>
      <c r="K253" s="248">
        <f t="shared" si="164"/>
        <v>25.923841665932777</v>
      </c>
      <c r="L253" s="248">
        <f t="shared" si="164"/>
        <v>25.915449223879591</v>
      </c>
      <c r="M253" s="248">
        <f t="shared" si="164"/>
        <v>25.902218161052652</v>
      </c>
      <c r="N253" s="248">
        <f t="shared" si="164"/>
        <v>29.141000000000002</v>
      </c>
      <c r="O253" s="248">
        <f t="shared" si="164"/>
        <v>28.248499999999996</v>
      </c>
      <c r="P253" s="248">
        <f t="shared" si="164"/>
        <v>28.242666666666665</v>
      </c>
      <c r="Q253" s="248">
        <f t="shared" si="164"/>
        <v>28.225281045751629</v>
      </c>
      <c r="R253" s="248">
        <f t="shared" si="164"/>
        <v>28.173236319364349</v>
      </c>
      <c r="S253" s="248">
        <f t="shared" si="164"/>
        <v>0</v>
      </c>
      <c r="T253" s="248"/>
      <c r="U253" s="248"/>
    </row>
    <row r="254" spans="3:21" ht="15" customHeight="1">
      <c r="C254" s="248">
        <f t="shared" si="156"/>
        <v>236.87819466360284</v>
      </c>
      <c r="D254" s="213" t="s">
        <v>215</v>
      </c>
      <c r="E254" s="237" t="s">
        <v>12</v>
      </c>
      <c r="F254" s="213"/>
      <c r="G254" s="248">
        <f t="shared" si="158"/>
        <v>0</v>
      </c>
      <c r="H254" s="248">
        <f t="shared" ref="H254:S254" si="165">H240/H$246</f>
        <v>0</v>
      </c>
      <c r="I254" s="248">
        <f t="shared" si="165"/>
        <v>15.748351574643159</v>
      </c>
      <c r="J254" s="248">
        <f t="shared" si="165"/>
        <v>23.334869314576782</v>
      </c>
      <c r="K254" s="248">
        <f t="shared" si="165"/>
        <v>23.3314574993395</v>
      </c>
      <c r="L254" s="248">
        <f t="shared" si="165"/>
        <v>23.323904301491631</v>
      </c>
      <c r="M254" s="248">
        <f t="shared" si="165"/>
        <v>23.311996344947385</v>
      </c>
      <c r="N254" s="248">
        <f t="shared" si="165"/>
        <v>26.226900000000001</v>
      </c>
      <c r="O254" s="248">
        <f t="shared" si="165"/>
        <v>25.423650000000002</v>
      </c>
      <c r="P254" s="248">
        <f t="shared" si="165"/>
        <v>25.418399999999998</v>
      </c>
      <c r="Q254" s="248">
        <f t="shared" si="165"/>
        <v>25.40275294117647</v>
      </c>
      <c r="R254" s="248">
        <f t="shared" si="165"/>
        <v>25.35591268742791</v>
      </c>
      <c r="S254" s="248">
        <f t="shared" si="165"/>
        <v>0</v>
      </c>
      <c r="T254" s="248"/>
      <c r="U254" s="248"/>
    </row>
    <row r="255" spans="3:21" ht="15" customHeight="1">
      <c r="C255" s="248">
        <f t="shared" si="156"/>
        <v>2125.0460049520489</v>
      </c>
      <c r="D255" s="213" t="s">
        <v>232</v>
      </c>
      <c r="E255" s="237" t="s">
        <v>12</v>
      </c>
      <c r="F255" s="213"/>
      <c r="G255" s="248">
        <f>G247+G248-SUM(G249:G254)</f>
        <v>-166</v>
      </c>
      <c r="H255" s="248">
        <f t="shared" ref="H255:S255" si="166">H247+H248-SUM(H249:H254)</f>
        <v>-21</v>
      </c>
      <c r="I255" s="248">
        <f t="shared" si="166"/>
        <v>321.87741715141169</v>
      </c>
      <c r="J255" s="248">
        <f t="shared" si="166"/>
        <v>210.01382383119102</v>
      </c>
      <c r="K255" s="248">
        <f t="shared" si="166"/>
        <v>209.98311749405548</v>
      </c>
      <c r="L255" s="248">
        <f t="shared" si="166"/>
        <v>209.91513871342465</v>
      </c>
      <c r="M255" s="248">
        <f t="shared" si="166"/>
        <v>209.80796710452651</v>
      </c>
      <c r="N255" s="248">
        <f t="shared" si="166"/>
        <v>236.04209999999998</v>
      </c>
      <c r="O255" s="248">
        <f t="shared" si="166"/>
        <v>228.81284999999994</v>
      </c>
      <c r="P255" s="248">
        <f t="shared" si="166"/>
        <v>228.76559999999998</v>
      </c>
      <c r="Q255" s="248">
        <f t="shared" si="166"/>
        <v>228.62477647058824</v>
      </c>
      <c r="R255" s="248">
        <f t="shared" si="166"/>
        <v>228.20321418685117</v>
      </c>
      <c r="S255" s="248">
        <f t="shared" si="166"/>
        <v>-1.1205161962119184E-14</v>
      </c>
      <c r="T255" s="248"/>
      <c r="U255" s="248"/>
    </row>
    <row r="256" spans="3:21" ht="15" customHeight="1">
      <c r="C256" s="279">
        <f>IFERROR(IRR(G255:S255),0)</f>
        <v>0.81046751737451328</v>
      </c>
      <c r="D256" s="213" t="s">
        <v>217</v>
      </c>
      <c r="E256" s="237"/>
      <c r="F256" s="213"/>
      <c r="G256" s="248"/>
      <c r="H256" s="248"/>
      <c r="I256" s="248"/>
      <c r="J256" s="248"/>
      <c r="K256" s="248"/>
      <c r="L256" s="248"/>
      <c r="M256" s="248"/>
      <c r="N256" s="248"/>
      <c r="O256" s="248"/>
      <c r="P256" s="248"/>
      <c r="Q256" s="248"/>
      <c r="R256" s="248"/>
      <c r="S256" s="248"/>
      <c r="T256" s="248"/>
      <c r="U256" s="248"/>
    </row>
    <row r="257" spans="1:21" ht="15" customHeight="1">
      <c r="C257" s="248">
        <f t="shared" ref="C257" si="167">SUM(G257:U257)</f>
        <v>2.4902281173907497</v>
      </c>
      <c r="D257" s="213" t="s">
        <v>218</v>
      </c>
      <c r="E257" s="237" t="s">
        <v>12</v>
      </c>
      <c r="F257" s="213"/>
      <c r="G257" s="248">
        <f t="shared" ref="G257:S257" si="168">G243/G$246</f>
        <v>0</v>
      </c>
      <c r="H257" s="248">
        <f t="shared" si="168"/>
        <v>0</v>
      </c>
      <c r="I257" s="248">
        <f t="shared" si="168"/>
        <v>0</v>
      </c>
      <c r="J257" s="248">
        <f t="shared" si="168"/>
        <v>0</v>
      </c>
      <c r="K257" s="248">
        <f t="shared" si="168"/>
        <v>0</v>
      </c>
      <c r="L257" s="248">
        <f t="shared" si="168"/>
        <v>0</v>
      </c>
      <c r="M257" s="248">
        <f t="shared" si="168"/>
        <v>0</v>
      </c>
      <c r="N257" s="248">
        <f t="shared" si="168"/>
        <v>0</v>
      </c>
      <c r="O257" s="248">
        <f t="shared" si="168"/>
        <v>12.75</v>
      </c>
      <c r="P257" s="248">
        <f t="shared" si="168"/>
        <v>12.833333333333332</v>
      </c>
      <c r="Q257" s="248">
        <f t="shared" si="168"/>
        <v>13.08169934640523</v>
      </c>
      <c r="R257" s="248">
        <f t="shared" si="168"/>
        <v>13.825195437652177</v>
      </c>
      <c r="S257" s="248">
        <f t="shared" si="168"/>
        <v>-49.999999999999986</v>
      </c>
      <c r="T257" s="248"/>
      <c r="U257" s="248"/>
    </row>
    <row r="258" spans="1:21" ht="15" customHeight="1">
      <c r="C258" s="248"/>
      <c r="D258" s="213"/>
      <c r="E258" s="237"/>
      <c r="F258" s="213"/>
      <c r="G258" s="248"/>
      <c r="H258" s="248"/>
      <c r="I258" s="248"/>
      <c r="J258" s="248"/>
      <c r="K258" s="248"/>
      <c r="L258" s="248"/>
      <c r="M258" s="248"/>
      <c r="N258" s="248"/>
      <c r="O258" s="248"/>
      <c r="P258" s="248"/>
      <c r="Q258" s="248"/>
      <c r="R258" s="248"/>
      <c r="S258" s="248"/>
      <c r="T258" s="248"/>
      <c r="U258" s="248"/>
    </row>
    <row r="259" spans="1:21" ht="15" customHeight="1">
      <c r="C259" s="248"/>
      <c r="D259" s="231" t="s">
        <v>347</v>
      </c>
      <c r="E259" s="237"/>
      <c r="F259" s="213"/>
      <c r="G259" s="248"/>
      <c r="H259" s="248"/>
      <c r="I259" s="248"/>
      <c r="J259" s="248"/>
      <c r="K259" s="248"/>
      <c r="L259" s="248"/>
      <c r="M259" s="248"/>
      <c r="N259" s="248"/>
      <c r="O259" s="248"/>
      <c r="P259" s="248"/>
      <c r="Q259" s="248"/>
      <c r="R259" s="248"/>
      <c r="S259" s="248"/>
      <c r="T259" s="248"/>
      <c r="U259" s="248"/>
    </row>
    <row r="260" spans="1:21" ht="15" customHeight="1">
      <c r="C260" s="248">
        <f t="shared" ref="C260:C262" si="169">SUM(G260:U260)</f>
        <v>2125.0460049520489</v>
      </c>
      <c r="D260" s="213" t="s">
        <v>232</v>
      </c>
      <c r="E260" s="237" t="s">
        <v>12</v>
      </c>
      <c r="F260" s="213"/>
      <c r="G260" s="248">
        <f>G255</f>
        <v>-166</v>
      </c>
      <c r="H260" s="248">
        <f t="shared" ref="H260:S260" si="170">H255</f>
        <v>-21</v>
      </c>
      <c r="I260" s="248">
        <f t="shared" si="170"/>
        <v>321.87741715141169</v>
      </c>
      <c r="J260" s="248">
        <f t="shared" si="170"/>
        <v>210.01382383119102</v>
      </c>
      <c r="K260" s="248">
        <f t="shared" si="170"/>
        <v>209.98311749405548</v>
      </c>
      <c r="L260" s="248">
        <f t="shared" si="170"/>
        <v>209.91513871342465</v>
      </c>
      <c r="M260" s="248">
        <f t="shared" si="170"/>
        <v>209.80796710452651</v>
      </c>
      <c r="N260" s="248">
        <f t="shared" si="170"/>
        <v>236.04209999999998</v>
      </c>
      <c r="O260" s="248">
        <f t="shared" si="170"/>
        <v>228.81284999999994</v>
      </c>
      <c r="P260" s="248">
        <f t="shared" si="170"/>
        <v>228.76559999999998</v>
      </c>
      <c r="Q260" s="248">
        <f t="shared" si="170"/>
        <v>228.62477647058824</v>
      </c>
      <c r="R260" s="248">
        <f t="shared" si="170"/>
        <v>228.20321418685117</v>
      </c>
      <c r="S260" s="248">
        <f t="shared" si="170"/>
        <v>-1.1205161962119184E-14</v>
      </c>
      <c r="T260" s="248"/>
      <c r="U260" s="248"/>
    </row>
    <row r="261" spans="1:21" ht="15" customHeight="1">
      <c r="C261" s="248">
        <f t="shared" si="169"/>
        <v>12886.274771648488</v>
      </c>
      <c r="D261" s="213" t="s">
        <v>348</v>
      </c>
      <c r="E261" s="237" t="s">
        <v>12</v>
      </c>
      <c r="F261" s="213"/>
      <c r="G261" s="248">
        <f>G260+F261</f>
        <v>-166</v>
      </c>
      <c r="H261" s="248">
        <f t="shared" ref="H261:S261" si="171">H260+G261</f>
        <v>-187</v>
      </c>
      <c r="I261" s="248">
        <f t="shared" si="171"/>
        <v>134.87741715141169</v>
      </c>
      <c r="J261" s="248">
        <f t="shared" si="171"/>
        <v>344.89124098260271</v>
      </c>
      <c r="K261" s="248">
        <f t="shared" si="171"/>
        <v>554.87435847665824</v>
      </c>
      <c r="L261" s="248">
        <f t="shared" si="171"/>
        <v>764.7894971900829</v>
      </c>
      <c r="M261" s="248">
        <f t="shared" si="171"/>
        <v>974.59746429460938</v>
      </c>
      <c r="N261" s="248">
        <f t="shared" si="171"/>
        <v>1210.6395642946093</v>
      </c>
      <c r="O261" s="248">
        <f t="shared" si="171"/>
        <v>1439.4524142946093</v>
      </c>
      <c r="P261" s="248">
        <f t="shared" si="171"/>
        <v>1668.2180142946092</v>
      </c>
      <c r="Q261" s="248">
        <f t="shared" si="171"/>
        <v>1896.8427907651976</v>
      </c>
      <c r="R261" s="248">
        <f t="shared" si="171"/>
        <v>2125.0460049520489</v>
      </c>
      <c r="S261" s="248">
        <f t="shared" si="171"/>
        <v>2125.0460049520489</v>
      </c>
      <c r="T261" s="248"/>
      <c r="U261" s="248"/>
    </row>
    <row r="262" spans="1:21" ht="15" customHeight="1">
      <c r="C262" s="263">
        <f t="shared" si="169"/>
        <v>2.5809665109622615</v>
      </c>
      <c r="D262" s="213" t="s">
        <v>349</v>
      </c>
      <c r="E262" s="237" t="s">
        <v>0</v>
      </c>
      <c r="F262" s="213"/>
      <c r="G262" s="264">
        <f>IF(AND(G261&lt;=0,H261&gt;0),G$74+(-G261/H260),0)</f>
        <v>0</v>
      </c>
      <c r="H262" s="264">
        <f t="shared" ref="H262:S262" si="172">IF(AND(H261&lt;=0,I261&gt;0),H$74+(-H261/I260),0)</f>
        <v>2.5809665109622615</v>
      </c>
      <c r="I262" s="264">
        <f t="shared" si="172"/>
        <v>0</v>
      </c>
      <c r="J262" s="264">
        <f t="shared" si="172"/>
        <v>0</v>
      </c>
      <c r="K262" s="264">
        <f t="shared" si="172"/>
        <v>0</v>
      </c>
      <c r="L262" s="264">
        <f t="shared" si="172"/>
        <v>0</v>
      </c>
      <c r="M262" s="264">
        <f t="shared" si="172"/>
        <v>0</v>
      </c>
      <c r="N262" s="264">
        <f t="shared" si="172"/>
        <v>0</v>
      </c>
      <c r="O262" s="264">
        <f t="shared" si="172"/>
        <v>0</v>
      </c>
      <c r="P262" s="264">
        <f t="shared" si="172"/>
        <v>0</v>
      </c>
      <c r="Q262" s="264">
        <f t="shared" si="172"/>
        <v>0</v>
      </c>
      <c r="R262" s="264">
        <f t="shared" si="172"/>
        <v>0</v>
      </c>
      <c r="S262" s="264">
        <f t="shared" si="172"/>
        <v>0</v>
      </c>
      <c r="T262" s="248"/>
      <c r="U262" s="248"/>
    </row>
    <row r="263" spans="1:21" ht="15" customHeight="1">
      <c r="C263" s="248"/>
      <c r="D263" s="213"/>
      <c r="E263" s="237"/>
      <c r="F263" s="213"/>
      <c r="G263" s="248"/>
      <c r="H263" s="248"/>
      <c r="I263" s="248"/>
      <c r="J263" s="248"/>
      <c r="K263" s="248"/>
      <c r="L263" s="248"/>
      <c r="M263" s="248"/>
      <c r="N263" s="248"/>
      <c r="O263" s="248"/>
      <c r="P263" s="248"/>
      <c r="Q263" s="248"/>
      <c r="R263" s="248"/>
      <c r="S263" s="248"/>
      <c r="T263" s="248"/>
      <c r="U263" s="248"/>
    </row>
    <row r="264" spans="1:21" ht="15" customHeight="1">
      <c r="C264" s="248"/>
      <c r="D264" s="213" t="s">
        <v>350</v>
      </c>
      <c r="E264" s="237"/>
      <c r="F264" s="213"/>
      <c r="G264" s="263">
        <f>(1+$F$33)^(G230-1)</f>
        <v>1</v>
      </c>
      <c r="H264" s="263">
        <f t="shared" ref="H264:S264" si="173">(1+$F$33)^(H230-1)</f>
        <v>1.125</v>
      </c>
      <c r="I264" s="263">
        <f t="shared" si="173"/>
        <v>1.265625</v>
      </c>
      <c r="J264" s="263">
        <f t="shared" si="173"/>
        <v>1.423828125</v>
      </c>
      <c r="K264" s="263">
        <f t="shared" si="173"/>
        <v>1.601806640625</v>
      </c>
      <c r="L264" s="263">
        <f t="shared" si="173"/>
        <v>1.802032470703125</v>
      </c>
      <c r="M264" s="263">
        <f t="shared" si="173"/>
        <v>2.0272865295410156</v>
      </c>
      <c r="N264" s="263">
        <f t="shared" si="173"/>
        <v>2.2806973457336426</v>
      </c>
      <c r="O264" s="263">
        <f t="shared" si="173"/>
        <v>2.5657845139503479</v>
      </c>
      <c r="P264" s="263">
        <f t="shared" si="173"/>
        <v>2.8865075781941414</v>
      </c>
      <c r="Q264" s="263">
        <f t="shared" si="173"/>
        <v>3.2473210254684091</v>
      </c>
      <c r="R264" s="263">
        <f t="shared" si="173"/>
        <v>3.6532361536519602</v>
      </c>
      <c r="S264" s="263">
        <f t="shared" si="173"/>
        <v>4.1098906728584552</v>
      </c>
      <c r="T264" s="263"/>
      <c r="U264" s="248"/>
    </row>
    <row r="265" spans="1:21" ht="15" customHeight="1">
      <c r="C265" s="248">
        <f t="shared" ref="C265:C267" si="174">SUM(G265:U265)</f>
        <v>973.02476324491101</v>
      </c>
      <c r="D265" s="213" t="str">
        <f>"Contractor post-tax cash flow NPV"&amp;$F$33*100</f>
        <v>Contractor post-tax cash flow NPV12.5</v>
      </c>
      <c r="E265" s="237" t="s">
        <v>12</v>
      </c>
      <c r="F265" s="213"/>
      <c r="G265" s="248">
        <f>G260/G264</f>
        <v>-166</v>
      </c>
      <c r="H265" s="248">
        <f t="shared" ref="H265:S265" si="175">H260/H264</f>
        <v>-18.666666666666668</v>
      </c>
      <c r="I265" s="248">
        <f t="shared" si="175"/>
        <v>254.32289750234997</v>
      </c>
      <c r="J265" s="248">
        <f t="shared" si="175"/>
        <v>147.49942085263348</v>
      </c>
      <c r="K265" s="248">
        <f t="shared" si="175"/>
        <v>131.09142649834646</v>
      </c>
      <c r="L265" s="248">
        <f t="shared" si="175"/>
        <v>116.4879890491202</v>
      </c>
      <c r="M265" s="248">
        <f t="shared" si="175"/>
        <v>103.49201459550355</v>
      </c>
      <c r="N265" s="248">
        <f t="shared" si="175"/>
        <v>103.49558236718656</v>
      </c>
      <c r="O265" s="248">
        <f t="shared" si="175"/>
        <v>89.178513922712</v>
      </c>
      <c r="P265" s="248">
        <f t="shared" si="175"/>
        <v>79.25342089111038</v>
      </c>
      <c r="Q265" s="248">
        <f t="shared" si="175"/>
        <v>70.404119173160694</v>
      </c>
      <c r="R265" s="248">
        <f t="shared" si="175"/>
        <v>62.466045059454387</v>
      </c>
      <c r="S265" s="248">
        <f t="shared" si="175"/>
        <v>-2.7263893018171023E-15</v>
      </c>
      <c r="T265" s="248"/>
      <c r="U265" s="248"/>
    </row>
    <row r="266" spans="1:21" ht="15" customHeight="1">
      <c r="C266" s="248">
        <f t="shared" si="174"/>
        <v>6446.7411291183007</v>
      </c>
      <c r="D266" s="213" t="str">
        <f>"Cumulative contractor post-tax cash flow NPV"&amp;$F$33*100</f>
        <v>Cumulative contractor post-tax cash flow NPV12.5</v>
      </c>
      <c r="E266" s="237" t="s">
        <v>12</v>
      </c>
      <c r="F266" s="213"/>
      <c r="G266" s="248">
        <f>G265+F266</f>
        <v>-166</v>
      </c>
      <c r="H266" s="248">
        <f t="shared" ref="H266" si="176">H265+G266</f>
        <v>-184.66666666666666</v>
      </c>
      <c r="I266" s="248">
        <f t="shared" ref="I266" si="177">I265+H266</f>
        <v>69.656230835683317</v>
      </c>
      <c r="J266" s="248">
        <f t="shared" ref="J266" si="178">J265+I266</f>
        <v>217.15565168831679</v>
      </c>
      <c r="K266" s="248">
        <f t="shared" ref="K266" si="179">K265+J266</f>
        <v>348.24707818666326</v>
      </c>
      <c r="L266" s="248">
        <f t="shared" ref="L266" si="180">L265+K266</f>
        <v>464.73506723578345</v>
      </c>
      <c r="M266" s="248">
        <f t="shared" ref="M266" si="181">M265+L266</f>
        <v>568.22708183128702</v>
      </c>
      <c r="N266" s="248">
        <f t="shared" ref="N266" si="182">N265+M266</f>
        <v>671.72266419847358</v>
      </c>
      <c r="O266" s="248">
        <f t="shared" ref="O266" si="183">O265+N266</f>
        <v>760.90117812118558</v>
      </c>
      <c r="P266" s="248">
        <f t="shared" ref="P266" si="184">P265+O266</f>
        <v>840.15459901229599</v>
      </c>
      <c r="Q266" s="248">
        <f t="shared" ref="Q266" si="185">Q265+P266</f>
        <v>910.55871818545666</v>
      </c>
      <c r="R266" s="248">
        <f t="shared" ref="R266" si="186">R265+Q266</f>
        <v>973.02476324491101</v>
      </c>
      <c r="S266" s="248">
        <f t="shared" ref="S266" si="187">S265+R266</f>
        <v>973.02476324491101</v>
      </c>
      <c r="T266" s="248"/>
      <c r="U266" s="248"/>
    </row>
    <row r="267" spans="1:21" ht="15" customHeight="1">
      <c r="C267" s="263">
        <f t="shared" si="174"/>
        <v>2.7261110520532674</v>
      </c>
      <c r="D267" s="213" t="str">
        <f>"Payback period NPV"&amp;$F$33*100</f>
        <v>Payback period NPV12.5</v>
      </c>
      <c r="E267" s="237" t="s">
        <v>0</v>
      </c>
      <c r="F267" s="213"/>
      <c r="G267" s="264">
        <f>IF(AND(G266&lt;=0,H266&gt;0),G$74+(-G266/H265),0)</f>
        <v>0</v>
      </c>
      <c r="H267" s="264">
        <f t="shared" ref="H267" si="188">IF(AND(H266&lt;=0,I266&gt;0),H$74+(-H266/I265),0)</f>
        <v>2.7261110520532674</v>
      </c>
      <c r="I267" s="264">
        <f t="shared" ref="I267" si="189">IF(AND(I266&lt;=0,J266&gt;0),I$74+(-I266/J265),0)</f>
        <v>0</v>
      </c>
      <c r="J267" s="264">
        <f t="shared" ref="J267" si="190">IF(AND(J266&lt;=0,K266&gt;0),J$74+(-J266/K265),0)</f>
        <v>0</v>
      </c>
      <c r="K267" s="264">
        <f t="shared" ref="K267" si="191">IF(AND(K266&lt;=0,L266&gt;0),K$74+(-K266/L265),0)</f>
        <v>0</v>
      </c>
      <c r="L267" s="264">
        <f t="shared" ref="L267" si="192">IF(AND(L266&lt;=0,M266&gt;0),L$74+(-L266/M265),0)</f>
        <v>0</v>
      </c>
      <c r="M267" s="264">
        <f t="shared" ref="M267" si="193">IF(AND(M266&lt;=0,N266&gt;0),M$74+(-M266/N265),0)</f>
        <v>0</v>
      </c>
      <c r="N267" s="264">
        <f t="shared" ref="N267" si="194">IF(AND(N266&lt;=0,O266&gt;0),N$74+(-N266/O265),0)</f>
        <v>0</v>
      </c>
      <c r="O267" s="264">
        <f t="shared" ref="O267" si="195">IF(AND(O266&lt;=0,P266&gt;0),O$74+(-O266/P265),0)</f>
        <v>0</v>
      </c>
      <c r="P267" s="264">
        <f t="shared" ref="P267" si="196">IF(AND(P266&lt;=0,Q266&gt;0),P$74+(-P266/Q265),0)</f>
        <v>0</v>
      </c>
      <c r="Q267" s="264">
        <f t="shared" ref="Q267" si="197">IF(AND(Q266&lt;=0,R266&gt;0),Q$74+(-Q266/R265),0)</f>
        <v>0</v>
      </c>
      <c r="R267" s="264">
        <f t="shared" ref="R267" si="198">IF(AND(R266&lt;=0,S266&gt;0),R$74+(-R266/S265),0)</f>
        <v>0</v>
      </c>
      <c r="S267" s="264">
        <f t="shared" ref="S267" si="199">IF(AND(S266&lt;=0,T266&gt;0),S$74+(-S266/T265),0)</f>
        <v>0</v>
      </c>
      <c r="T267" s="248"/>
      <c r="U267" s="248"/>
    </row>
    <row r="268" spans="1:21" s="282" customFormat="1" ht="15" customHeight="1">
      <c r="A268" s="281"/>
      <c r="C268" s="285"/>
      <c r="D268" s="285"/>
      <c r="E268" s="285"/>
      <c r="F268" s="285"/>
      <c r="G268" s="285"/>
      <c r="H268" s="285"/>
      <c r="I268" s="285"/>
      <c r="J268" s="285"/>
      <c r="K268" s="285"/>
      <c r="L268" s="285"/>
      <c r="M268" s="285"/>
      <c r="N268" s="285"/>
      <c r="O268" s="285"/>
      <c r="P268" s="285"/>
      <c r="Q268" s="285"/>
      <c r="R268" s="285"/>
      <c r="S268" s="285"/>
      <c r="T268" s="285"/>
      <c r="U268" s="285"/>
    </row>
    <row r="269" spans="1:21" ht="15" customHeight="1">
      <c r="C269" s="259"/>
      <c r="D269" s="231" t="s">
        <v>221</v>
      </c>
      <c r="E269" s="237"/>
      <c r="F269" s="213"/>
      <c r="G269" s="248"/>
      <c r="H269" s="248"/>
      <c r="I269" s="248"/>
      <c r="J269" s="248"/>
      <c r="K269" s="248"/>
      <c r="L269" s="248"/>
      <c r="M269" s="248"/>
      <c r="N269" s="248"/>
      <c r="O269" s="248"/>
      <c r="P269" s="248"/>
      <c r="Q269" s="248"/>
      <c r="R269" s="248"/>
      <c r="S269" s="248"/>
      <c r="T269" s="248"/>
      <c r="U269" s="248"/>
    </row>
    <row r="270" spans="1:21" ht="15" customHeight="1">
      <c r="C270" s="248">
        <f>SUM(G270:U270)</f>
        <v>0</v>
      </c>
      <c r="D270" s="213" t="s">
        <v>251</v>
      </c>
      <c r="E270" s="237" t="s">
        <v>112</v>
      </c>
      <c r="F270" s="213"/>
      <c r="G270" s="248">
        <f t="shared" ref="G270:S270" si="200">G128</f>
        <v>0</v>
      </c>
      <c r="H270" s="248">
        <f t="shared" si="200"/>
        <v>0</v>
      </c>
      <c r="I270" s="248">
        <f t="shared" si="200"/>
        <v>0</v>
      </c>
      <c r="J270" s="248">
        <f t="shared" si="200"/>
        <v>0</v>
      </c>
      <c r="K270" s="248">
        <f t="shared" si="200"/>
        <v>0</v>
      </c>
      <c r="L270" s="248">
        <f t="shared" si="200"/>
        <v>0</v>
      </c>
      <c r="M270" s="248">
        <f t="shared" si="200"/>
        <v>0</v>
      </c>
      <c r="N270" s="248">
        <f t="shared" si="200"/>
        <v>0</v>
      </c>
      <c r="O270" s="248">
        <f t="shared" si="200"/>
        <v>0</v>
      </c>
      <c r="P270" s="248">
        <f t="shared" si="200"/>
        <v>0</v>
      </c>
      <c r="Q270" s="248">
        <f t="shared" si="200"/>
        <v>0</v>
      </c>
      <c r="R270" s="248">
        <f t="shared" si="200"/>
        <v>0</v>
      </c>
      <c r="S270" s="248">
        <f t="shared" si="200"/>
        <v>0</v>
      </c>
      <c r="T270" s="248"/>
      <c r="U270" s="248"/>
    </row>
    <row r="271" spans="1:21" ht="15" customHeight="1">
      <c r="C271" s="248">
        <f t="shared" ref="C271:C277" si="201">SUM(G271:U271)</f>
        <v>432.89940966883609</v>
      </c>
      <c r="D271" s="213" t="s">
        <v>132</v>
      </c>
      <c r="E271" s="237" t="s">
        <v>112</v>
      </c>
      <c r="F271" s="213"/>
      <c r="G271" s="248">
        <f t="shared" ref="G271:S271" si="202">G125</f>
        <v>0</v>
      </c>
      <c r="H271" s="248">
        <f t="shared" si="202"/>
        <v>0</v>
      </c>
      <c r="I271" s="248">
        <f t="shared" si="202"/>
        <v>39.535200000000003</v>
      </c>
      <c r="J271" s="248">
        <f t="shared" si="202"/>
        <v>40.325904000000001</v>
      </c>
      <c r="K271" s="248">
        <f t="shared" si="202"/>
        <v>41.132422079999998</v>
      </c>
      <c r="L271" s="248">
        <f t="shared" si="202"/>
        <v>41.9550705216</v>
      </c>
      <c r="M271" s="248">
        <f t="shared" si="202"/>
        <v>42.794171932032008</v>
      </c>
      <c r="N271" s="248">
        <f t="shared" si="202"/>
        <v>43.650055370672639</v>
      </c>
      <c r="O271" s="248">
        <f t="shared" si="202"/>
        <v>44.52305647808609</v>
      </c>
      <c r="P271" s="248">
        <f t="shared" si="202"/>
        <v>45.413517607647812</v>
      </c>
      <c r="Q271" s="248">
        <f t="shared" si="202"/>
        <v>46.321787959800773</v>
      </c>
      <c r="R271" s="248">
        <f t="shared" si="202"/>
        <v>47.248223718996776</v>
      </c>
      <c r="S271" s="248">
        <f t="shared" si="202"/>
        <v>0</v>
      </c>
      <c r="T271" s="248"/>
      <c r="U271" s="248"/>
    </row>
    <row r="272" spans="1:21" ht="15" customHeight="1">
      <c r="C272" s="248">
        <f t="shared" si="201"/>
        <v>1291.3875795316883</v>
      </c>
      <c r="D272" s="213" t="s">
        <v>187</v>
      </c>
      <c r="E272" s="237" t="s">
        <v>112</v>
      </c>
      <c r="F272" s="213"/>
      <c r="G272" s="248">
        <f t="shared" ref="G272:S272" si="203">G181</f>
        <v>0</v>
      </c>
      <c r="H272" s="248">
        <f t="shared" si="203"/>
        <v>0</v>
      </c>
      <c r="I272" s="248">
        <f t="shared" si="203"/>
        <v>26.233655999999961</v>
      </c>
      <c r="J272" s="248">
        <f t="shared" si="203"/>
        <v>129.22085954083713</v>
      </c>
      <c r="K272" s="248">
        <f t="shared" si="203"/>
        <v>132.59458911133882</v>
      </c>
      <c r="L272" s="248">
        <f t="shared" si="203"/>
        <v>136.08741863113698</v>
      </c>
      <c r="M272" s="248">
        <f t="shared" si="203"/>
        <v>139.70644865692844</v>
      </c>
      <c r="N272" s="248">
        <f t="shared" si="203"/>
        <v>143.45935303271852</v>
      </c>
      <c r="O272" s="248">
        <f t="shared" si="203"/>
        <v>141.84694296103928</v>
      </c>
      <c r="P272" s="248">
        <f t="shared" si="203"/>
        <v>144.65400450604449</v>
      </c>
      <c r="Q272" s="248">
        <f t="shared" si="203"/>
        <v>147.45625756095006</v>
      </c>
      <c r="R272" s="248">
        <f t="shared" si="203"/>
        <v>150.12804953069454</v>
      </c>
      <c r="S272" s="248">
        <f t="shared" si="203"/>
        <v>0</v>
      </c>
      <c r="T272" s="248"/>
      <c r="U272" s="248"/>
    </row>
    <row r="273" spans="3:21" ht="15" customHeight="1">
      <c r="C273" s="248">
        <f t="shared" si="201"/>
        <v>0</v>
      </c>
      <c r="D273" s="213" t="s">
        <v>332</v>
      </c>
      <c r="E273" s="237" t="s">
        <v>112</v>
      </c>
      <c r="F273" s="213"/>
      <c r="G273" s="248">
        <f t="shared" ref="G273:S273" si="204">G199</f>
        <v>0</v>
      </c>
      <c r="H273" s="248">
        <f t="shared" si="204"/>
        <v>0</v>
      </c>
      <c r="I273" s="248">
        <f t="shared" si="204"/>
        <v>0</v>
      </c>
      <c r="J273" s="248">
        <f t="shared" si="204"/>
        <v>0</v>
      </c>
      <c r="K273" s="248">
        <f t="shared" si="204"/>
        <v>0</v>
      </c>
      <c r="L273" s="248">
        <f t="shared" si="204"/>
        <v>0</v>
      </c>
      <c r="M273" s="248">
        <f t="shared" si="204"/>
        <v>0</v>
      </c>
      <c r="N273" s="248">
        <f t="shared" si="204"/>
        <v>0</v>
      </c>
      <c r="O273" s="248">
        <f t="shared" si="204"/>
        <v>0</v>
      </c>
      <c r="P273" s="248">
        <f t="shared" si="204"/>
        <v>0</v>
      </c>
      <c r="Q273" s="248">
        <f t="shared" si="204"/>
        <v>0</v>
      </c>
      <c r="R273" s="248">
        <f t="shared" si="204"/>
        <v>0</v>
      </c>
      <c r="S273" s="248">
        <f t="shared" si="204"/>
        <v>0</v>
      </c>
      <c r="T273" s="248"/>
      <c r="U273" s="248"/>
    </row>
    <row r="274" spans="3:21" ht="15" customHeight="1">
      <c r="C274" s="248">
        <f t="shared" si="201"/>
        <v>0</v>
      </c>
      <c r="D274" s="213" t="s">
        <v>291</v>
      </c>
      <c r="E274" s="237" t="s">
        <v>112</v>
      </c>
      <c r="F274" s="213"/>
      <c r="G274" s="248">
        <f t="shared" ref="G274:S274" si="205">G208</f>
        <v>0</v>
      </c>
      <c r="H274" s="248">
        <f t="shared" si="205"/>
        <v>0</v>
      </c>
      <c r="I274" s="248">
        <f t="shared" si="205"/>
        <v>0</v>
      </c>
      <c r="J274" s="248">
        <f t="shared" si="205"/>
        <v>0</v>
      </c>
      <c r="K274" s="248">
        <f t="shared" si="205"/>
        <v>0</v>
      </c>
      <c r="L274" s="248">
        <f t="shared" si="205"/>
        <v>0</v>
      </c>
      <c r="M274" s="248">
        <f t="shared" si="205"/>
        <v>0</v>
      </c>
      <c r="N274" s="248">
        <f t="shared" si="205"/>
        <v>0</v>
      </c>
      <c r="O274" s="248">
        <f t="shared" si="205"/>
        <v>0</v>
      </c>
      <c r="P274" s="248">
        <f t="shared" si="205"/>
        <v>0</v>
      </c>
      <c r="Q274" s="248">
        <f t="shared" si="205"/>
        <v>0</v>
      </c>
      <c r="R274" s="248">
        <f t="shared" si="205"/>
        <v>0</v>
      </c>
      <c r="S274" s="248">
        <f t="shared" si="205"/>
        <v>0</v>
      </c>
      <c r="T274" s="248"/>
      <c r="U274" s="248"/>
    </row>
    <row r="275" spans="3:21" ht="15" customHeight="1">
      <c r="C275" s="248">
        <f t="shared" si="201"/>
        <v>301.32376855739398</v>
      </c>
      <c r="D275" s="213" t="s">
        <v>303</v>
      </c>
      <c r="E275" s="237" t="s">
        <v>112</v>
      </c>
      <c r="F275" s="213"/>
      <c r="G275" s="248">
        <f>G224</f>
        <v>0</v>
      </c>
      <c r="H275" s="248">
        <f t="shared" ref="H275:S275" si="206">H224</f>
        <v>0</v>
      </c>
      <c r="I275" s="248">
        <f t="shared" si="206"/>
        <v>18.205094420287491</v>
      </c>
      <c r="J275" s="248">
        <f t="shared" si="206"/>
        <v>27.514611106203773</v>
      </c>
      <c r="K275" s="248">
        <f t="shared" si="206"/>
        <v>28.060799929953614</v>
      </c>
      <c r="L275" s="248">
        <f t="shared" si="206"/>
        <v>28.612749994389794</v>
      </c>
      <c r="M275" s="248">
        <f t="shared" si="206"/>
        <v>29.170104668554973</v>
      </c>
      <c r="N275" s="248">
        <f t="shared" si="206"/>
        <v>33.473849040967664</v>
      </c>
      <c r="O275" s="248">
        <f t="shared" si="206"/>
        <v>33.097620024242495</v>
      </c>
      <c r="P275" s="248">
        <f t="shared" si="206"/>
        <v>33.75260105141038</v>
      </c>
      <c r="Q275" s="248">
        <f t="shared" si="206"/>
        <v>34.406460097555019</v>
      </c>
      <c r="R275" s="248">
        <f t="shared" si="206"/>
        <v>35.029878223828739</v>
      </c>
      <c r="S275" s="248">
        <f t="shared" si="206"/>
        <v>0</v>
      </c>
      <c r="T275" s="248"/>
      <c r="U275" s="248"/>
    </row>
    <row r="276" spans="3:21" ht="15" customHeight="1">
      <c r="C276" s="248">
        <f t="shared" si="201"/>
        <v>271.1913917016546</v>
      </c>
      <c r="D276" s="213" t="s">
        <v>67</v>
      </c>
      <c r="E276" s="237" t="s">
        <v>112</v>
      </c>
      <c r="F276" s="213"/>
      <c r="G276" s="248">
        <f>G226</f>
        <v>0</v>
      </c>
      <c r="H276" s="248">
        <f t="shared" ref="H276:S276" si="207">H226</f>
        <v>0</v>
      </c>
      <c r="I276" s="248">
        <f t="shared" si="207"/>
        <v>16.384584978258744</v>
      </c>
      <c r="J276" s="248">
        <f t="shared" si="207"/>
        <v>24.763149995583397</v>
      </c>
      <c r="K276" s="248">
        <f t="shared" si="207"/>
        <v>25.254719936958253</v>
      </c>
      <c r="L276" s="248">
        <f t="shared" si="207"/>
        <v>25.751474994950815</v>
      </c>
      <c r="M276" s="248">
        <f t="shared" si="207"/>
        <v>26.253094201699476</v>
      </c>
      <c r="N276" s="248">
        <f t="shared" si="207"/>
        <v>30.126464136870897</v>
      </c>
      <c r="O276" s="248">
        <f t="shared" si="207"/>
        <v>29.787858021818252</v>
      </c>
      <c r="P276" s="248">
        <f t="shared" si="207"/>
        <v>30.377340946269342</v>
      </c>
      <c r="Q276" s="248">
        <f t="shared" si="207"/>
        <v>30.965814087799522</v>
      </c>
      <c r="R276" s="248">
        <f t="shared" si="207"/>
        <v>31.526890401445861</v>
      </c>
      <c r="S276" s="248">
        <f t="shared" si="207"/>
        <v>0</v>
      </c>
      <c r="T276" s="248"/>
      <c r="U276" s="248"/>
    </row>
    <row r="277" spans="3:21" ht="15" customHeight="1">
      <c r="C277" s="248">
        <f t="shared" si="201"/>
        <v>2296.8021494595728</v>
      </c>
      <c r="D277" s="213" t="s">
        <v>223</v>
      </c>
      <c r="E277" s="237" t="s">
        <v>112</v>
      </c>
      <c r="F277" s="213"/>
      <c r="G277" s="248">
        <f>SUM(G270:G276)</f>
        <v>0</v>
      </c>
      <c r="H277" s="248">
        <f t="shared" ref="H277:S277" si="208">SUM(H270:H276)</f>
        <v>0</v>
      </c>
      <c r="I277" s="248">
        <f t="shared" si="208"/>
        <v>100.35853539854621</v>
      </c>
      <c r="J277" s="248">
        <f t="shared" si="208"/>
        <v>221.82452464262431</v>
      </c>
      <c r="K277" s="248">
        <f t="shared" si="208"/>
        <v>227.04253105825069</v>
      </c>
      <c r="L277" s="248">
        <f t="shared" si="208"/>
        <v>232.40671414207759</v>
      </c>
      <c r="M277" s="248">
        <f t="shared" si="208"/>
        <v>237.92381945921491</v>
      </c>
      <c r="N277" s="248">
        <f t="shared" si="208"/>
        <v>250.70972158122973</v>
      </c>
      <c r="O277" s="248">
        <f t="shared" si="208"/>
        <v>249.25547748518613</v>
      </c>
      <c r="P277" s="248">
        <f t="shared" si="208"/>
        <v>254.19746411137203</v>
      </c>
      <c r="Q277" s="248">
        <f t="shared" si="208"/>
        <v>259.15031970610539</v>
      </c>
      <c r="R277" s="248">
        <f t="shared" si="208"/>
        <v>263.93304187496591</v>
      </c>
      <c r="S277" s="248">
        <f t="shared" si="208"/>
        <v>0</v>
      </c>
      <c r="T277" s="248"/>
      <c r="U277" s="248"/>
    </row>
    <row r="278" spans="3:21" ht="15" customHeight="1">
      <c r="C278" s="111">
        <f>IFERROR(C277/C97,0)</f>
        <v>0.4805433302297199</v>
      </c>
      <c r="D278" s="213" t="s">
        <v>224</v>
      </c>
      <c r="E278" s="237" t="s">
        <v>17</v>
      </c>
      <c r="F278" s="213"/>
      <c r="G278" s="111">
        <f t="shared" ref="G278:S278" si="209">IFERROR(G277/G97,0)</f>
        <v>0</v>
      </c>
      <c r="H278" s="111">
        <f t="shared" si="209"/>
        <v>0</v>
      </c>
      <c r="I278" s="111">
        <f t="shared" si="209"/>
        <v>0.21232993870977304</v>
      </c>
      <c r="J278" s="111">
        <f t="shared" si="209"/>
        <v>0.46011491067802374</v>
      </c>
      <c r="K278" s="111">
        <f t="shared" si="209"/>
        <v>0.46170416868071262</v>
      </c>
      <c r="L278" s="111">
        <f t="shared" si="209"/>
        <v>0.46334563374381194</v>
      </c>
      <c r="M278" s="111">
        <f t="shared" si="209"/>
        <v>0.46504411802821283</v>
      </c>
      <c r="N278" s="111">
        <f t="shared" si="209"/>
        <v>0.48042681047765795</v>
      </c>
      <c r="O278" s="111">
        <f t="shared" si="209"/>
        <v>0.46827459828307283</v>
      </c>
      <c r="P278" s="111">
        <f t="shared" si="209"/>
        <v>0.46819517205957883</v>
      </c>
      <c r="Q278" s="111">
        <f t="shared" si="209"/>
        <v>0.46795845076602804</v>
      </c>
      <c r="R278" s="111">
        <f t="shared" si="209"/>
        <v>0.46724981372550428</v>
      </c>
      <c r="S278" s="111">
        <f t="shared" si="209"/>
        <v>0</v>
      </c>
      <c r="T278" s="248"/>
      <c r="U278" s="248"/>
    </row>
    <row r="279" spans="3:21" ht="15" customHeight="1">
      <c r="C279" s="213"/>
      <c r="D279" s="213"/>
      <c r="E279" s="213"/>
      <c r="F279" s="213"/>
      <c r="G279" s="213"/>
      <c r="H279" s="213"/>
      <c r="I279" s="213"/>
      <c r="J279" s="213"/>
      <c r="K279" s="213"/>
      <c r="L279" s="213"/>
      <c r="M279" s="213"/>
      <c r="N279" s="213"/>
      <c r="O279" s="213"/>
      <c r="P279" s="213"/>
      <c r="Q279" s="213"/>
      <c r="R279" s="213"/>
      <c r="S279" s="213"/>
      <c r="T279" s="213"/>
      <c r="U279" s="213"/>
    </row>
    <row r="280" spans="3:21" ht="15" customHeight="1">
      <c r="C280" s="259"/>
      <c r="D280" s="231" t="s">
        <v>225</v>
      </c>
      <c r="E280" s="237"/>
      <c r="F280" s="213"/>
      <c r="G280" s="248"/>
      <c r="H280" s="248"/>
      <c r="I280" s="248"/>
      <c r="J280" s="248"/>
      <c r="K280" s="248"/>
      <c r="L280" s="248"/>
      <c r="M280" s="248"/>
      <c r="N280" s="248"/>
      <c r="O280" s="248"/>
      <c r="P280" s="248"/>
      <c r="Q280" s="248"/>
      <c r="R280" s="248"/>
      <c r="S280" s="248"/>
      <c r="T280" s="248"/>
      <c r="U280" s="248"/>
    </row>
    <row r="281" spans="3:21" ht="15" customHeight="1">
      <c r="C281" s="248">
        <f>SUM(G281:U281)</f>
        <v>0</v>
      </c>
      <c r="D281" s="213" t="s">
        <v>251</v>
      </c>
      <c r="E281" s="237" t="s">
        <v>12</v>
      </c>
      <c r="F281" s="213"/>
      <c r="G281" s="248">
        <f t="shared" ref="G281:S287" si="210">G270/G$246</f>
        <v>0</v>
      </c>
      <c r="H281" s="248">
        <f t="shared" si="210"/>
        <v>0</v>
      </c>
      <c r="I281" s="248">
        <f t="shared" si="210"/>
        <v>0</v>
      </c>
      <c r="J281" s="248">
        <f t="shared" si="210"/>
        <v>0</v>
      </c>
      <c r="K281" s="248">
        <f t="shared" si="210"/>
        <v>0</v>
      </c>
      <c r="L281" s="248">
        <f t="shared" si="210"/>
        <v>0</v>
      </c>
      <c r="M281" s="248">
        <f t="shared" si="210"/>
        <v>0</v>
      </c>
      <c r="N281" s="248">
        <f t="shared" si="210"/>
        <v>0</v>
      </c>
      <c r="O281" s="248">
        <f t="shared" si="210"/>
        <v>0</v>
      </c>
      <c r="P281" s="248">
        <f t="shared" si="210"/>
        <v>0</v>
      </c>
      <c r="Q281" s="248">
        <f t="shared" si="210"/>
        <v>0</v>
      </c>
      <c r="R281" s="248">
        <f t="shared" si="210"/>
        <v>0</v>
      </c>
      <c r="S281" s="248">
        <f t="shared" si="210"/>
        <v>0</v>
      </c>
      <c r="T281" s="248"/>
      <c r="U281" s="248"/>
    </row>
    <row r="282" spans="3:21" ht="15" customHeight="1">
      <c r="C282" s="248">
        <f t="shared" ref="C282:C287" si="211">SUM(G282:U282)</f>
        <v>380</v>
      </c>
      <c r="D282" s="213" t="s">
        <v>132</v>
      </c>
      <c r="E282" s="237" t="s">
        <v>12</v>
      </c>
      <c r="F282" s="213"/>
      <c r="G282" s="248">
        <f t="shared" si="210"/>
        <v>0</v>
      </c>
      <c r="H282" s="248">
        <f t="shared" si="210"/>
        <v>0</v>
      </c>
      <c r="I282" s="248">
        <f t="shared" si="210"/>
        <v>38</v>
      </c>
      <c r="J282" s="248">
        <f t="shared" si="210"/>
        <v>38.000000000000007</v>
      </c>
      <c r="K282" s="248">
        <f t="shared" si="210"/>
        <v>38</v>
      </c>
      <c r="L282" s="248">
        <f t="shared" si="210"/>
        <v>38</v>
      </c>
      <c r="M282" s="248">
        <f t="shared" si="210"/>
        <v>38.000000000000007</v>
      </c>
      <c r="N282" s="248">
        <f t="shared" si="210"/>
        <v>38.000000000000007</v>
      </c>
      <c r="O282" s="248">
        <f t="shared" si="210"/>
        <v>38</v>
      </c>
      <c r="P282" s="248">
        <f t="shared" si="210"/>
        <v>38</v>
      </c>
      <c r="Q282" s="248">
        <f t="shared" si="210"/>
        <v>38</v>
      </c>
      <c r="R282" s="248">
        <f t="shared" si="210"/>
        <v>38</v>
      </c>
      <c r="S282" s="248">
        <f t="shared" si="210"/>
        <v>0</v>
      </c>
      <c r="T282" s="248"/>
      <c r="U282" s="248"/>
    </row>
    <row r="283" spans="3:21" ht="15" customHeight="1">
      <c r="C283" s="248">
        <f t="shared" si="211"/>
        <v>1125.4964056294514</v>
      </c>
      <c r="D283" s="213" t="s">
        <v>187</v>
      </c>
      <c r="E283" s="237" t="s">
        <v>12</v>
      </c>
      <c r="F283" s="213"/>
      <c r="G283" s="248">
        <f>G272/G$246</f>
        <v>0</v>
      </c>
      <c r="H283" s="248">
        <f t="shared" si="210"/>
        <v>0</v>
      </c>
      <c r="I283" s="248">
        <f t="shared" si="210"/>
        <v>25.214971164936525</v>
      </c>
      <c r="J283" s="248">
        <f t="shared" si="210"/>
        <v>121.76770203469738</v>
      </c>
      <c r="K283" s="248">
        <f t="shared" si="210"/>
        <v>122.49690466637541</v>
      </c>
      <c r="L283" s="248">
        <f t="shared" si="210"/>
        <v>123.25856788444248</v>
      </c>
      <c r="M283" s="248">
        <f t="shared" si="210"/>
        <v>124.05532831421702</v>
      </c>
      <c r="N283" s="248">
        <f t="shared" si="210"/>
        <v>124.88999999999997</v>
      </c>
      <c r="O283" s="248">
        <f t="shared" si="210"/>
        <v>121.065</v>
      </c>
      <c r="P283" s="248">
        <f t="shared" si="210"/>
        <v>121.03999999999999</v>
      </c>
      <c r="Q283" s="248">
        <f t="shared" si="210"/>
        <v>120.96549019607839</v>
      </c>
      <c r="R283" s="248">
        <f t="shared" si="210"/>
        <v>120.74244136870431</v>
      </c>
      <c r="S283" s="248">
        <f t="shared" si="210"/>
        <v>0</v>
      </c>
      <c r="T283" s="248"/>
      <c r="U283" s="248"/>
    </row>
    <row r="284" spans="3:21" ht="15" customHeight="1">
      <c r="C284" s="248">
        <f t="shared" si="211"/>
        <v>0</v>
      </c>
      <c r="D284" s="213" t="s">
        <v>332</v>
      </c>
      <c r="E284" s="237" t="s">
        <v>12</v>
      </c>
      <c r="F284" s="213"/>
      <c r="G284" s="248">
        <f t="shared" si="210"/>
        <v>0</v>
      </c>
      <c r="H284" s="248">
        <f t="shared" si="210"/>
        <v>0</v>
      </c>
      <c r="I284" s="248">
        <f t="shared" si="210"/>
        <v>0</v>
      </c>
      <c r="J284" s="248">
        <f t="shared" si="210"/>
        <v>0</v>
      </c>
      <c r="K284" s="248">
        <f t="shared" si="210"/>
        <v>0</v>
      </c>
      <c r="L284" s="248">
        <f t="shared" si="210"/>
        <v>0</v>
      </c>
      <c r="M284" s="248">
        <f t="shared" si="210"/>
        <v>0</v>
      </c>
      <c r="N284" s="248">
        <f t="shared" si="210"/>
        <v>0</v>
      </c>
      <c r="O284" s="248">
        <f t="shared" si="210"/>
        <v>0</v>
      </c>
      <c r="P284" s="248">
        <f t="shared" si="210"/>
        <v>0</v>
      </c>
      <c r="Q284" s="248">
        <f t="shared" si="210"/>
        <v>0</v>
      </c>
      <c r="R284" s="248">
        <f t="shared" si="210"/>
        <v>0</v>
      </c>
      <c r="S284" s="248">
        <f t="shared" si="210"/>
        <v>0</v>
      </c>
      <c r="T284" s="248"/>
      <c r="U284" s="248"/>
    </row>
    <row r="285" spans="3:21" ht="15" customHeight="1">
      <c r="C285" s="248">
        <f t="shared" si="211"/>
        <v>0</v>
      </c>
      <c r="D285" s="213" t="s">
        <v>291</v>
      </c>
      <c r="E285" s="237" t="s">
        <v>12</v>
      </c>
      <c r="F285" s="213"/>
      <c r="G285" s="248">
        <f t="shared" si="210"/>
        <v>0</v>
      </c>
      <c r="H285" s="248">
        <f t="shared" si="210"/>
        <v>0</v>
      </c>
      <c r="I285" s="248">
        <f t="shared" si="210"/>
        <v>0</v>
      </c>
      <c r="J285" s="248">
        <f t="shared" si="210"/>
        <v>0</v>
      </c>
      <c r="K285" s="248">
        <f t="shared" si="210"/>
        <v>0</v>
      </c>
      <c r="L285" s="248">
        <f t="shared" si="210"/>
        <v>0</v>
      </c>
      <c r="M285" s="248">
        <f t="shared" si="210"/>
        <v>0</v>
      </c>
      <c r="N285" s="248">
        <f t="shared" si="210"/>
        <v>0</v>
      </c>
      <c r="O285" s="248">
        <f t="shared" si="210"/>
        <v>0</v>
      </c>
      <c r="P285" s="248">
        <f t="shared" si="210"/>
        <v>0</v>
      </c>
      <c r="Q285" s="248">
        <f t="shared" si="210"/>
        <v>0</v>
      </c>
      <c r="R285" s="248">
        <f t="shared" si="210"/>
        <v>0</v>
      </c>
      <c r="S285" s="248">
        <f t="shared" si="210"/>
        <v>0</v>
      </c>
      <c r="T285" s="248"/>
      <c r="U285" s="248"/>
    </row>
    <row r="286" spans="3:21" ht="15" customHeight="1">
      <c r="C286" s="248">
        <f t="shared" si="211"/>
        <v>263.19799407066978</v>
      </c>
      <c r="D286" s="213" t="s">
        <v>303</v>
      </c>
      <c r="E286" s="237" t="s">
        <v>12</v>
      </c>
      <c r="F286" s="213"/>
      <c r="G286" s="248">
        <f t="shared" si="210"/>
        <v>0</v>
      </c>
      <c r="H286" s="248">
        <f t="shared" si="210"/>
        <v>0</v>
      </c>
      <c r="I286" s="248">
        <f t="shared" si="210"/>
        <v>17.498168416270175</v>
      </c>
      <c r="J286" s="248">
        <f t="shared" si="210"/>
        <v>25.927632571751978</v>
      </c>
      <c r="K286" s="248">
        <f t="shared" si="210"/>
        <v>25.923841665932777</v>
      </c>
      <c r="L286" s="248">
        <f t="shared" si="210"/>
        <v>25.915449223879591</v>
      </c>
      <c r="M286" s="248">
        <f t="shared" si="210"/>
        <v>25.902218161052652</v>
      </c>
      <c r="N286" s="248">
        <f t="shared" si="210"/>
        <v>29.141000000000002</v>
      </c>
      <c r="O286" s="248">
        <f t="shared" si="210"/>
        <v>28.248499999999996</v>
      </c>
      <c r="P286" s="248">
        <f t="shared" si="210"/>
        <v>28.242666666666665</v>
      </c>
      <c r="Q286" s="248">
        <f t="shared" si="210"/>
        <v>28.225281045751629</v>
      </c>
      <c r="R286" s="248">
        <f t="shared" si="210"/>
        <v>28.173236319364349</v>
      </c>
      <c r="S286" s="248">
        <f t="shared" si="210"/>
        <v>0</v>
      </c>
      <c r="T286" s="248"/>
      <c r="U286" s="248"/>
    </row>
    <row r="287" spans="3:21" ht="15" customHeight="1">
      <c r="C287" s="248">
        <f t="shared" si="211"/>
        <v>236.87819466360284</v>
      </c>
      <c r="D287" s="213" t="s">
        <v>67</v>
      </c>
      <c r="E287" s="237" t="s">
        <v>12</v>
      </c>
      <c r="F287" s="213"/>
      <c r="G287" s="248">
        <f t="shared" si="210"/>
        <v>0</v>
      </c>
      <c r="H287" s="248">
        <f t="shared" si="210"/>
        <v>0</v>
      </c>
      <c r="I287" s="248">
        <f t="shared" si="210"/>
        <v>15.748351574643159</v>
      </c>
      <c r="J287" s="248">
        <f t="shared" si="210"/>
        <v>23.334869314576782</v>
      </c>
      <c r="K287" s="248">
        <f t="shared" si="210"/>
        <v>23.3314574993395</v>
      </c>
      <c r="L287" s="248">
        <f t="shared" si="210"/>
        <v>23.323904301491631</v>
      </c>
      <c r="M287" s="248">
        <f t="shared" si="210"/>
        <v>23.311996344947385</v>
      </c>
      <c r="N287" s="248">
        <f t="shared" si="210"/>
        <v>26.226900000000001</v>
      </c>
      <c r="O287" s="248">
        <f t="shared" si="210"/>
        <v>25.423650000000002</v>
      </c>
      <c r="P287" s="248">
        <f t="shared" si="210"/>
        <v>25.418399999999998</v>
      </c>
      <c r="Q287" s="248">
        <f t="shared" si="210"/>
        <v>25.40275294117647</v>
      </c>
      <c r="R287" s="248">
        <f t="shared" si="210"/>
        <v>25.35591268742791</v>
      </c>
      <c r="S287" s="248">
        <f t="shared" si="210"/>
        <v>0</v>
      </c>
      <c r="T287" s="248"/>
      <c r="U287" s="248"/>
    </row>
    <row r="288" spans="3:21" ht="15" customHeight="1">
      <c r="C288" s="248">
        <f>SUM(G288:AB288)</f>
        <v>2005.5725943637244</v>
      </c>
      <c r="D288" s="213" t="s">
        <v>223</v>
      </c>
      <c r="E288" s="237" t="s">
        <v>12</v>
      </c>
      <c r="F288" s="213"/>
      <c r="G288" s="248">
        <f>SUM(G281:G287)</f>
        <v>0</v>
      </c>
      <c r="H288" s="248">
        <f t="shared" ref="H288:S288" si="212">SUM(H281:H287)</f>
        <v>0</v>
      </c>
      <c r="I288" s="248">
        <f t="shared" si="212"/>
        <v>96.46149115584987</v>
      </c>
      <c r="J288" s="248">
        <f t="shared" si="212"/>
        <v>209.03020392102616</v>
      </c>
      <c r="K288" s="248">
        <f t="shared" si="212"/>
        <v>209.75220383164771</v>
      </c>
      <c r="L288" s="248">
        <f t="shared" si="212"/>
        <v>210.4979214098137</v>
      </c>
      <c r="M288" s="248">
        <f t="shared" si="212"/>
        <v>211.26954282021705</v>
      </c>
      <c r="N288" s="248">
        <f t="shared" si="212"/>
        <v>218.25789999999998</v>
      </c>
      <c r="O288" s="248">
        <f t="shared" si="212"/>
        <v>212.73715000000001</v>
      </c>
      <c r="P288" s="248">
        <f t="shared" si="212"/>
        <v>212.70106666666666</v>
      </c>
      <c r="Q288" s="248">
        <f t="shared" si="212"/>
        <v>212.59352418300648</v>
      </c>
      <c r="R288" s="248">
        <f t="shared" si="212"/>
        <v>212.27159037549657</v>
      </c>
      <c r="S288" s="248">
        <f t="shared" si="212"/>
        <v>0</v>
      </c>
      <c r="T288" s="248"/>
      <c r="U288" s="248"/>
    </row>
    <row r="289" spans="1:21" ht="15" customHeight="1">
      <c r="C289" s="111">
        <f>IFERROR(C288/C68,0)</f>
        <v>0.48199293303622315</v>
      </c>
      <c r="D289" s="213" t="s">
        <v>224</v>
      </c>
      <c r="E289" s="237" t="s">
        <v>17</v>
      </c>
      <c r="F289" s="213"/>
      <c r="G289" s="111">
        <f t="shared" ref="G289:S289" si="213">IFERROR(G288/G68,0)</f>
        <v>0</v>
      </c>
      <c r="H289" s="111">
        <f t="shared" si="213"/>
        <v>0</v>
      </c>
      <c r="I289" s="111">
        <f t="shared" si="213"/>
        <v>0.21232993870977301</v>
      </c>
      <c r="J289" s="111">
        <f t="shared" si="213"/>
        <v>0.46011491067802374</v>
      </c>
      <c r="K289" s="111">
        <f t="shared" si="213"/>
        <v>0.46170416868071257</v>
      </c>
      <c r="L289" s="111">
        <f t="shared" si="213"/>
        <v>0.46334563374381182</v>
      </c>
      <c r="M289" s="111">
        <f t="shared" si="213"/>
        <v>0.46504411802821283</v>
      </c>
      <c r="N289" s="111">
        <f t="shared" si="213"/>
        <v>0.48042681047765795</v>
      </c>
      <c r="O289" s="111">
        <f t="shared" si="213"/>
        <v>0.46827459828307294</v>
      </c>
      <c r="P289" s="111">
        <f t="shared" si="213"/>
        <v>0.46819517205957889</v>
      </c>
      <c r="Q289" s="111">
        <f t="shared" si="213"/>
        <v>0.46795845076602793</v>
      </c>
      <c r="R289" s="111">
        <f t="shared" si="213"/>
        <v>0.46724981372550428</v>
      </c>
      <c r="S289" s="111">
        <f t="shared" si="213"/>
        <v>0</v>
      </c>
      <c r="T289" s="248"/>
      <c r="U289" s="248"/>
    </row>
    <row r="290" spans="1:21" ht="15" customHeight="1">
      <c r="C290" s="211"/>
      <c r="D290" s="211"/>
      <c r="E290" s="211"/>
      <c r="F290" s="211"/>
      <c r="G290" s="211"/>
      <c r="H290" s="211"/>
      <c r="I290" s="211"/>
      <c r="J290" s="211"/>
      <c r="K290" s="211"/>
      <c r="L290" s="211"/>
      <c r="M290" s="211"/>
      <c r="N290" s="211"/>
      <c r="O290" s="211"/>
      <c r="P290" s="211"/>
      <c r="Q290" s="211"/>
      <c r="R290" s="211"/>
      <c r="S290" s="211"/>
      <c r="T290" s="211"/>
      <c r="U290" s="211"/>
    </row>
    <row r="291" spans="1:21" ht="15" customHeight="1">
      <c r="D291" s="198" t="s">
        <v>226</v>
      </c>
      <c r="G291" s="213"/>
      <c r="H291" s="213"/>
      <c r="I291" s="213"/>
      <c r="J291" s="213"/>
      <c r="K291" s="213"/>
      <c r="L291" s="213"/>
      <c r="M291" s="213"/>
      <c r="N291" s="213"/>
      <c r="O291" s="213"/>
      <c r="P291" s="213"/>
      <c r="Q291" s="213"/>
      <c r="R291" s="213"/>
      <c r="S291" s="213"/>
      <c r="T291" s="213"/>
      <c r="U291" s="213"/>
    </row>
    <row r="292" spans="1:21" ht="15" customHeight="1">
      <c r="C292" s="248">
        <f>SUM(G292:AB292)</f>
        <v>4779.594273760089</v>
      </c>
      <c r="D292" s="202" t="s">
        <v>227</v>
      </c>
      <c r="E292" s="237" t="s">
        <v>112</v>
      </c>
      <c r="G292" s="246">
        <f t="shared" ref="G292:S292" si="214">G241+G277+G186</f>
        <v>-311</v>
      </c>
      <c r="H292" s="246">
        <f t="shared" si="214"/>
        <v>-21.42</v>
      </c>
      <c r="I292" s="246">
        <f t="shared" si="214"/>
        <v>472.65371999999991</v>
      </c>
      <c r="J292" s="246">
        <f t="shared" si="214"/>
        <v>482.1067943999999</v>
      </c>
      <c r="K292" s="246">
        <f t="shared" si="214"/>
        <v>491.74893028799994</v>
      </c>
      <c r="L292" s="246">
        <f t="shared" si="214"/>
        <v>501.58390889375994</v>
      </c>
      <c r="M292" s="246">
        <f t="shared" si="214"/>
        <v>511.61558707163522</v>
      </c>
      <c r="N292" s="246">
        <f t="shared" si="214"/>
        <v>521.84789881306779</v>
      </c>
      <c r="O292" s="246">
        <f t="shared" si="214"/>
        <v>517.34619968155039</v>
      </c>
      <c r="P292" s="246">
        <f t="shared" si="214"/>
        <v>527.59353262779609</v>
      </c>
      <c r="Q292" s="246">
        <f t="shared" si="214"/>
        <v>537.84264649630109</v>
      </c>
      <c r="R292" s="246">
        <f t="shared" si="214"/>
        <v>547.67505548797863</v>
      </c>
      <c r="S292" s="246">
        <f t="shared" si="214"/>
        <v>-1.4210854715202004E-14</v>
      </c>
      <c r="T292" s="268"/>
      <c r="U292" s="268"/>
    </row>
    <row r="293" spans="1:21" ht="15" customHeight="1">
      <c r="C293" s="248">
        <f>SUM(G293:U293)</f>
        <v>0</v>
      </c>
      <c r="D293" s="213" t="s">
        <v>386</v>
      </c>
      <c r="E293" s="237" t="s">
        <v>112</v>
      </c>
      <c r="F293" s="213"/>
      <c r="G293" s="248">
        <f>G234</f>
        <v>0</v>
      </c>
      <c r="H293" s="248">
        <f t="shared" ref="H293:S293" si="215">H234</f>
        <v>0</v>
      </c>
      <c r="I293" s="248">
        <f t="shared" si="215"/>
        <v>0</v>
      </c>
      <c r="J293" s="248">
        <f t="shared" si="215"/>
        <v>0</v>
      </c>
      <c r="K293" s="248">
        <f t="shared" si="215"/>
        <v>0</v>
      </c>
      <c r="L293" s="248">
        <f t="shared" si="215"/>
        <v>0</v>
      </c>
      <c r="M293" s="248">
        <f t="shared" si="215"/>
        <v>0</v>
      </c>
      <c r="N293" s="248">
        <f t="shared" si="215"/>
        <v>0</v>
      </c>
      <c r="O293" s="248">
        <f t="shared" si="215"/>
        <v>0</v>
      </c>
      <c r="P293" s="248">
        <f t="shared" si="215"/>
        <v>0</v>
      </c>
      <c r="Q293" s="248">
        <f t="shared" si="215"/>
        <v>0</v>
      </c>
      <c r="R293" s="248">
        <f t="shared" si="215"/>
        <v>0</v>
      </c>
      <c r="S293" s="248">
        <f t="shared" si="215"/>
        <v>0</v>
      </c>
      <c r="T293" s="248"/>
      <c r="U293" s="248"/>
    </row>
    <row r="294" spans="1:21" ht="15" customHeight="1">
      <c r="C294" s="248">
        <f>SUM(G294:AB294)</f>
        <v>0</v>
      </c>
      <c r="D294" s="202" t="s">
        <v>218</v>
      </c>
      <c r="E294" s="237" t="s">
        <v>112</v>
      </c>
      <c r="G294" s="246">
        <f>G243</f>
        <v>0</v>
      </c>
      <c r="H294" s="246">
        <f t="shared" ref="H294:S294" si="216">H243</f>
        <v>0</v>
      </c>
      <c r="I294" s="246">
        <f t="shared" si="216"/>
        <v>0</v>
      </c>
      <c r="J294" s="246">
        <f t="shared" si="216"/>
        <v>0</v>
      </c>
      <c r="K294" s="246">
        <f t="shared" si="216"/>
        <v>0</v>
      </c>
      <c r="L294" s="246">
        <f t="shared" si="216"/>
        <v>0</v>
      </c>
      <c r="M294" s="246">
        <f t="shared" si="216"/>
        <v>0</v>
      </c>
      <c r="N294" s="246">
        <f t="shared" si="216"/>
        <v>0</v>
      </c>
      <c r="O294" s="246">
        <f t="shared" si="216"/>
        <v>14.938657107778885</v>
      </c>
      <c r="P294" s="246">
        <f t="shared" si="216"/>
        <v>15.337021297319655</v>
      </c>
      <c r="Q294" s="246">
        <f t="shared" si="216"/>
        <v>15.946518507317037</v>
      </c>
      <c r="R294" s="246">
        <f t="shared" si="216"/>
        <v>17.189892815711673</v>
      </c>
      <c r="S294" s="246">
        <f t="shared" si="216"/>
        <v>-63.412089728127249</v>
      </c>
      <c r="T294" s="268"/>
      <c r="U294" s="268"/>
    </row>
    <row r="295" spans="1:21" ht="15" customHeight="1">
      <c r="C295" s="248">
        <f>SUM(G295:AB295)</f>
        <v>4779.594273760089</v>
      </c>
      <c r="D295" s="202" t="s">
        <v>228</v>
      </c>
      <c r="E295" s="237" t="s">
        <v>112</v>
      </c>
      <c r="G295" s="246">
        <f>G292-G293+G294</f>
        <v>-311</v>
      </c>
      <c r="H295" s="246">
        <f t="shared" ref="H295:S295" si="217">H292-H293+H294</f>
        <v>-21.42</v>
      </c>
      <c r="I295" s="246">
        <f t="shared" si="217"/>
        <v>472.65371999999991</v>
      </c>
      <c r="J295" s="246">
        <f t="shared" si="217"/>
        <v>482.1067943999999</v>
      </c>
      <c r="K295" s="246">
        <f t="shared" si="217"/>
        <v>491.74893028799994</v>
      </c>
      <c r="L295" s="246">
        <f t="shared" si="217"/>
        <v>501.58390889375994</v>
      </c>
      <c r="M295" s="246">
        <f t="shared" si="217"/>
        <v>511.61558707163522</v>
      </c>
      <c r="N295" s="246">
        <f t="shared" si="217"/>
        <v>521.84789881306779</v>
      </c>
      <c r="O295" s="246">
        <f t="shared" si="217"/>
        <v>532.2848567893293</v>
      </c>
      <c r="P295" s="246">
        <f t="shared" si="217"/>
        <v>542.93055392511576</v>
      </c>
      <c r="Q295" s="246">
        <f t="shared" si="217"/>
        <v>553.78916500361811</v>
      </c>
      <c r="R295" s="246">
        <f t="shared" si="217"/>
        <v>564.86494830369031</v>
      </c>
      <c r="S295" s="246">
        <f t="shared" si="217"/>
        <v>-63.412089728127263</v>
      </c>
      <c r="T295" s="268"/>
      <c r="U295" s="268"/>
    </row>
    <row r="296" spans="1:21" ht="15" customHeight="1">
      <c r="C296" s="248">
        <f>SUM(G296:AB296)</f>
        <v>4779.594273760089</v>
      </c>
      <c r="D296" s="202" t="s">
        <v>229</v>
      </c>
      <c r="E296" s="237" t="s">
        <v>112</v>
      </c>
      <c r="G296" s="246">
        <f t="shared" ref="G296:S296" si="218">G97</f>
        <v>-311</v>
      </c>
      <c r="H296" s="246">
        <f t="shared" si="218"/>
        <v>-21.42</v>
      </c>
      <c r="I296" s="246">
        <f t="shared" si="218"/>
        <v>472.65371999999991</v>
      </c>
      <c r="J296" s="246">
        <f t="shared" si="218"/>
        <v>482.1067943999999</v>
      </c>
      <c r="K296" s="246">
        <f t="shared" si="218"/>
        <v>491.74893028799988</v>
      </c>
      <c r="L296" s="246">
        <f t="shared" si="218"/>
        <v>501.58390889375988</v>
      </c>
      <c r="M296" s="246">
        <f t="shared" si="218"/>
        <v>511.61558707163516</v>
      </c>
      <c r="N296" s="246">
        <f t="shared" si="218"/>
        <v>521.84789881306779</v>
      </c>
      <c r="O296" s="246">
        <f t="shared" si="218"/>
        <v>532.2848567893293</v>
      </c>
      <c r="P296" s="246">
        <f t="shared" si="218"/>
        <v>542.93055392511576</v>
      </c>
      <c r="Q296" s="246">
        <f t="shared" si="218"/>
        <v>553.78916500361811</v>
      </c>
      <c r="R296" s="246">
        <f t="shared" si="218"/>
        <v>564.86494830369031</v>
      </c>
      <c r="S296" s="246">
        <f t="shared" si="218"/>
        <v>-63.412089728127263</v>
      </c>
      <c r="T296" s="268"/>
      <c r="U296" s="268"/>
    </row>
    <row r="297" spans="1:21" ht="15" customHeight="1">
      <c r="A297" s="253" t="b">
        <f>ROUND(C297,5)=0</f>
        <v>1</v>
      </c>
      <c r="C297" s="248">
        <f>SUM(G297:AB297)</f>
        <v>0</v>
      </c>
      <c r="D297" s="202" t="s">
        <v>173</v>
      </c>
      <c r="G297" s="246">
        <f>G295-G296</f>
        <v>0</v>
      </c>
      <c r="H297" s="246">
        <f t="shared" ref="H297:S297" si="219">H295-H296</f>
        <v>0</v>
      </c>
      <c r="I297" s="246">
        <f t="shared" si="219"/>
        <v>0</v>
      </c>
      <c r="J297" s="246">
        <f t="shared" si="219"/>
        <v>0</v>
      </c>
      <c r="K297" s="246">
        <f t="shared" si="219"/>
        <v>0</v>
      </c>
      <c r="L297" s="246">
        <f t="shared" si="219"/>
        <v>0</v>
      </c>
      <c r="M297" s="246">
        <f t="shared" si="219"/>
        <v>0</v>
      </c>
      <c r="N297" s="246">
        <f t="shared" si="219"/>
        <v>0</v>
      </c>
      <c r="O297" s="246">
        <f t="shared" si="219"/>
        <v>0</v>
      </c>
      <c r="P297" s="246">
        <f t="shared" si="219"/>
        <v>0</v>
      </c>
      <c r="Q297" s="246">
        <f t="shared" si="219"/>
        <v>0</v>
      </c>
      <c r="R297" s="246">
        <f t="shared" si="219"/>
        <v>0</v>
      </c>
      <c r="S297" s="246">
        <f t="shared" si="219"/>
        <v>0</v>
      </c>
      <c r="T297" s="246"/>
      <c r="U297" s="246"/>
    </row>
    <row r="298" spans="1:21" ht="15" customHeight="1">
      <c r="A298" s="202"/>
      <c r="C298" s="248"/>
      <c r="G298" s="246"/>
      <c r="H298" s="246"/>
      <c r="I298" s="246"/>
      <c r="J298" s="246"/>
      <c r="K298" s="246"/>
      <c r="L298" s="246"/>
      <c r="M298" s="246"/>
      <c r="N298" s="246"/>
      <c r="O298" s="246"/>
      <c r="P298" s="246"/>
      <c r="Q298" s="246"/>
      <c r="R298" s="246"/>
      <c r="S298" s="246"/>
      <c r="T298" s="246"/>
      <c r="U298" s="246"/>
    </row>
    <row r="299" spans="1:21" ht="15" customHeight="1">
      <c r="A299" s="202"/>
      <c r="D299" s="198" t="s">
        <v>230</v>
      </c>
      <c r="G299" s="213"/>
      <c r="H299" s="213"/>
      <c r="I299" s="213"/>
      <c r="J299" s="213"/>
      <c r="K299" s="213"/>
      <c r="L299" s="213"/>
      <c r="M299" s="213"/>
      <c r="N299" s="213"/>
      <c r="O299" s="213"/>
      <c r="P299" s="213"/>
      <c r="Q299" s="213"/>
      <c r="R299" s="213"/>
      <c r="S299" s="213"/>
      <c r="T299" s="213"/>
      <c r="U299" s="213"/>
    </row>
    <row r="300" spans="1:21" ht="15" customHeight="1">
      <c r="A300" s="202"/>
      <c r="C300" s="248">
        <f>SUM(G300:AB300)</f>
        <v>4158.5097718826091</v>
      </c>
      <c r="D300" s="202" t="s">
        <v>227</v>
      </c>
      <c r="E300" s="237" t="s">
        <v>12</v>
      </c>
      <c r="G300" s="246">
        <f t="shared" ref="G300:S300" si="220">G292/G246</f>
        <v>-311</v>
      </c>
      <c r="H300" s="246">
        <f t="shared" si="220"/>
        <v>-21</v>
      </c>
      <c r="I300" s="246">
        <f t="shared" si="220"/>
        <v>454.2999999999999</v>
      </c>
      <c r="J300" s="246">
        <f t="shared" si="220"/>
        <v>454.29999999999995</v>
      </c>
      <c r="K300" s="246">
        <f t="shared" si="220"/>
        <v>454.29999999999995</v>
      </c>
      <c r="L300" s="246">
        <f t="shared" si="220"/>
        <v>454.29999999999995</v>
      </c>
      <c r="M300" s="246">
        <f t="shared" si="220"/>
        <v>454.3</v>
      </c>
      <c r="N300" s="246">
        <f t="shared" si="220"/>
        <v>454.29999999999995</v>
      </c>
      <c r="O300" s="246">
        <f t="shared" si="220"/>
        <v>441.55000000000007</v>
      </c>
      <c r="P300" s="246">
        <f t="shared" si="220"/>
        <v>441.46666666666664</v>
      </c>
      <c r="Q300" s="246">
        <f t="shared" si="220"/>
        <v>441.21830065359472</v>
      </c>
      <c r="R300" s="246">
        <f t="shared" si="220"/>
        <v>440.47480456234774</v>
      </c>
      <c r="S300" s="246">
        <f t="shared" si="220"/>
        <v>-1.1205161962119184E-14</v>
      </c>
      <c r="T300" s="268"/>
      <c r="U300" s="268"/>
    </row>
    <row r="301" spans="1:21" ht="15" customHeight="1">
      <c r="C301" s="248">
        <f>SUM(G301:U301)</f>
        <v>0</v>
      </c>
      <c r="D301" s="213" t="s">
        <v>386</v>
      </c>
      <c r="E301" s="237" t="s">
        <v>12</v>
      </c>
      <c r="F301" s="213"/>
      <c r="G301" s="248">
        <f>G248</f>
        <v>0</v>
      </c>
      <c r="H301" s="248">
        <f t="shared" ref="H301:S301" si="221">H248</f>
        <v>0</v>
      </c>
      <c r="I301" s="248">
        <f t="shared" si="221"/>
        <v>0</v>
      </c>
      <c r="J301" s="248">
        <f t="shared" si="221"/>
        <v>0</v>
      </c>
      <c r="K301" s="248">
        <f t="shared" si="221"/>
        <v>0</v>
      </c>
      <c r="L301" s="248">
        <f t="shared" si="221"/>
        <v>0</v>
      </c>
      <c r="M301" s="248">
        <f t="shared" si="221"/>
        <v>0</v>
      </c>
      <c r="N301" s="248">
        <f t="shared" si="221"/>
        <v>0</v>
      </c>
      <c r="O301" s="248">
        <f t="shared" si="221"/>
        <v>0</v>
      </c>
      <c r="P301" s="248">
        <f t="shared" si="221"/>
        <v>0</v>
      </c>
      <c r="Q301" s="248">
        <f t="shared" si="221"/>
        <v>0</v>
      </c>
      <c r="R301" s="248">
        <f t="shared" si="221"/>
        <v>0</v>
      </c>
      <c r="S301" s="248">
        <f t="shared" si="221"/>
        <v>0</v>
      </c>
      <c r="T301" s="248"/>
      <c r="U301" s="248"/>
    </row>
    <row r="302" spans="1:21" ht="15" customHeight="1">
      <c r="A302" s="202"/>
      <c r="C302" s="248">
        <f>SUM(G302:AB302)</f>
        <v>2.4902281173907497</v>
      </c>
      <c r="D302" s="202" t="s">
        <v>218</v>
      </c>
      <c r="E302" s="237" t="s">
        <v>12</v>
      </c>
      <c r="G302" s="246">
        <f>G257</f>
        <v>0</v>
      </c>
      <c r="H302" s="246">
        <f t="shared" ref="H302:S302" si="222">H257</f>
        <v>0</v>
      </c>
      <c r="I302" s="246">
        <f t="shared" si="222"/>
        <v>0</v>
      </c>
      <c r="J302" s="246">
        <f t="shared" si="222"/>
        <v>0</v>
      </c>
      <c r="K302" s="246">
        <f t="shared" si="222"/>
        <v>0</v>
      </c>
      <c r="L302" s="246">
        <f t="shared" si="222"/>
        <v>0</v>
      </c>
      <c r="M302" s="246">
        <f t="shared" si="222"/>
        <v>0</v>
      </c>
      <c r="N302" s="246">
        <f t="shared" si="222"/>
        <v>0</v>
      </c>
      <c r="O302" s="246">
        <f t="shared" si="222"/>
        <v>12.75</v>
      </c>
      <c r="P302" s="246">
        <f t="shared" si="222"/>
        <v>12.833333333333332</v>
      </c>
      <c r="Q302" s="246">
        <f t="shared" si="222"/>
        <v>13.08169934640523</v>
      </c>
      <c r="R302" s="246">
        <f t="shared" si="222"/>
        <v>13.825195437652177</v>
      </c>
      <c r="S302" s="246">
        <f t="shared" si="222"/>
        <v>-49.999999999999986</v>
      </c>
      <c r="T302" s="268"/>
      <c r="U302" s="268"/>
    </row>
    <row r="303" spans="1:21" ht="15" customHeight="1">
      <c r="C303" s="248">
        <f>SUM(G303:AB303)</f>
        <v>4161</v>
      </c>
      <c r="D303" s="202" t="s">
        <v>228</v>
      </c>
      <c r="E303" s="237" t="s">
        <v>12</v>
      </c>
      <c r="G303" s="246">
        <f>G300-G301+G302</f>
        <v>-311</v>
      </c>
      <c r="H303" s="246">
        <f t="shared" ref="H303" si="223">H300-H301+H302</f>
        <v>-21</v>
      </c>
      <c r="I303" s="246">
        <f t="shared" ref="I303" si="224">I300-I301+I302</f>
        <v>454.2999999999999</v>
      </c>
      <c r="J303" s="246">
        <f t="shared" ref="J303" si="225">J300-J301+J302</f>
        <v>454.29999999999995</v>
      </c>
      <c r="K303" s="246">
        <f t="shared" ref="K303" si="226">K300-K301+K302</f>
        <v>454.29999999999995</v>
      </c>
      <c r="L303" s="246">
        <f t="shared" ref="L303" si="227">L300-L301+L302</f>
        <v>454.29999999999995</v>
      </c>
      <c r="M303" s="246">
        <f t="shared" ref="M303" si="228">M300-M301+M302</f>
        <v>454.3</v>
      </c>
      <c r="N303" s="246">
        <f t="shared" ref="N303" si="229">N300-N301+N302</f>
        <v>454.29999999999995</v>
      </c>
      <c r="O303" s="246">
        <f t="shared" ref="O303" si="230">O300-O301+O302</f>
        <v>454.30000000000007</v>
      </c>
      <c r="P303" s="246">
        <f t="shared" ref="P303" si="231">P300-P301+P302</f>
        <v>454.29999999999995</v>
      </c>
      <c r="Q303" s="246">
        <f t="shared" ref="Q303" si="232">Q300-Q301+Q302</f>
        <v>454.29999999999995</v>
      </c>
      <c r="R303" s="246">
        <f t="shared" ref="R303" si="233">R300-R301+R302</f>
        <v>454.2999999999999</v>
      </c>
      <c r="S303" s="246">
        <f t="shared" ref="S303" si="234">S300-S301+S302</f>
        <v>-50</v>
      </c>
      <c r="T303" s="268"/>
      <c r="U303" s="268"/>
    </row>
    <row r="304" spans="1:21" ht="15" customHeight="1">
      <c r="A304" s="202"/>
      <c r="C304" s="248">
        <f>SUM(G304:AB304)</f>
        <v>4161</v>
      </c>
      <c r="D304" s="202" t="s">
        <v>229</v>
      </c>
      <c r="E304" s="237" t="s">
        <v>12</v>
      </c>
      <c r="G304" s="246">
        <f>G68</f>
        <v>-311</v>
      </c>
      <c r="H304" s="246">
        <f t="shared" ref="H304:S304" si="235">H68</f>
        <v>-21</v>
      </c>
      <c r="I304" s="246">
        <f t="shared" si="235"/>
        <v>454.29999999999995</v>
      </c>
      <c r="J304" s="246">
        <f t="shared" si="235"/>
        <v>454.29999999999995</v>
      </c>
      <c r="K304" s="246">
        <f t="shared" si="235"/>
        <v>454.29999999999995</v>
      </c>
      <c r="L304" s="246">
        <f t="shared" si="235"/>
        <v>454.29999999999995</v>
      </c>
      <c r="M304" s="246">
        <f t="shared" si="235"/>
        <v>454.29999999999995</v>
      </c>
      <c r="N304" s="246">
        <f t="shared" si="235"/>
        <v>454.29999999999995</v>
      </c>
      <c r="O304" s="246">
        <f t="shared" si="235"/>
        <v>454.29999999999995</v>
      </c>
      <c r="P304" s="246">
        <f t="shared" si="235"/>
        <v>454.29999999999995</v>
      </c>
      <c r="Q304" s="246">
        <f t="shared" si="235"/>
        <v>454.29999999999995</v>
      </c>
      <c r="R304" s="246">
        <f t="shared" si="235"/>
        <v>454.29999999999995</v>
      </c>
      <c r="S304" s="246">
        <f t="shared" si="235"/>
        <v>-50</v>
      </c>
      <c r="T304" s="268"/>
      <c r="U304" s="268"/>
    </row>
    <row r="305" spans="1:21" ht="15" customHeight="1">
      <c r="A305" s="253" t="b">
        <f>ROUND(C305,5)=0</f>
        <v>1</v>
      </c>
      <c r="C305" s="248">
        <f>SUM(G305:AB305)</f>
        <v>0</v>
      </c>
      <c r="D305" s="202" t="s">
        <v>173</v>
      </c>
      <c r="G305" s="246">
        <f>G303-G304</f>
        <v>0</v>
      </c>
      <c r="H305" s="246">
        <f t="shared" ref="H305:S305" si="236">H303-H304</f>
        <v>0</v>
      </c>
      <c r="I305" s="246">
        <f t="shared" si="236"/>
        <v>0</v>
      </c>
      <c r="J305" s="246">
        <f t="shared" si="236"/>
        <v>0</v>
      </c>
      <c r="K305" s="246">
        <f t="shared" si="236"/>
        <v>0</v>
      </c>
      <c r="L305" s="246">
        <f t="shared" si="236"/>
        <v>0</v>
      </c>
      <c r="M305" s="246">
        <f t="shared" si="236"/>
        <v>0</v>
      </c>
      <c r="N305" s="246">
        <f t="shared" si="236"/>
        <v>0</v>
      </c>
      <c r="O305" s="246">
        <f t="shared" si="236"/>
        <v>0</v>
      </c>
      <c r="P305" s="246">
        <f t="shared" si="236"/>
        <v>0</v>
      </c>
      <c r="Q305" s="246">
        <f t="shared" si="236"/>
        <v>0</v>
      </c>
      <c r="R305" s="246">
        <f t="shared" si="236"/>
        <v>0</v>
      </c>
      <c r="S305" s="246">
        <f t="shared" si="236"/>
        <v>0</v>
      </c>
      <c r="T305" s="246"/>
      <c r="U305" s="246"/>
    </row>
    <row r="306" spans="1:21" ht="15" customHeight="1">
      <c r="C306" s="211"/>
      <c r="D306" s="211"/>
      <c r="E306" s="211"/>
      <c r="F306" s="211"/>
      <c r="G306" s="211"/>
      <c r="H306" s="211"/>
      <c r="I306" s="211"/>
      <c r="J306" s="211"/>
      <c r="K306" s="211"/>
      <c r="L306" s="211"/>
      <c r="M306" s="211"/>
      <c r="N306" s="211"/>
      <c r="O306" s="211"/>
      <c r="P306" s="211"/>
      <c r="Q306" s="211"/>
      <c r="R306" s="211"/>
      <c r="S306" s="211"/>
      <c r="T306" s="211"/>
      <c r="U306" s="211"/>
    </row>
    <row r="307" spans="1:21" ht="15" customHeight="1">
      <c r="D307" s="198" t="s">
        <v>307</v>
      </c>
    </row>
    <row r="308" spans="1:21" ht="15" customHeight="1">
      <c r="C308" s="248">
        <f>SUM(G308:AB308)</f>
        <v>4779.594273760089</v>
      </c>
      <c r="D308" s="202" t="s">
        <v>11</v>
      </c>
      <c r="E308" s="237" t="s">
        <v>112</v>
      </c>
      <c r="G308" s="246">
        <f t="shared" ref="G308:S308" si="237">G97</f>
        <v>-311</v>
      </c>
      <c r="H308" s="246">
        <f t="shared" si="237"/>
        <v>-21.42</v>
      </c>
      <c r="I308" s="246">
        <f t="shared" si="237"/>
        <v>472.65371999999991</v>
      </c>
      <c r="J308" s="246">
        <f t="shared" si="237"/>
        <v>482.1067943999999</v>
      </c>
      <c r="K308" s="246">
        <f t="shared" si="237"/>
        <v>491.74893028799988</v>
      </c>
      <c r="L308" s="246">
        <f t="shared" si="237"/>
        <v>501.58390889375988</v>
      </c>
      <c r="M308" s="246">
        <f t="shared" si="237"/>
        <v>511.61558707163516</v>
      </c>
      <c r="N308" s="246">
        <f t="shared" si="237"/>
        <v>521.84789881306779</v>
      </c>
      <c r="O308" s="246">
        <f t="shared" si="237"/>
        <v>532.2848567893293</v>
      </c>
      <c r="P308" s="246">
        <f t="shared" si="237"/>
        <v>542.93055392511576</v>
      </c>
      <c r="Q308" s="246">
        <f t="shared" si="237"/>
        <v>553.78916500361811</v>
      </c>
      <c r="R308" s="246">
        <f t="shared" si="237"/>
        <v>564.86494830369031</v>
      </c>
      <c r="S308" s="246">
        <f t="shared" si="237"/>
        <v>-63.412089728127263</v>
      </c>
      <c r="T308" s="246"/>
      <c r="U308" s="246"/>
    </row>
    <row r="309" spans="1:21" ht="15" customHeight="1">
      <c r="C309" s="248">
        <f>SUM(G309:AB309)</f>
        <v>2296.8021494595728</v>
      </c>
      <c r="D309" s="202" t="s">
        <v>223</v>
      </c>
      <c r="E309" s="237" t="s">
        <v>112</v>
      </c>
      <c r="G309" s="246">
        <f>G277</f>
        <v>0</v>
      </c>
      <c r="H309" s="246">
        <f t="shared" ref="H309:S309" si="238">H277</f>
        <v>0</v>
      </c>
      <c r="I309" s="246">
        <f t="shared" si="238"/>
        <v>100.35853539854621</v>
      </c>
      <c r="J309" s="246">
        <f t="shared" si="238"/>
        <v>221.82452464262431</v>
      </c>
      <c r="K309" s="246">
        <f t="shared" si="238"/>
        <v>227.04253105825069</v>
      </c>
      <c r="L309" s="246">
        <f t="shared" si="238"/>
        <v>232.40671414207759</v>
      </c>
      <c r="M309" s="246">
        <f t="shared" si="238"/>
        <v>237.92381945921491</v>
      </c>
      <c r="N309" s="246">
        <f t="shared" si="238"/>
        <v>250.70972158122973</v>
      </c>
      <c r="O309" s="246">
        <f t="shared" si="238"/>
        <v>249.25547748518613</v>
      </c>
      <c r="P309" s="246">
        <f t="shared" si="238"/>
        <v>254.19746411137203</v>
      </c>
      <c r="Q309" s="246">
        <f t="shared" si="238"/>
        <v>259.15031970610539</v>
      </c>
      <c r="R309" s="246">
        <f t="shared" si="238"/>
        <v>263.93304187496591</v>
      </c>
      <c r="S309" s="246">
        <f t="shared" si="238"/>
        <v>0</v>
      </c>
      <c r="T309" s="246"/>
      <c r="U309" s="246"/>
    </row>
    <row r="310" spans="1:21" ht="15" customHeight="1">
      <c r="A310" s="253" t="b">
        <f>ROUND(C308+C293-(C309+C310+C311+C243),5)=0</f>
        <v>1</v>
      </c>
      <c r="C310" s="248">
        <f>SUM(G310:AB310)</f>
        <v>2440.7225253148913</v>
      </c>
      <c r="D310" s="202" t="s">
        <v>232</v>
      </c>
      <c r="E310" s="237" t="s">
        <v>112</v>
      </c>
      <c r="G310" s="246">
        <f>G241</f>
        <v>-166</v>
      </c>
      <c r="H310" s="246">
        <f t="shared" ref="H310:S310" si="239">H228</f>
        <v>-21.42</v>
      </c>
      <c r="I310" s="246">
        <f t="shared" si="239"/>
        <v>334.88126480432874</v>
      </c>
      <c r="J310" s="246">
        <f t="shared" si="239"/>
        <v>222.86834996025055</v>
      </c>
      <c r="K310" s="246">
        <f t="shared" si="239"/>
        <v>227.29247943262425</v>
      </c>
      <c r="L310" s="246">
        <f t="shared" si="239"/>
        <v>231.76327495455735</v>
      </c>
      <c r="M310" s="246">
        <f t="shared" si="239"/>
        <v>236.27784781529527</v>
      </c>
      <c r="N310" s="246">
        <f t="shared" si="239"/>
        <v>271.13817723183809</v>
      </c>
      <c r="O310" s="246">
        <f t="shared" si="239"/>
        <v>268.09072219636425</v>
      </c>
      <c r="P310" s="246">
        <f t="shared" si="239"/>
        <v>273.39606851642407</v>
      </c>
      <c r="Q310" s="246">
        <f t="shared" si="239"/>
        <v>278.69232679019569</v>
      </c>
      <c r="R310" s="246">
        <f t="shared" si="239"/>
        <v>283.74201361301272</v>
      </c>
      <c r="S310" s="246">
        <f t="shared" si="239"/>
        <v>-1.4210854715202004E-14</v>
      </c>
      <c r="T310" s="246"/>
      <c r="U310" s="246"/>
    </row>
    <row r="311" spans="1:21" ht="15" customHeight="1">
      <c r="C311" s="248">
        <f>SUM(G311:AB311)</f>
        <v>42.06959898562495</v>
      </c>
      <c r="D311" s="202" t="s">
        <v>233</v>
      </c>
      <c r="E311" s="237" t="s">
        <v>112</v>
      </c>
      <c r="G311" s="246">
        <f t="shared" ref="G311:S311" si="240">G186</f>
        <v>-145</v>
      </c>
      <c r="H311" s="246">
        <f t="shared" si="240"/>
        <v>0</v>
      </c>
      <c r="I311" s="246">
        <f t="shared" si="240"/>
        <v>37.41391979712499</v>
      </c>
      <c r="J311" s="246">
        <f t="shared" si="240"/>
        <v>37.41391979712499</v>
      </c>
      <c r="K311" s="246">
        <f t="shared" si="240"/>
        <v>37.41391979712499</v>
      </c>
      <c r="L311" s="246">
        <f t="shared" si="240"/>
        <v>37.41391979712499</v>
      </c>
      <c r="M311" s="246">
        <f t="shared" si="240"/>
        <v>37.41391979712499</v>
      </c>
      <c r="N311" s="246">
        <f t="shared" si="240"/>
        <v>0</v>
      </c>
      <c r="O311" s="246">
        <f t="shared" si="240"/>
        <v>0</v>
      </c>
      <c r="P311" s="246">
        <f t="shared" si="240"/>
        <v>0</v>
      </c>
      <c r="Q311" s="246">
        <f t="shared" si="240"/>
        <v>0</v>
      </c>
      <c r="R311" s="246">
        <f t="shared" si="240"/>
        <v>0</v>
      </c>
      <c r="S311" s="246">
        <f t="shared" si="240"/>
        <v>0</v>
      </c>
      <c r="T311" s="246"/>
      <c r="U311" s="246"/>
    </row>
    <row r="312" spans="1:21" ht="15" customHeight="1">
      <c r="C312" s="248">
        <f>SUM(G312:AB312)</f>
        <v>5112.0142737600891</v>
      </c>
      <c r="D312" s="202" t="s">
        <v>15</v>
      </c>
      <c r="E312" s="237" t="s">
        <v>112</v>
      </c>
      <c r="G312" s="246">
        <f t="shared" ref="G312:S312" si="241">G308+G90+G91+G92</f>
        <v>0</v>
      </c>
      <c r="H312" s="246">
        <f t="shared" si="241"/>
        <v>0</v>
      </c>
      <c r="I312" s="246">
        <f t="shared" si="241"/>
        <v>472.65371999999991</v>
      </c>
      <c r="J312" s="246">
        <f t="shared" si="241"/>
        <v>482.1067943999999</v>
      </c>
      <c r="K312" s="246">
        <f t="shared" si="241"/>
        <v>491.74893028799988</v>
      </c>
      <c r="L312" s="246">
        <f t="shared" si="241"/>
        <v>501.58390889375988</v>
      </c>
      <c r="M312" s="246">
        <f t="shared" si="241"/>
        <v>511.61558707163516</v>
      </c>
      <c r="N312" s="246">
        <f t="shared" si="241"/>
        <v>521.84789881306779</v>
      </c>
      <c r="O312" s="246">
        <f t="shared" si="241"/>
        <v>532.2848567893293</v>
      </c>
      <c r="P312" s="246">
        <f t="shared" si="241"/>
        <v>542.93055392511576</v>
      </c>
      <c r="Q312" s="246">
        <f t="shared" si="241"/>
        <v>553.78916500361811</v>
      </c>
      <c r="R312" s="246">
        <f t="shared" si="241"/>
        <v>564.86494830369031</v>
      </c>
      <c r="S312" s="246">
        <f t="shared" si="241"/>
        <v>-63.412089728127263</v>
      </c>
      <c r="T312" s="246"/>
      <c r="U312" s="246"/>
    </row>
    <row r="313" spans="1:21" ht="15" customHeight="1"/>
    <row r="314" spans="1:21" ht="15" customHeight="1">
      <c r="D314" s="198" t="s">
        <v>234</v>
      </c>
    </row>
    <row r="315" spans="1:21" ht="15" customHeight="1">
      <c r="C315" s="248">
        <f>SUM(G315:AB315)</f>
        <v>4161</v>
      </c>
      <c r="D315" s="202" t="s">
        <v>11</v>
      </c>
      <c r="E315" s="237" t="s">
        <v>12</v>
      </c>
      <c r="G315" s="246">
        <f t="shared" ref="G315:S315" si="242">G308/G$246</f>
        <v>-311</v>
      </c>
      <c r="H315" s="246">
        <f t="shared" si="242"/>
        <v>-21</v>
      </c>
      <c r="I315" s="246">
        <f t="shared" si="242"/>
        <v>454.2999999999999</v>
      </c>
      <c r="J315" s="246">
        <f t="shared" si="242"/>
        <v>454.29999999999995</v>
      </c>
      <c r="K315" s="246">
        <f t="shared" si="242"/>
        <v>454.2999999999999</v>
      </c>
      <c r="L315" s="246">
        <f t="shared" si="242"/>
        <v>454.2999999999999</v>
      </c>
      <c r="M315" s="246">
        <f t="shared" si="242"/>
        <v>454.29999999999995</v>
      </c>
      <c r="N315" s="246">
        <f t="shared" si="242"/>
        <v>454.29999999999995</v>
      </c>
      <c r="O315" s="246">
        <f t="shared" si="242"/>
        <v>454.30000000000007</v>
      </c>
      <c r="P315" s="246">
        <f t="shared" si="242"/>
        <v>454.29999999999995</v>
      </c>
      <c r="Q315" s="246">
        <f t="shared" si="242"/>
        <v>454.29999999999995</v>
      </c>
      <c r="R315" s="246">
        <f t="shared" si="242"/>
        <v>454.2999999999999</v>
      </c>
      <c r="S315" s="246">
        <f t="shared" si="242"/>
        <v>-50</v>
      </c>
      <c r="T315" s="246"/>
      <c r="U315" s="246"/>
    </row>
    <row r="316" spans="1:21" ht="15" customHeight="1">
      <c r="C316" s="248">
        <f>SUM(G316:AB316)</f>
        <v>2005.5725943637244</v>
      </c>
      <c r="D316" s="202" t="s">
        <v>223</v>
      </c>
      <c r="E316" s="237" t="s">
        <v>12</v>
      </c>
      <c r="G316" s="246">
        <f t="shared" ref="G316:S316" si="243">G309/G$246</f>
        <v>0</v>
      </c>
      <c r="H316" s="246">
        <f t="shared" si="243"/>
        <v>0</v>
      </c>
      <c r="I316" s="246">
        <f t="shared" si="243"/>
        <v>96.46149115584987</v>
      </c>
      <c r="J316" s="246">
        <f t="shared" si="243"/>
        <v>209.03020392102616</v>
      </c>
      <c r="K316" s="246">
        <f t="shared" si="243"/>
        <v>209.75220383164771</v>
      </c>
      <c r="L316" s="246">
        <f t="shared" si="243"/>
        <v>210.4979214098137</v>
      </c>
      <c r="M316" s="246">
        <f t="shared" si="243"/>
        <v>211.26954282021708</v>
      </c>
      <c r="N316" s="246">
        <f t="shared" si="243"/>
        <v>218.25789999999998</v>
      </c>
      <c r="O316" s="246">
        <f t="shared" si="243"/>
        <v>212.73715000000001</v>
      </c>
      <c r="P316" s="246">
        <f t="shared" si="243"/>
        <v>212.70106666666666</v>
      </c>
      <c r="Q316" s="246">
        <f t="shared" si="243"/>
        <v>212.59352418300651</v>
      </c>
      <c r="R316" s="246">
        <f t="shared" si="243"/>
        <v>212.27159037549657</v>
      </c>
      <c r="S316" s="246">
        <f t="shared" si="243"/>
        <v>0</v>
      </c>
      <c r="T316" s="246"/>
      <c r="U316" s="246"/>
    </row>
    <row r="317" spans="1:21" ht="15" customHeight="1">
      <c r="A317" s="253" t="b">
        <f>ROUND(C315+C301-(C316+C317+C318+C257),5)=0</f>
        <v>1</v>
      </c>
      <c r="C317" s="248">
        <f>SUM(G317:AB317)</f>
        <v>2125.0460049520489</v>
      </c>
      <c r="D317" s="202" t="s">
        <v>232</v>
      </c>
      <c r="E317" s="237" t="s">
        <v>12</v>
      </c>
      <c r="G317" s="246">
        <f t="shared" ref="G317:S317" si="244">G310/G$246</f>
        <v>-166</v>
      </c>
      <c r="H317" s="246">
        <f t="shared" si="244"/>
        <v>-21</v>
      </c>
      <c r="I317" s="246">
        <f t="shared" si="244"/>
        <v>321.87741715141169</v>
      </c>
      <c r="J317" s="246">
        <f t="shared" si="244"/>
        <v>210.01382383119102</v>
      </c>
      <c r="K317" s="246">
        <f t="shared" si="244"/>
        <v>209.98311749405548</v>
      </c>
      <c r="L317" s="246">
        <f t="shared" si="244"/>
        <v>209.91513871342468</v>
      </c>
      <c r="M317" s="246">
        <f t="shared" si="244"/>
        <v>209.80796710452648</v>
      </c>
      <c r="N317" s="246">
        <f t="shared" si="244"/>
        <v>236.0421</v>
      </c>
      <c r="O317" s="246">
        <f t="shared" si="244"/>
        <v>228.81285000000003</v>
      </c>
      <c r="P317" s="246">
        <f t="shared" si="244"/>
        <v>228.76559999999995</v>
      </c>
      <c r="Q317" s="246">
        <f t="shared" si="244"/>
        <v>228.62477647058824</v>
      </c>
      <c r="R317" s="246">
        <f t="shared" si="244"/>
        <v>228.20321418685117</v>
      </c>
      <c r="S317" s="246">
        <f t="shared" si="244"/>
        <v>-1.1205161962119184E-14</v>
      </c>
      <c r="T317" s="246"/>
      <c r="U317" s="246"/>
    </row>
    <row r="318" spans="1:21" ht="15" customHeight="1">
      <c r="C318" s="248">
        <f>SUM(G318:AB318)</f>
        <v>27.891172566835792</v>
      </c>
      <c r="D318" s="202" t="s">
        <v>233</v>
      </c>
      <c r="E318" s="237" t="s">
        <v>12</v>
      </c>
      <c r="G318" s="246">
        <f t="shared" ref="G318:S318" si="245">G311/G$246</f>
        <v>-145</v>
      </c>
      <c r="H318" s="246">
        <f t="shared" si="245"/>
        <v>0</v>
      </c>
      <c r="I318" s="246">
        <f t="shared" si="245"/>
        <v>35.961091692738357</v>
      </c>
      <c r="J318" s="246">
        <f t="shared" si="245"/>
        <v>35.255972247782708</v>
      </c>
      <c r="K318" s="246">
        <f t="shared" si="245"/>
        <v>34.564678674296772</v>
      </c>
      <c r="L318" s="246">
        <f t="shared" si="245"/>
        <v>33.886939876761538</v>
      </c>
      <c r="M318" s="246">
        <f t="shared" si="245"/>
        <v>33.22249007525641</v>
      </c>
      <c r="N318" s="246">
        <f t="shared" si="245"/>
        <v>0</v>
      </c>
      <c r="O318" s="246">
        <f t="shared" si="245"/>
        <v>0</v>
      </c>
      <c r="P318" s="246">
        <f t="shared" si="245"/>
        <v>0</v>
      </c>
      <c r="Q318" s="246">
        <f t="shared" si="245"/>
        <v>0</v>
      </c>
      <c r="R318" s="246">
        <f t="shared" si="245"/>
        <v>0</v>
      </c>
      <c r="S318" s="246">
        <f t="shared" si="245"/>
        <v>0</v>
      </c>
      <c r="T318" s="246"/>
      <c r="U318" s="246"/>
    </row>
    <row r="319" spans="1:21" ht="15" customHeight="1">
      <c r="C319" s="248">
        <f>SUM(G319:AB319)</f>
        <v>4493.0000000000009</v>
      </c>
      <c r="D319" s="202" t="s">
        <v>15</v>
      </c>
      <c r="E319" s="237" t="s">
        <v>12</v>
      </c>
      <c r="G319" s="246">
        <f t="shared" ref="G319:S319" si="246">G312/G$246</f>
        <v>0</v>
      </c>
      <c r="H319" s="246">
        <f t="shared" si="246"/>
        <v>0</v>
      </c>
      <c r="I319" s="246">
        <f t="shared" si="246"/>
        <v>454.2999999999999</v>
      </c>
      <c r="J319" s="246">
        <f t="shared" si="246"/>
        <v>454.29999999999995</v>
      </c>
      <c r="K319" s="246">
        <f t="shared" si="246"/>
        <v>454.2999999999999</v>
      </c>
      <c r="L319" s="246">
        <f t="shared" si="246"/>
        <v>454.2999999999999</v>
      </c>
      <c r="M319" s="246">
        <f t="shared" si="246"/>
        <v>454.29999999999995</v>
      </c>
      <c r="N319" s="246">
        <f t="shared" si="246"/>
        <v>454.29999999999995</v>
      </c>
      <c r="O319" s="246">
        <f t="shared" si="246"/>
        <v>454.30000000000007</v>
      </c>
      <c r="P319" s="246">
        <f t="shared" si="246"/>
        <v>454.29999999999995</v>
      </c>
      <c r="Q319" s="246">
        <f t="shared" si="246"/>
        <v>454.29999999999995</v>
      </c>
      <c r="R319" s="246">
        <f t="shared" si="246"/>
        <v>454.2999999999999</v>
      </c>
      <c r="S319" s="246">
        <f t="shared" si="246"/>
        <v>-50</v>
      </c>
      <c r="T319" s="246"/>
      <c r="U319" s="246"/>
    </row>
    <row r="320" spans="1:21" ht="15" customHeight="1">
      <c r="C320" s="259"/>
      <c r="E320" s="237"/>
      <c r="G320" s="246"/>
      <c r="H320" s="246"/>
      <c r="I320" s="246"/>
      <c r="J320" s="246"/>
      <c r="K320" s="246"/>
      <c r="L320" s="246"/>
      <c r="M320" s="246"/>
      <c r="N320" s="246"/>
      <c r="O320" s="246"/>
      <c r="P320" s="246"/>
      <c r="Q320" s="246"/>
      <c r="R320" s="246"/>
      <c r="S320" s="246"/>
      <c r="T320" s="246"/>
      <c r="U320" s="246"/>
    </row>
    <row r="321" spans="1:54" ht="15" customHeight="1">
      <c r="C321" s="248">
        <f>SUM(G321:AB321)</f>
        <v>2152.9371775188847</v>
      </c>
      <c r="D321" s="202" t="s">
        <v>235</v>
      </c>
      <c r="E321" s="237" t="s">
        <v>12</v>
      </c>
      <c r="G321" s="246">
        <f>G317+G318</f>
        <v>-311</v>
      </c>
      <c r="H321" s="246">
        <f t="shared" ref="H321:S321" si="247">H317+H318</f>
        <v>-21</v>
      </c>
      <c r="I321" s="246">
        <f t="shared" si="247"/>
        <v>357.83850884415006</v>
      </c>
      <c r="J321" s="246">
        <f t="shared" si="247"/>
        <v>245.26979607897374</v>
      </c>
      <c r="K321" s="246">
        <f t="shared" si="247"/>
        <v>244.54779616835225</v>
      </c>
      <c r="L321" s="246">
        <f t="shared" si="247"/>
        <v>243.80207859018623</v>
      </c>
      <c r="M321" s="246">
        <f t="shared" si="247"/>
        <v>243.0304571797829</v>
      </c>
      <c r="N321" s="246">
        <f t="shared" si="247"/>
        <v>236.0421</v>
      </c>
      <c r="O321" s="246">
        <f t="shared" si="247"/>
        <v>228.81285000000003</v>
      </c>
      <c r="P321" s="246">
        <f t="shared" si="247"/>
        <v>228.76559999999995</v>
      </c>
      <c r="Q321" s="246">
        <f t="shared" si="247"/>
        <v>228.62477647058824</v>
      </c>
      <c r="R321" s="246">
        <f t="shared" si="247"/>
        <v>228.20321418685117</v>
      </c>
      <c r="S321" s="246">
        <f t="shared" si="247"/>
        <v>-1.1205161962119184E-14</v>
      </c>
      <c r="T321" s="246"/>
      <c r="U321" s="246"/>
    </row>
    <row r="322" spans="1:54" ht="15" customHeight="1">
      <c r="C322" s="111">
        <f>IFERROR(IRR(G321:AB321),0)</f>
        <v>0.55616414300333483</v>
      </c>
      <c r="D322" s="198" t="s">
        <v>236</v>
      </c>
      <c r="E322" s="237"/>
      <c r="G322" s="246"/>
      <c r="H322" s="246"/>
      <c r="I322" s="246"/>
      <c r="J322" s="246"/>
      <c r="K322" s="246"/>
      <c r="L322" s="246"/>
      <c r="M322" s="246"/>
      <c r="N322" s="246"/>
      <c r="O322" s="246"/>
      <c r="P322" s="246"/>
      <c r="Q322" s="246"/>
      <c r="R322" s="246"/>
      <c r="S322" s="246"/>
      <c r="T322" s="246"/>
      <c r="U322" s="246"/>
    </row>
    <row r="323" spans="1:54" s="287" customFormat="1" ht="15" customHeight="1">
      <c r="A323" s="286"/>
      <c r="C323" s="288"/>
      <c r="E323" s="289"/>
      <c r="G323" s="290"/>
      <c r="V323" s="290"/>
      <c r="W323" s="246"/>
      <c r="X323" s="246"/>
      <c r="Y323" s="246"/>
      <c r="Z323" s="246"/>
      <c r="AA323" s="246"/>
      <c r="AB323" s="246"/>
      <c r="AC323" s="246"/>
      <c r="AD323" s="246"/>
      <c r="AE323" s="246"/>
      <c r="AF323" s="246"/>
      <c r="AG323" s="246"/>
      <c r="AH323" s="290"/>
      <c r="AI323" s="290"/>
      <c r="AJ323" s="290"/>
      <c r="AK323" s="290"/>
      <c r="AL323" s="290"/>
      <c r="AM323" s="290"/>
      <c r="AN323" s="290"/>
      <c r="AO323" s="290"/>
      <c r="AP323" s="290"/>
      <c r="AQ323" s="291"/>
      <c r="AR323" s="291"/>
      <c r="AS323" s="291"/>
      <c r="AT323" s="291"/>
      <c r="AU323" s="291"/>
      <c r="AV323" s="291"/>
      <c r="AW323" s="291"/>
      <c r="AX323" s="291"/>
      <c r="AY323" s="291"/>
      <c r="AZ323" s="291"/>
      <c r="BA323" s="291"/>
      <c r="BB323" s="291"/>
    </row>
    <row r="324" spans="1:54" s="287" customFormat="1" ht="15" customHeight="1">
      <c r="A324" s="286"/>
      <c r="C324" s="288"/>
      <c r="D324" s="292" t="s">
        <v>237</v>
      </c>
      <c r="E324" s="293"/>
      <c r="F324" s="294"/>
      <c r="G324" s="504">
        <v>0</v>
      </c>
      <c r="H324" s="504">
        <v>0.1</v>
      </c>
      <c r="I324" s="504">
        <v>0.125</v>
      </c>
      <c r="J324" s="505">
        <v>0.15</v>
      </c>
      <c r="V324" s="290"/>
      <c r="W324" s="246"/>
      <c r="X324" s="246"/>
      <c r="Y324" s="246"/>
      <c r="Z324" s="246"/>
      <c r="AA324" s="246"/>
      <c r="AB324" s="246"/>
      <c r="AC324" s="246"/>
      <c r="AD324" s="246"/>
      <c r="AE324" s="246"/>
      <c r="AF324" s="246"/>
      <c r="AG324" s="246"/>
      <c r="AH324" s="290"/>
      <c r="AI324" s="290"/>
      <c r="AJ324" s="290"/>
      <c r="AK324" s="290"/>
      <c r="AL324" s="290"/>
      <c r="AM324" s="290"/>
      <c r="AN324" s="290"/>
      <c r="AO324" s="290"/>
      <c r="AP324" s="290"/>
      <c r="AQ324" s="291"/>
      <c r="AR324" s="291"/>
      <c r="AS324" s="291"/>
      <c r="AT324" s="291"/>
      <c r="AU324" s="291"/>
      <c r="AV324" s="291"/>
      <c r="AW324" s="291"/>
      <c r="AX324" s="291"/>
      <c r="AY324" s="291"/>
      <c r="AZ324" s="291"/>
      <c r="BA324" s="291"/>
      <c r="BB324" s="291"/>
    </row>
    <row r="325" spans="1:54" s="287" customFormat="1" ht="15" customHeight="1">
      <c r="A325" s="286"/>
      <c r="C325" s="288"/>
      <c r="D325" s="295" t="s">
        <v>238</v>
      </c>
      <c r="E325" s="40" t="s">
        <v>12</v>
      </c>
      <c r="F325" s="291"/>
      <c r="G325" s="296">
        <f>NPV(G$324,$H$315:$S$315)+$G$315</f>
        <v>4161.0000000000009</v>
      </c>
      <c r="H325" s="296">
        <f>NPV(H$324,$H$315:$S$315)+$G$315</f>
        <v>2191.6837646796052</v>
      </c>
      <c r="I325" s="296">
        <f>NPV(I$324,$H$315:$S$315)+$G$315</f>
        <v>1893.9013560020999</v>
      </c>
      <c r="J325" s="297">
        <f>NPV(J$324,$H$315:$S$315)+$G$315</f>
        <v>1644.0255874694287</v>
      </c>
      <c r="V325" s="290"/>
      <c r="W325" s="246"/>
      <c r="X325" s="246"/>
      <c r="Y325" s="246"/>
      <c r="Z325" s="246"/>
      <c r="AA325" s="246"/>
      <c r="AB325" s="246"/>
      <c r="AC325" s="246"/>
      <c r="AD325" s="246"/>
      <c r="AE325" s="246"/>
      <c r="AF325" s="246"/>
      <c r="AG325" s="246"/>
      <c r="AH325" s="290"/>
      <c r="AI325" s="290"/>
      <c r="AJ325" s="290"/>
      <c r="AK325" s="290"/>
      <c r="AL325" s="290"/>
      <c r="AM325" s="290"/>
      <c r="AN325" s="290"/>
      <c r="AO325" s="290"/>
      <c r="AP325" s="290"/>
      <c r="AQ325" s="291"/>
      <c r="AR325" s="291"/>
      <c r="AS325" s="291"/>
      <c r="AT325" s="291"/>
      <c r="AU325" s="291"/>
      <c r="AV325" s="291"/>
      <c r="AW325" s="291"/>
      <c r="AX325" s="291"/>
      <c r="AY325" s="291"/>
      <c r="AZ325" s="291"/>
      <c r="BA325" s="291"/>
      <c r="BB325" s="291"/>
    </row>
    <row r="326" spans="1:54" s="287" customFormat="1" ht="15" customHeight="1">
      <c r="A326" s="286"/>
      <c r="C326" s="288"/>
      <c r="D326" s="295" t="s">
        <v>223</v>
      </c>
      <c r="E326" s="40" t="s">
        <v>12</v>
      </c>
      <c r="F326" s="291"/>
      <c r="G326" s="296">
        <f>NPV(G$324,$H$316:$S$316)+$G$316</f>
        <v>2005.5725943637244</v>
      </c>
      <c r="H326" s="296">
        <f>NPV(H$324,$H$316:$S$316)+$G$316</f>
        <v>1087.8042848310283</v>
      </c>
      <c r="I326" s="296">
        <f>NPV(I$324,$H$316:$S$316)+$G$316</f>
        <v>950.86816023035681</v>
      </c>
      <c r="J326" s="297">
        <f>NPV(J$324,$H$316:$S$316)+$G$316</f>
        <v>836.53283036623759</v>
      </c>
      <c r="V326" s="290"/>
      <c r="W326" s="246"/>
      <c r="X326" s="246"/>
      <c r="Y326" s="246"/>
      <c r="Z326" s="246"/>
      <c r="AA326" s="246"/>
      <c r="AB326" s="246"/>
      <c r="AC326" s="246"/>
      <c r="AD326" s="246"/>
      <c r="AE326" s="246"/>
      <c r="AF326" s="246"/>
      <c r="AG326" s="246"/>
      <c r="AH326" s="290"/>
      <c r="AI326" s="290"/>
      <c r="AJ326" s="290"/>
      <c r="AK326" s="290"/>
      <c r="AL326" s="290"/>
      <c r="AM326" s="290"/>
      <c r="AN326" s="290"/>
      <c r="AO326" s="290"/>
      <c r="AP326" s="290"/>
      <c r="AQ326" s="291"/>
      <c r="AR326" s="291"/>
      <c r="AS326" s="291"/>
      <c r="AT326" s="291"/>
      <c r="AU326" s="291"/>
      <c r="AV326" s="291"/>
      <c r="AW326" s="291"/>
      <c r="AX326" s="291"/>
      <c r="AY326" s="291"/>
      <c r="AZ326" s="291"/>
      <c r="BA326" s="291"/>
      <c r="BB326" s="291"/>
    </row>
    <row r="327" spans="1:54" s="287" customFormat="1" ht="15" customHeight="1">
      <c r="A327" s="286"/>
      <c r="C327" s="288"/>
      <c r="D327" s="295" t="s">
        <v>232</v>
      </c>
      <c r="E327" s="40" t="s">
        <v>12</v>
      </c>
      <c r="F327" s="291"/>
      <c r="G327" s="296">
        <f>NPV(G$324,$H$317:$S$317)+$G$317</f>
        <v>2125.0460049520489</v>
      </c>
      <c r="H327" s="296">
        <f>NPV(H$324,$H$317:$S$317)+$G$317</f>
        <v>1123.9205195202246</v>
      </c>
      <c r="I327" s="296">
        <f>NPV(I$324,$H$317:$S$317)+$G$317</f>
        <v>973.0247632449109</v>
      </c>
      <c r="J327" s="297">
        <f>NPV(J$324,$H$317:$S$317)+$G$317</f>
        <v>846.47046422544258</v>
      </c>
      <c r="V327" s="290"/>
      <c r="W327" s="246"/>
      <c r="X327" s="246"/>
      <c r="Y327" s="246"/>
      <c r="Z327" s="246"/>
      <c r="AA327" s="246"/>
      <c r="AB327" s="246"/>
      <c r="AC327" s="246"/>
      <c r="AD327" s="246"/>
      <c r="AE327" s="246"/>
      <c r="AF327" s="246"/>
      <c r="AG327" s="246"/>
      <c r="AH327" s="290"/>
      <c r="AI327" s="290"/>
      <c r="AJ327" s="290"/>
      <c r="AK327" s="290"/>
      <c r="AL327" s="290"/>
      <c r="AM327" s="290"/>
      <c r="AN327" s="290"/>
      <c r="AO327" s="290"/>
      <c r="AP327" s="290"/>
      <c r="AQ327" s="291"/>
      <c r="AR327" s="291"/>
      <c r="AS327" s="291"/>
      <c r="AT327" s="291"/>
      <c r="AU327" s="291"/>
      <c r="AV327" s="291"/>
      <c r="AW327" s="291"/>
      <c r="AX327" s="291"/>
      <c r="AY327" s="291"/>
      <c r="AZ327" s="291"/>
      <c r="BA327" s="291"/>
      <c r="BB327" s="291"/>
    </row>
    <row r="328" spans="1:54" s="287" customFormat="1" ht="15" customHeight="1">
      <c r="A328" s="286"/>
      <c r="C328" s="288"/>
      <c r="D328" s="295" t="s">
        <v>233</v>
      </c>
      <c r="E328" s="40" t="s">
        <v>12</v>
      </c>
      <c r="F328" s="291"/>
      <c r="G328" s="296">
        <f>NPV(G$324,$H$318:$S$318)+$G$318</f>
        <v>27.891172566835792</v>
      </c>
      <c r="H328" s="296">
        <f>NPV(H$324,$H$318:$S$318)+$G$318</f>
        <v>-25.389262043626971</v>
      </c>
      <c r="I328" s="296">
        <f>NPV(I$324,$H$318:$S$318)+$G$318</f>
        <v>-35.053835028243938</v>
      </c>
      <c r="J328" s="297">
        <f>NPV(J$324,$H$318:$S$318)+$G$318</f>
        <v>-43.653609587849616</v>
      </c>
      <c r="V328" s="290"/>
      <c r="W328" s="246"/>
      <c r="X328" s="246"/>
      <c r="Y328" s="246"/>
      <c r="Z328" s="246"/>
      <c r="AA328" s="246"/>
      <c r="AB328" s="246"/>
      <c r="AC328" s="246"/>
      <c r="AD328" s="246"/>
      <c r="AE328" s="246"/>
      <c r="AF328" s="246"/>
      <c r="AG328" s="246"/>
      <c r="AH328" s="290"/>
      <c r="AI328" s="290"/>
      <c r="AJ328" s="290"/>
      <c r="AK328" s="290"/>
      <c r="AL328" s="290"/>
      <c r="AM328" s="290"/>
      <c r="AN328" s="290"/>
      <c r="AO328" s="290"/>
      <c r="AP328" s="290"/>
      <c r="AQ328" s="291"/>
      <c r="AR328" s="291"/>
      <c r="AS328" s="291"/>
      <c r="AT328" s="291"/>
      <c r="AU328" s="291"/>
      <c r="AV328" s="291"/>
      <c r="AW328" s="291"/>
      <c r="AX328" s="291"/>
      <c r="AY328" s="291"/>
      <c r="AZ328" s="291"/>
      <c r="BA328" s="291"/>
      <c r="BB328" s="291"/>
    </row>
    <row r="329" spans="1:54" s="287" customFormat="1" ht="15" customHeight="1">
      <c r="A329" s="286"/>
      <c r="C329" s="288"/>
      <c r="D329" s="295" t="s">
        <v>239</v>
      </c>
      <c r="E329" s="298" t="s">
        <v>240</v>
      </c>
      <c r="F329" s="291"/>
      <c r="G329" s="176">
        <f>G326/G325</f>
        <v>0.48199293303622304</v>
      </c>
      <c r="H329" s="176">
        <f t="shared" ref="H329:J329" si="248">H326/H325</f>
        <v>0.49633268373918477</v>
      </c>
      <c r="I329" s="176">
        <f t="shared" si="248"/>
        <v>0.50206847216033279</v>
      </c>
      <c r="J329" s="177">
        <f t="shared" si="248"/>
        <v>0.50883200160763509</v>
      </c>
      <c r="V329" s="291"/>
      <c r="W329" s="299"/>
      <c r="X329" s="299"/>
      <c r="Y329" s="299"/>
      <c r="Z329" s="299"/>
      <c r="AA329" s="299"/>
      <c r="AB329" s="299"/>
      <c r="AC329" s="299"/>
      <c r="AD329" s="299"/>
      <c r="AE329" s="299"/>
      <c r="AF329" s="299"/>
      <c r="AG329" s="299"/>
      <c r="AH329" s="291"/>
      <c r="AI329" s="291"/>
      <c r="AJ329" s="291"/>
      <c r="AK329" s="291"/>
      <c r="AL329" s="291"/>
      <c r="AM329" s="291"/>
      <c r="AN329" s="291"/>
      <c r="AO329" s="291"/>
      <c r="AP329" s="291"/>
      <c r="AQ329" s="291"/>
      <c r="AR329" s="291"/>
      <c r="AS329" s="291"/>
      <c r="AT329" s="291"/>
      <c r="AU329" s="291"/>
      <c r="AV329" s="291"/>
      <c r="AW329" s="291"/>
      <c r="AX329" s="291"/>
      <c r="AY329" s="291"/>
      <c r="AZ329" s="291"/>
      <c r="BA329" s="291"/>
      <c r="BB329" s="291"/>
    </row>
    <row r="330" spans="1:54" s="287" customFormat="1" ht="15" customHeight="1">
      <c r="A330" s="286"/>
      <c r="C330" s="288"/>
      <c r="D330" s="295" t="s">
        <v>15</v>
      </c>
      <c r="E330" s="40" t="s">
        <v>12</v>
      </c>
      <c r="F330" s="291"/>
      <c r="G330" s="296">
        <f>NPV(G$324,$H$319:$S$319)+$G$319</f>
        <v>4493.0000000000009</v>
      </c>
      <c r="H330" s="296">
        <f>NPV(H$324,$H$319:$S$319)+$G$319</f>
        <v>2521.7746737705147</v>
      </c>
      <c r="I330" s="296">
        <f>NPV(I$324,$H$319:$S$319)+$G$319</f>
        <v>2223.5680226687668</v>
      </c>
      <c r="J330" s="297">
        <f>NPV(J$324,$H$319:$S$319)+$G$319</f>
        <v>1973.2864570346462</v>
      </c>
      <c r="V330" s="291"/>
      <c r="W330" s="299"/>
      <c r="X330" s="299"/>
      <c r="Y330" s="299"/>
      <c r="Z330" s="299"/>
      <c r="AA330" s="299"/>
      <c r="AB330" s="299"/>
      <c r="AC330" s="299"/>
      <c r="AD330" s="299"/>
      <c r="AE330" s="299"/>
      <c r="AF330" s="299"/>
      <c r="AG330" s="299"/>
      <c r="AH330" s="291"/>
      <c r="AI330" s="291"/>
      <c r="AJ330" s="291"/>
      <c r="AK330" s="291"/>
      <c r="AL330" s="291"/>
      <c r="AM330" s="291"/>
      <c r="AN330" s="291"/>
      <c r="AO330" s="291"/>
      <c r="AP330" s="291"/>
      <c r="AQ330" s="291"/>
      <c r="AR330" s="291"/>
      <c r="AS330" s="291"/>
      <c r="AT330" s="291"/>
      <c r="AU330" s="291"/>
      <c r="AV330" s="291"/>
      <c r="AW330" s="291"/>
      <c r="AX330" s="291"/>
      <c r="AY330" s="291"/>
      <c r="AZ330" s="291"/>
      <c r="BA330" s="291"/>
      <c r="BB330" s="291"/>
    </row>
    <row r="331" spans="1:54" s="287" customFormat="1" ht="15" customHeight="1">
      <c r="A331" s="286"/>
      <c r="C331" s="288"/>
      <c r="D331" s="295" t="s">
        <v>241</v>
      </c>
      <c r="E331" s="298" t="s">
        <v>240</v>
      </c>
      <c r="F331" s="291"/>
      <c r="G331" s="176">
        <f>G326/G330</f>
        <v>0.44637716322361987</v>
      </c>
      <c r="H331" s="176">
        <f t="shared" ref="H331:J331" si="249">H326/H330</f>
        <v>0.43136458468930605</v>
      </c>
      <c r="I331" s="176">
        <f t="shared" si="249"/>
        <v>0.42763169398753431</v>
      </c>
      <c r="J331" s="177">
        <f t="shared" si="249"/>
        <v>0.42392873441362194</v>
      </c>
      <c r="V331" s="291"/>
      <c r="W331" s="299"/>
      <c r="X331" s="299"/>
      <c r="Y331" s="299"/>
      <c r="Z331" s="299"/>
      <c r="AA331" s="299"/>
      <c r="AB331" s="299"/>
      <c r="AC331" s="299"/>
      <c r="AD331" s="299"/>
      <c r="AE331" s="299"/>
      <c r="AF331" s="299"/>
      <c r="AG331" s="299"/>
      <c r="AH331" s="291"/>
      <c r="AI331" s="291"/>
      <c r="AJ331" s="291"/>
      <c r="AK331" s="291"/>
      <c r="AL331" s="291"/>
      <c r="AM331" s="291"/>
      <c r="AN331" s="291"/>
      <c r="AO331" s="291"/>
      <c r="AP331" s="291"/>
      <c r="AQ331" s="291"/>
      <c r="AR331" s="291"/>
      <c r="AS331" s="291"/>
      <c r="AT331" s="291"/>
      <c r="AU331" s="291"/>
      <c r="AV331" s="291"/>
      <c r="AW331" s="291"/>
      <c r="AX331" s="291"/>
      <c r="AY331" s="291"/>
      <c r="AZ331" s="291"/>
      <c r="BA331" s="291"/>
      <c r="BB331" s="291"/>
    </row>
    <row r="332" spans="1:54" s="287" customFormat="1" ht="15" customHeight="1">
      <c r="A332" s="286"/>
      <c r="C332" s="288"/>
      <c r="D332" s="295" t="s">
        <v>386</v>
      </c>
      <c r="E332" s="40" t="s">
        <v>12</v>
      </c>
      <c r="F332" s="291"/>
      <c r="G332" s="301">
        <f>NPV(G$324,$H$301:$S$301)+$G$301</f>
        <v>0</v>
      </c>
      <c r="H332" s="301">
        <f t="shared" ref="H332:J332" si="250">NPV(H$324,$H$301:$S$301)+$G$301</f>
        <v>0</v>
      </c>
      <c r="I332" s="301">
        <f t="shared" si="250"/>
        <v>0</v>
      </c>
      <c r="J332" s="302">
        <f t="shared" si="250"/>
        <v>0</v>
      </c>
      <c r="V332" s="291"/>
      <c r="W332" s="299"/>
      <c r="X332" s="299"/>
      <c r="Y332" s="299"/>
      <c r="Z332" s="299"/>
      <c r="AA332" s="299"/>
      <c r="AB332" s="299"/>
      <c r="AC332" s="299"/>
      <c r="AD332" s="299"/>
      <c r="AE332" s="299"/>
      <c r="AF332" s="299"/>
      <c r="AG332" s="299"/>
      <c r="AH332" s="291"/>
      <c r="AI332" s="291"/>
      <c r="AJ332" s="291"/>
      <c r="AK332" s="291"/>
      <c r="AL332" s="291"/>
      <c r="AM332" s="291"/>
      <c r="AN332" s="291"/>
      <c r="AO332" s="291"/>
      <c r="AP332" s="291"/>
      <c r="AQ332" s="291"/>
      <c r="AR332" s="291"/>
      <c r="AS332" s="291"/>
      <c r="AT332" s="291"/>
      <c r="AU332" s="291"/>
      <c r="AV332" s="291"/>
      <c r="AW332" s="291"/>
      <c r="AX332" s="291"/>
      <c r="AY332" s="291"/>
      <c r="AZ332" s="291"/>
      <c r="BA332" s="291"/>
      <c r="BB332" s="291"/>
    </row>
    <row r="333" spans="1:54" s="287" customFormat="1" ht="15" customHeight="1">
      <c r="A333" s="286"/>
      <c r="C333" s="288"/>
      <c r="D333" s="300" t="s">
        <v>218</v>
      </c>
      <c r="E333" s="40" t="s">
        <v>12</v>
      </c>
      <c r="F333" s="291"/>
      <c r="G333" s="301">
        <f>NPV(G$324,$H$302:$S$302)+$G$302</f>
        <v>2.4902281173907497</v>
      </c>
      <c r="H333" s="301">
        <f t="shared" ref="H333:J333" si="251">NPV(H$324,$H$302:$S$302)+$G$302</f>
        <v>5.3482223719794506</v>
      </c>
      <c r="I333" s="301">
        <f t="shared" si="251"/>
        <v>5.06226755507618</v>
      </c>
      <c r="J333" s="302">
        <f t="shared" si="251"/>
        <v>4.6759024655987096</v>
      </c>
      <c r="V333" s="291"/>
      <c r="W333" s="299"/>
      <c r="X333" s="299"/>
      <c r="Y333" s="299"/>
      <c r="Z333" s="299"/>
      <c r="AA333" s="299"/>
      <c r="AB333" s="299"/>
      <c r="AC333" s="299"/>
      <c r="AD333" s="299"/>
      <c r="AE333" s="299"/>
      <c r="AF333" s="299"/>
      <c r="AG333" s="299"/>
      <c r="AH333" s="291"/>
      <c r="AI333" s="291"/>
      <c r="AJ333" s="291"/>
      <c r="AK333" s="291"/>
      <c r="AL333" s="291"/>
      <c r="AM333" s="291"/>
      <c r="AN333" s="291"/>
      <c r="AO333" s="291"/>
      <c r="AP333" s="291"/>
      <c r="AQ333" s="291"/>
      <c r="AR333" s="291"/>
      <c r="AS333" s="291"/>
      <c r="AT333" s="291"/>
      <c r="AU333" s="291"/>
      <c r="AV333" s="291"/>
      <c r="AW333" s="291"/>
      <c r="AX333" s="291"/>
      <c r="AY333" s="291"/>
      <c r="AZ333" s="291"/>
      <c r="BA333" s="291"/>
      <c r="BB333" s="291"/>
    </row>
    <row r="334" spans="1:54" s="287" customFormat="1" ht="15" customHeight="1">
      <c r="A334" s="286"/>
      <c r="C334" s="288"/>
      <c r="D334" s="303" t="s">
        <v>242</v>
      </c>
      <c r="E334" s="304"/>
      <c r="F334" s="305"/>
      <c r="G334" s="306" t="b">
        <f>ROUND(G325+G332-SUM(G326:G328,G333),5)=0</f>
        <v>1</v>
      </c>
      <c r="H334" s="306" t="b">
        <f t="shared" ref="H334:J334" si="252">ROUND(H325+H332-SUM(H326:H328,H333),5)=0</f>
        <v>1</v>
      </c>
      <c r="I334" s="306" t="b">
        <f t="shared" si="252"/>
        <v>1</v>
      </c>
      <c r="J334" s="307" t="b">
        <f t="shared" si="252"/>
        <v>1</v>
      </c>
      <c r="V334" s="291"/>
      <c r="W334" s="299"/>
      <c r="X334" s="299"/>
      <c r="Y334" s="299"/>
      <c r="Z334" s="299"/>
      <c r="AA334" s="299"/>
      <c r="AB334" s="299"/>
      <c r="AC334" s="299"/>
      <c r="AD334" s="299"/>
      <c r="AE334" s="299"/>
      <c r="AF334" s="299"/>
      <c r="AG334" s="299"/>
      <c r="AH334" s="291"/>
      <c r="AI334" s="291"/>
      <c r="AJ334" s="291"/>
      <c r="AK334" s="291"/>
      <c r="AL334" s="291"/>
      <c r="AM334" s="291"/>
      <c r="AN334" s="291"/>
      <c r="AO334" s="291"/>
      <c r="AP334" s="291"/>
      <c r="AQ334" s="291"/>
      <c r="AR334" s="291"/>
      <c r="AS334" s="291"/>
      <c r="AT334" s="291"/>
      <c r="AU334" s="291"/>
      <c r="AV334" s="291"/>
      <c r="AW334" s="291"/>
      <c r="AX334" s="291"/>
      <c r="AY334" s="291"/>
      <c r="AZ334" s="291"/>
      <c r="BA334" s="291"/>
      <c r="BB334" s="291"/>
    </row>
    <row r="335" spans="1:54" ht="15" customHeight="1">
      <c r="C335" s="111"/>
      <c r="D335" s="198"/>
    </row>
    <row r="336" spans="1:54" s="416" customFormat="1" ht="30" customHeight="1">
      <c r="A336" s="415" t="s">
        <v>243</v>
      </c>
    </row>
    <row r="337" spans="1:54" s="287" customFormat="1" ht="15" customHeight="1">
      <c r="A337" s="286"/>
      <c r="B337" s="314"/>
      <c r="C337" s="288"/>
      <c r="E337" s="289"/>
      <c r="G337" s="291"/>
      <c r="V337" s="291"/>
      <c r="W337" s="299"/>
      <c r="X337" s="299"/>
      <c r="Y337" s="299"/>
      <c r="Z337" s="299"/>
      <c r="AA337" s="299"/>
      <c r="AB337" s="299"/>
      <c r="AC337" s="299"/>
      <c r="AD337" s="299"/>
      <c r="AE337" s="299"/>
      <c r="AF337" s="299"/>
      <c r="AG337" s="299"/>
      <c r="AH337" s="291"/>
      <c r="AI337" s="291"/>
      <c r="AJ337" s="291"/>
      <c r="AK337" s="291"/>
      <c r="AL337" s="291"/>
      <c r="AM337" s="291"/>
      <c r="AN337" s="291"/>
      <c r="AO337" s="291"/>
      <c r="AP337" s="291"/>
      <c r="AQ337" s="291"/>
      <c r="AR337" s="291"/>
      <c r="AS337" s="291"/>
      <c r="AT337" s="291"/>
      <c r="AU337" s="291"/>
      <c r="AV337" s="291"/>
      <c r="AW337" s="291"/>
      <c r="AX337" s="291"/>
      <c r="AY337" s="291"/>
      <c r="AZ337" s="291"/>
      <c r="BA337" s="291"/>
      <c r="BB337" s="291"/>
    </row>
    <row r="338" spans="1:54" ht="15" customHeight="1">
      <c r="C338" s="69" t="s">
        <v>379</v>
      </c>
      <c r="D338" s="200" t="str">
        <f>"Annual government revenue by tax mechanism - selected regime: "&amp;F6</f>
        <v>Annual government revenue by tax mechanism - selected regime: SGO SENEGAL</v>
      </c>
      <c r="E338" s="200"/>
      <c r="F338" s="284"/>
      <c r="G338" s="284"/>
      <c r="H338" s="284"/>
      <c r="I338" s="284"/>
      <c r="J338" s="284"/>
      <c r="K338" s="284"/>
      <c r="L338" s="284"/>
      <c r="M338" s="284"/>
      <c r="N338" s="284"/>
      <c r="O338" s="284"/>
      <c r="P338" s="284"/>
      <c r="Q338" s="284"/>
      <c r="R338" s="284"/>
      <c r="S338" s="284"/>
      <c r="T338" s="213"/>
      <c r="U338" s="213"/>
    </row>
    <row r="339" spans="1:54" s="287" customFormat="1" ht="15" customHeight="1">
      <c r="A339" s="286"/>
      <c r="B339" s="314"/>
      <c r="C339" s="488">
        <f>SUM(G339:S339)</f>
        <v>0</v>
      </c>
      <c r="D339" s="289" t="str">
        <f t="shared" ref="D339:D345" si="253">D281</f>
        <v>Signature bonus</v>
      </c>
      <c r="E339" s="289" t="s">
        <v>12</v>
      </c>
      <c r="G339" s="291">
        <f>G281</f>
        <v>0</v>
      </c>
      <c r="H339" s="291">
        <f t="shared" ref="H339:S339" si="254">H281</f>
        <v>0</v>
      </c>
      <c r="I339" s="291">
        <f t="shared" si="254"/>
        <v>0</v>
      </c>
      <c r="J339" s="291">
        <f t="shared" si="254"/>
        <v>0</v>
      </c>
      <c r="K339" s="291">
        <f t="shared" si="254"/>
        <v>0</v>
      </c>
      <c r="L339" s="291">
        <f t="shared" si="254"/>
        <v>0</v>
      </c>
      <c r="M339" s="291">
        <f t="shared" si="254"/>
        <v>0</v>
      </c>
      <c r="N339" s="291">
        <f t="shared" si="254"/>
        <v>0</v>
      </c>
      <c r="O339" s="291">
        <f t="shared" si="254"/>
        <v>0</v>
      </c>
      <c r="P339" s="291">
        <f t="shared" si="254"/>
        <v>0</v>
      </c>
      <c r="Q339" s="291">
        <f t="shared" si="254"/>
        <v>0</v>
      </c>
      <c r="R339" s="291">
        <f t="shared" si="254"/>
        <v>0</v>
      </c>
      <c r="S339" s="291">
        <f t="shared" si="254"/>
        <v>0</v>
      </c>
      <c r="V339" s="291"/>
      <c r="W339" s="299"/>
      <c r="X339" s="299"/>
      <c r="Y339" s="299"/>
      <c r="Z339" s="299"/>
      <c r="AA339" s="299"/>
      <c r="AB339" s="299"/>
      <c r="AC339" s="299"/>
      <c r="AD339" s="299"/>
      <c r="AE339" s="299"/>
      <c r="AF339" s="299"/>
      <c r="AG339" s="299"/>
      <c r="AH339" s="291"/>
      <c r="AI339" s="291"/>
      <c r="AJ339" s="291"/>
      <c r="AK339" s="291"/>
      <c r="AL339" s="291"/>
      <c r="AM339" s="291"/>
      <c r="AN339" s="291"/>
      <c r="AO339" s="291"/>
      <c r="AP339" s="291"/>
      <c r="AQ339" s="291"/>
      <c r="AR339" s="291"/>
      <c r="AS339" s="291"/>
      <c r="AT339" s="291"/>
      <c r="AU339" s="291"/>
      <c r="AV339" s="291"/>
      <c r="AW339" s="291"/>
      <c r="AX339" s="291"/>
      <c r="AY339" s="291"/>
      <c r="AZ339" s="291"/>
      <c r="BA339" s="291"/>
      <c r="BB339" s="291"/>
    </row>
    <row r="340" spans="1:54" s="287" customFormat="1" ht="15" customHeight="1">
      <c r="A340" s="286"/>
      <c r="B340" s="314"/>
      <c r="C340" s="488">
        <f t="shared" ref="C340:C346" si="255">SUM(G340:S340)</f>
        <v>380</v>
      </c>
      <c r="D340" s="289" t="str">
        <f t="shared" si="253"/>
        <v>Royalty</v>
      </c>
      <c r="E340" s="289" t="s">
        <v>12</v>
      </c>
      <c r="G340" s="291">
        <f t="shared" ref="G340:S345" si="256">G282</f>
        <v>0</v>
      </c>
      <c r="H340" s="291">
        <f t="shared" si="256"/>
        <v>0</v>
      </c>
      <c r="I340" s="291">
        <f t="shared" si="256"/>
        <v>38</v>
      </c>
      <c r="J340" s="291">
        <f t="shared" si="256"/>
        <v>38.000000000000007</v>
      </c>
      <c r="K340" s="291">
        <f t="shared" si="256"/>
        <v>38</v>
      </c>
      <c r="L340" s="291">
        <f t="shared" si="256"/>
        <v>38</v>
      </c>
      <c r="M340" s="291">
        <f t="shared" si="256"/>
        <v>38.000000000000007</v>
      </c>
      <c r="N340" s="291">
        <f t="shared" si="256"/>
        <v>38.000000000000007</v>
      </c>
      <c r="O340" s="291">
        <f t="shared" si="256"/>
        <v>38</v>
      </c>
      <c r="P340" s="291">
        <f t="shared" si="256"/>
        <v>38</v>
      </c>
      <c r="Q340" s="291">
        <f t="shared" si="256"/>
        <v>38</v>
      </c>
      <c r="R340" s="291">
        <f t="shared" si="256"/>
        <v>38</v>
      </c>
      <c r="S340" s="291">
        <f t="shared" si="256"/>
        <v>0</v>
      </c>
      <c r="V340" s="291"/>
      <c r="W340" s="299"/>
      <c r="X340" s="299"/>
      <c r="Y340" s="299"/>
      <c r="Z340" s="299"/>
      <c r="AA340" s="299"/>
      <c r="AB340" s="299"/>
      <c r="AC340" s="299"/>
      <c r="AD340" s="299"/>
      <c r="AE340" s="299"/>
      <c r="AF340" s="299"/>
      <c r="AG340" s="299"/>
      <c r="AH340" s="291"/>
      <c r="AI340" s="291"/>
      <c r="AJ340" s="291"/>
      <c r="AK340" s="291"/>
      <c r="AL340" s="291"/>
      <c r="AM340" s="291"/>
      <c r="AN340" s="291"/>
      <c r="AO340" s="291"/>
      <c r="AP340" s="291"/>
      <c r="AQ340" s="291"/>
      <c r="AR340" s="291"/>
      <c r="AS340" s="291"/>
      <c r="AT340" s="291"/>
      <c r="AU340" s="291"/>
      <c r="AV340" s="291"/>
      <c r="AW340" s="291"/>
      <c r="AX340" s="291"/>
      <c r="AY340" s="291"/>
      <c r="AZ340" s="291"/>
      <c r="BA340" s="291"/>
      <c r="BB340" s="291"/>
    </row>
    <row r="341" spans="1:54" s="287" customFormat="1" ht="15" customHeight="1">
      <c r="A341" s="286"/>
      <c r="B341" s="314"/>
      <c r="C341" s="488">
        <f t="shared" si="255"/>
        <v>1125.4964056294514</v>
      </c>
      <c r="D341" s="289" t="str">
        <f t="shared" si="253"/>
        <v>Corporate Income Tax</v>
      </c>
      <c r="E341" s="289" t="s">
        <v>12</v>
      </c>
      <c r="G341" s="291">
        <f t="shared" si="256"/>
        <v>0</v>
      </c>
      <c r="H341" s="291">
        <f t="shared" si="256"/>
        <v>0</v>
      </c>
      <c r="I341" s="291">
        <f t="shared" si="256"/>
        <v>25.214971164936525</v>
      </c>
      <c r="J341" s="291">
        <f t="shared" si="256"/>
        <v>121.76770203469738</v>
      </c>
      <c r="K341" s="291">
        <f t="shared" si="256"/>
        <v>122.49690466637541</v>
      </c>
      <c r="L341" s="291">
        <f t="shared" si="256"/>
        <v>123.25856788444248</v>
      </c>
      <c r="M341" s="291">
        <f t="shared" si="256"/>
        <v>124.05532831421702</v>
      </c>
      <c r="N341" s="291">
        <f t="shared" si="256"/>
        <v>124.88999999999997</v>
      </c>
      <c r="O341" s="291">
        <f t="shared" si="256"/>
        <v>121.065</v>
      </c>
      <c r="P341" s="291">
        <f t="shared" si="256"/>
        <v>121.03999999999999</v>
      </c>
      <c r="Q341" s="291">
        <f t="shared" si="256"/>
        <v>120.96549019607839</v>
      </c>
      <c r="R341" s="291">
        <f t="shared" si="256"/>
        <v>120.74244136870431</v>
      </c>
      <c r="S341" s="291">
        <f t="shared" si="256"/>
        <v>0</v>
      </c>
      <c r="V341" s="291"/>
      <c r="W341" s="299"/>
      <c r="X341" s="299"/>
      <c r="Y341" s="299"/>
      <c r="Z341" s="299"/>
      <c r="AA341" s="299"/>
      <c r="AB341" s="299"/>
      <c r="AC341" s="299"/>
      <c r="AD341" s="299"/>
      <c r="AE341" s="299"/>
      <c r="AF341" s="299"/>
      <c r="AG341" s="299"/>
      <c r="AH341" s="291"/>
      <c r="AI341" s="291"/>
      <c r="AJ341" s="291"/>
      <c r="AK341" s="291"/>
      <c r="AL341" s="291"/>
      <c r="AM341" s="291"/>
      <c r="AN341" s="291"/>
      <c r="AO341" s="291"/>
      <c r="AP341" s="291"/>
      <c r="AQ341" s="291"/>
      <c r="AR341" s="291"/>
      <c r="AS341" s="291"/>
      <c r="AT341" s="291"/>
      <c r="AU341" s="291"/>
      <c r="AV341" s="291"/>
      <c r="AW341" s="291"/>
      <c r="AX341" s="291"/>
      <c r="AY341" s="291"/>
      <c r="AZ341" s="291"/>
      <c r="BA341" s="291"/>
      <c r="BB341" s="291"/>
    </row>
    <row r="342" spans="1:54" s="287" customFormat="1" ht="15" customHeight="1">
      <c r="A342" s="286"/>
      <c r="B342" s="314"/>
      <c r="C342" s="488">
        <f t="shared" si="255"/>
        <v>0</v>
      </c>
      <c r="D342" s="289" t="str">
        <f t="shared" si="253"/>
        <v>Surcharge on Cash Flows</v>
      </c>
      <c r="E342" s="289" t="s">
        <v>12</v>
      </c>
      <c r="G342" s="291">
        <f t="shared" si="256"/>
        <v>0</v>
      </c>
      <c r="H342" s="291">
        <f t="shared" si="256"/>
        <v>0</v>
      </c>
      <c r="I342" s="291">
        <f t="shared" si="256"/>
        <v>0</v>
      </c>
      <c r="J342" s="291">
        <f t="shared" si="256"/>
        <v>0</v>
      </c>
      <c r="K342" s="291">
        <f t="shared" si="256"/>
        <v>0</v>
      </c>
      <c r="L342" s="291">
        <f t="shared" si="256"/>
        <v>0</v>
      </c>
      <c r="M342" s="291">
        <f t="shared" si="256"/>
        <v>0</v>
      </c>
      <c r="N342" s="291">
        <f t="shared" si="256"/>
        <v>0</v>
      </c>
      <c r="O342" s="291">
        <f t="shared" si="256"/>
        <v>0</v>
      </c>
      <c r="P342" s="291">
        <f t="shared" si="256"/>
        <v>0</v>
      </c>
      <c r="Q342" s="291">
        <f t="shared" si="256"/>
        <v>0</v>
      </c>
      <c r="R342" s="291">
        <f t="shared" si="256"/>
        <v>0</v>
      </c>
      <c r="S342" s="291">
        <f t="shared" si="256"/>
        <v>0</v>
      </c>
      <c r="V342" s="291"/>
      <c r="W342" s="299"/>
      <c r="X342" s="299"/>
      <c r="Y342" s="299"/>
      <c r="Z342" s="299"/>
      <c r="AA342" s="299"/>
      <c r="AB342" s="299"/>
      <c r="AC342" s="299"/>
      <c r="AD342" s="299"/>
      <c r="AE342" s="299"/>
      <c r="AF342" s="299"/>
      <c r="AG342" s="299"/>
      <c r="AH342" s="291"/>
      <c r="AI342" s="291"/>
      <c r="AJ342" s="291"/>
      <c r="AK342" s="291"/>
      <c r="AL342" s="291"/>
      <c r="AM342" s="291"/>
      <c r="AN342" s="291"/>
      <c r="AO342" s="291"/>
      <c r="AP342" s="291"/>
      <c r="AQ342" s="291"/>
      <c r="AR342" s="291"/>
      <c r="AS342" s="291"/>
      <c r="AT342" s="291"/>
      <c r="AU342" s="291"/>
      <c r="AV342" s="291"/>
      <c r="AW342" s="291"/>
      <c r="AX342" s="291"/>
      <c r="AY342" s="291"/>
      <c r="AZ342" s="291"/>
      <c r="BA342" s="291"/>
      <c r="BB342" s="291"/>
    </row>
    <row r="343" spans="1:54" s="287" customFormat="1" ht="15" customHeight="1">
      <c r="A343" s="286"/>
      <c r="B343" s="314"/>
      <c r="C343" s="488">
        <f t="shared" si="255"/>
        <v>0</v>
      </c>
      <c r="D343" s="289" t="str">
        <f t="shared" si="253"/>
        <v>Resource Rent Tax</v>
      </c>
      <c r="E343" s="289" t="s">
        <v>12</v>
      </c>
      <c r="G343" s="291">
        <f t="shared" si="256"/>
        <v>0</v>
      </c>
      <c r="H343" s="291">
        <f t="shared" si="256"/>
        <v>0</v>
      </c>
      <c r="I343" s="291">
        <f t="shared" si="256"/>
        <v>0</v>
      </c>
      <c r="J343" s="291">
        <f t="shared" si="256"/>
        <v>0</v>
      </c>
      <c r="K343" s="291">
        <f t="shared" si="256"/>
        <v>0</v>
      </c>
      <c r="L343" s="291">
        <f t="shared" si="256"/>
        <v>0</v>
      </c>
      <c r="M343" s="291">
        <f t="shared" si="256"/>
        <v>0</v>
      </c>
      <c r="N343" s="291">
        <f t="shared" si="256"/>
        <v>0</v>
      </c>
      <c r="O343" s="291">
        <f t="shared" si="256"/>
        <v>0</v>
      </c>
      <c r="P343" s="291">
        <f t="shared" si="256"/>
        <v>0</v>
      </c>
      <c r="Q343" s="291">
        <f t="shared" si="256"/>
        <v>0</v>
      </c>
      <c r="R343" s="291">
        <f t="shared" si="256"/>
        <v>0</v>
      </c>
      <c r="S343" s="291">
        <f t="shared" si="256"/>
        <v>0</v>
      </c>
      <c r="V343" s="291"/>
      <c r="W343" s="299"/>
      <c r="X343" s="299"/>
      <c r="Y343" s="299"/>
      <c r="Z343" s="299"/>
      <c r="AA343" s="299"/>
      <c r="AB343" s="299"/>
      <c r="AC343" s="299"/>
      <c r="AD343" s="299"/>
      <c r="AE343" s="299"/>
      <c r="AF343" s="299"/>
      <c r="AG343" s="299"/>
      <c r="AH343" s="291"/>
      <c r="AI343" s="291"/>
      <c r="AJ343" s="291"/>
      <c r="AK343" s="291"/>
      <c r="AL343" s="291"/>
      <c r="AM343" s="291"/>
      <c r="AN343" s="291"/>
      <c r="AO343" s="291"/>
      <c r="AP343" s="291"/>
      <c r="AQ343" s="291"/>
      <c r="AR343" s="291"/>
      <c r="AS343" s="291"/>
      <c r="AT343" s="291"/>
      <c r="AU343" s="291"/>
      <c r="AV343" s="291"/>
      <c r="AW343" s="291"/>
      <c r="AX343" s="291"/>
      <c r="AY343" s="291"/>
      <c r="AZ343" s="291"/>
      <c r="BA343" s="291"/>
      <c r="BB343" s="291"/>
    </row>
    <row r="344" spans="1:54" s="287" customFormat="1" ht="15" customHeight="1">
      <c r="A344" s="286"/>
      <c r="B344" s="314"/>
      <c r="C344" s="488">
        <f t="shared" si="255"/>
        <v>263.19799407066978</v>
      </c>
      <c r="D344" s="289" t="str">
        <f t="shared" si="253"/>
        <v>State participation</v>
      </c>
      <c r="E344" s="289" t="s">
        <v>12</v>
      </c>
      <c r="G344" s="291">
        <f t="shared" si="256"/>
        <v>0</v>
      </c>
      <c r="H344" s="291">
        <f t="shared" si="256"/>
        <v>0</v>
      </c>
      <c r="I344" s="291">
        <f t="shared" si="256"/>
        <v>17.498168416270175</v>
      </c>
      <c r="J344" s="291">
        <f t="shared" si="256"/>
        <v>25.927632571751978</v>
      </c>
      <c r="K344" s="291">
        <f t="shared" si="256"/>
        <v>25.923841665932777</v>
      </c>
      <c r="L344" s="291">
        <f t="shared" si="256"/>
        <v>25.915449223879591</v>
      </c>
      <c r="M344" s="291">
        <f t="shared" si="256"/>
        <v>25.902218161052652</v>
      </c>
      <c r="N344" s="291">
        <f t="shared" si="256"/>
        <v>29.141000000000002</v>
      </c>
      <c r="O344" s="291">
        <f t="shared" si="256"/>
        <v>28.248499999999996</v>
      </c>
      <c r="P344" s="291">
        <f t="shared" si="256"/>
        <v>28.242666666666665</v>
      </c>
      <c r="Q344" s="291">
        <f t="shared" si="256"/>
        <v>28.225281045751629</v>
      </c>
      <c r="R344" s="291">
        <f t="shared" si="256"/>
        <v>28.173236319364349</v>
      </c>
      <c r="S344" s="291">
        <f t="shared" si="256"/>
        <v>0</v>
      </c>
      <c r="V344" s="291"/>
      <c r="W344" s="299"/>
      <c r="X344" s="299"/>
      <c r="Y344" s="299"/>
      <c r="Z344" s="299"/>
      <c r="AA344" s="299"/>
      <c r="AB344" s="299"/>
      <c r="AC344" s="299"/>
      <c r="AD344" s="299"/>
      <c r="AE344" s="299"/>
      <c r="AF344" s="299"/>
      <c r="AG344" s="299"/>
      <c r="AH344" s="291"/>
      <c r="AI344" s="291"/>
      <c r="AJ344" s="291"/>
      <c r="AK344" s="291"/>
      <c r="AL344" s="291"/>
      <c r="AM344" s="291"/>
      <c r="AN344" s="291"/>
      <c r="AO344" s="291"/>
      <c r="AP344" s="291"/>
      <c r="AQ344" s="291"/>
      <c r="AR344" s="291"/>
      <c r="AS344" s="291"/>
      <c r="AT344" s="291"/>
      <c r="AU344" s="291"/>
      <c r="AV344" s="291"/>
      <c r="AW344" s="291"/>
      <c r="AX344" s="291"/>
      <c r="AY344" s="291"/>
      <c r="AZ344" s="291"/>
      <c r="BA344" s="291"/>
      <c r="BB344" s="291"/>
    </row>
    <row r="345" spans="1:54" s="287" customFormat="1" ht="15" customHeight="1">
      <c r="A345" s="286"/>
      <c r="B345" s="314"/>
      <c r="C345" s="488">
        <f t="shared" si="255"/>
        <v>236.87819466360284</v>
      </c>
      <c r="D345" s="289" t="str">
        <f t="shared" si="253"/>
        <v>Dividend Withholding Tax</v>
      </c>
      <c r="E345" s="289" t="s">
        <v>12</v>
      </c>
      <c r="G345" s="291">
        <f t="shared" si="256"/>
        <v>0</v>
      </c>
      <c r="H345" s="291">
        <f t="shared" si="256"/>
        <v>0</v>
      </c>
      <c r="I345" s="291">
        <f t="shared" si="256"/>
        <v>15.748351574643159</v>
      </c>
      <c r="J345" s="291">
        <f t="shared" si="256"/>
        <v>23.334869314576782</v>
      </c>
      <c r="K345" s="291">
        <f t="shared" si="256"/>
        <v>23.3314574993395</v>
      </c>
      <c r="L345" s="291">
        <f t="shared" si="256"/>
        <v>23.323904301491631</v>
      </c>
      <c r="M345" s="291">
        <f t="shared" si="256"/>
        <v>23.311996344947385</v>
      </c>
      <c r="N345" s="291">
        <f t="shared" si="256"/>
        <v>26.226900000000001</v>
      </c>
      <c r="O345" s="291">
        <f t="shared" si="256"/>
        <v>25.423650000000002</v>
      </c>
      <c r="P345" s="291">
        <f t="shared" si="256"/>
        <v>25.418399999999998</v>
      </c>
      <c r="Q345" s="291">
        <f t="shared" si="256"/>
        <v>25.40275294117647</v>
      </c>
      <c r="R345" s="291">
        <f t="shared" si="256"/>
        <v>25.35591268742791</v>
      </c>
      <c r="S345" s="291">
        <f t="shared" si="256"/>
        <v>0</v>
      </c>
      <c r="V345" s="291"/>
      <c r="W345" s="299"/>
      <c r="X345" s="299"/>
      <c r="Y345" s="299"/>
      <c r="Z345" s="299"/>
      <c r="AA345" s="299"/>
      <c r="AB345" s="299"/>
      <c r="AC345" s="299"/>
      <c r="AD345" s="299"/>
      <c r="AE345" s="299"/>
      <c r="AF345" s="299"/>
      <c r="AG345" s="299"/>
      <c r="AH345" s="291"/>
      <c r="AI345" s="291"/>
      <c r="AJ345" s="291"/>
      <c r="AK345" s="291"/>
      <c r="AL345" s="291"/>
      <c r="AM345" s="291"/>
      <c r="AN345" s="291"/>
      <c r="AO345" s="291"/>
      <c r="AP345" s="291"/>
      <c r="AQ345" s="291"/>
      <c r="AR345" s="291"/>
      <c r="AS345" s="291"/>
      <c r="AT345" s="291"/>
      <c r="AU345" s="291"/>
      <c r="AV345" s="291"/>
      <c r="AW345" s="291"/>
      <c r="AX345" s="291"/>
      <c r="AY345" s="291"/>
      <c r="AZ345" s="291"/>
      <c r="BA345" s="291"/>
      <c r="BB345" s="291"/>
    </row>
    <row r="346" spans="1:54" s="376" customFormat="1" ht="15" customHeight="1">
      <c r="C346" s="489">
        <f t="shared" si="255"/>
        <v>2005.5725943637244</v>
      </c>
      <c r="D346" s="373" t="s">
        <v>244</v>
      </c>
      <c r="E346" s="373" t="s">
        <v>12</v>
      </c>
      <c r="F346" s="374"/>
      <c r="G346" s="377">
        <f>SUM(G339:G345)</f>
        <v>0</v>
      </c>
      <c r="H346" s="377">
        <f t="shared" ref="H346:S346" si="257">SUM(H339:H345)</f>
        <v>0</v>
      </c>
      <c r="I346" s="377">
        <f t="shared" si="257"/>
        <v>96.46149115584987</v>
      </c>
      <c r="J346" s="377">
        <f t="shared" si="257"/>
        <v>209.03020392102616</v>
      </c>
      <c r="K346" s="377">
        <f t="shared" si="257"/>
        <v>209.75220383164771</v>
      </c>
      <c r="L346" s="377">
        <f t="shared" si="257"/>
        <v>210.4979214098137</v>
      </c>
      <c r="M346" s="377">
        <f t="shared" si="257"/>
        <v>211.26954282021705</v>
      </c>
      <c r="N346" s="377">
        <f t="shared" si="257"/>
        <v>218.25789999999998</v>
      </c>
      <c r="O346" s="377">
        <f t="shared" si="257"/>
        <v>212.73715000000001</v>
      </c>
      <c r="P346" s="377">
        <f t="shared" si="257"/>
        <v>212.70106666666666</v>
      </c>
      <c r="Q346" s="377">
        <f t="shared" si="257"/>
        <v>212.59352418300648</v>
      </c>
      <c r="R346" s="377">
        <f t="shared" si="257"/>
        <v>212.27159037549657</v>
      </c>
      <c r="S346" s="377">
        <f t="shared" si="257"/>
        <v>0</v>
      </c>
      <c r="T346" s="381"/>
      <c r="U346" s="381"/>
    </row>
    <row r="347" spans="1:54" s="376" customFormat="1" ht="15" customHeight="1">
      <c r="C347" s="382"/>
      <c r="D347" s="378"/>
      <c r="E347" s="378"/>
      <c r="F347" s="379"/>
      <c r="G347" s="380"/>
      <c r="H347" s="380"/>
      <c r="I347" s="380"/>
      <c r="J347" s="380"/>
      <c r="K347" s="380"/>
      <c r="L347" s="380"/>
      <c r="M347" s="380"/>
      <c r="N347" s="380"/>
      <c r="O347" s="380"/>
      <c r="P347" s="380"/>
      <c r="Q347" s="380"/>
      <c r="R347" s="380"/>
      <c r="S347" s="380"/>
      <c r="T347" s="381"/>
      <c r="U347" s="381"/>
    </row>
    <row r="348" spans="1:54" s="376" customFormat="1" ht="15" customHeight="1">
      <c r="C348" s="382"/>
      <c r="D348" s="378"/>
      <c r="E348" s="378"/>
      <c r="F348" s="379"/>
      <c r="G348" s="380"/>
      <c r="H348" s="380"/>
      <c r="I348" s="380"/>
      <c r="J348" s="380"/>
      <c r="K348" s="380"/>
      <c r="L348" s="380"/>
      <c r="M348" s="380"/>
      <c r="N348" s="380"/>
      <c r="O348" s="380"/>
      <c r="P348" s="380"/>
      <c r="Q348" s="380"/>
      <c r="R348" s="380"/>
      <c r="S348" s="380"/>
      <c r="T348" s="381"/>
      <c r="U348" s="381"/>
    </row>
    <row r="349" spans="1:54" s="376" customFormat="1" ht="15" customHeight="1">
      <c r="C349" s="382"/>
      <c r="D349" s="378"/>
      <c r="E349" s="378"/>
      <c r="F349" s="379"/>
      <c r="G349" s="380"/>
      <c r="H349" s="380"/>
      <c r="I349" s="380"/>
      <c r="J349" s="380"/>
      <c r="K349" s="380"/>
      <c r="L349" s="380"/>
      <c r="M349" s="380"/>
      <c r="N349" s="380"/>
      <c r="O349" s="380"/>
      <c r="P349" s="380"/>
      <c r="Q349" s="380"/>
      <c r="R349" s="380"/>
      <c r="S349" s="380"/>
      <c r="T349" s="381"/>
      <c r="U349" s="381"/>
    </row>
    <row r="350" spans="1:54" s="376" customFormat="1" ht="15" customHeight="1">
      <c r="C350" s="382"/>
      <c r="D350" s="378"/>
      <c r="E350" s="378"/>
      <c r="F350" s="379"/>
      <c r="G350" s="380"/>
      <c r="H350" s="380"/>
      <c r="I350" s="380"/>
      <c r="J350" s="380"/>
      <c r="K350" s="380"/>
      <c r="L350" s="380"/>
      <c r="M350" s="380"/>
      <c r="N350" s="380"/>
      <c r="O350" s="380"/>
      <c r="P350" s="380"/>
      <c r="Q350" s="380"/>
      <c r="R350" s="380"/>
      <c r="S350" s="380"/>
      <c r="T350" s="381"/>
      <c r="U350" s="381"/>
    </row>
    <row r="351" spans="1:54" s="376" customFormat="1" ht="15" customHeight="1">
      <c r="C351" s="382"/>
      <c r="D351" s="378"/>
      <c r="E351" s="378"/>
      <c r="F351" s="379"/>
      <c r="G351" s="380"/>
      <c r="H351" s="380"/>
      <c r="I351" s="380"/>
      <c r="J351" s="380"/>
      <c r="K351" s="380"/>
      <c r="L351" s="380"/>
      <c r="M351" s="380"/>
      <c r="N351" s="380"/>
      <c r="O351" s="380"/>
      <c r="P351" s="380"/>
      <c r="Q351" s="380"/>
      <c r="R351" s="380"/>
      <c r="S351" s="380"/>
      <c r="T351" s="381"/>
      <c r="U351" s="381"/>
    </row>
    <row r="352" spans="1:54" s="376" customFormat="1" ht="15" customHeight="1">
      <c r="C352" s="382"/>
      <c r="D352" s="378"/>
      <c r="E352" s="378"/>
      <c r="F352" s="379"/>
      <c r="G352" s="380"/>
      <c r="H352" s="380"/>
      <c r="I352" s="380"/>
      <c r="J352" s="380"/>
      <c r="K352" s="380"/>
      <c r="L352" s="380"/>
      <c r="M352" s="380"/>
      <c r="N352" s="380"/>
      <c r="O352" s="380"/>
      <c r="P352" s="380"/>
      <c r="Q352" s="380"/>
      <c r="R352" s="380"/>
      <c r="S352" s="380"/>
      <c r="T352" s="381"/>
      <c r="U352" s="381"/>
    </row>
    <row r="353" spans="1:54" s="376" customFormat="1" ht="15" customHeight="1">
      <c r="C353" s="382"/>
      <c r="D353" s="378"/>
      <c r="E353" s="378"/>
      <c r="F353" s="379"/>
      <c r="G353" s="380"/>
      <c r="H353" s="380"/>
      <c r="I353" s="380"/>
      <c r="J353" s="380"/>
      <c r="K353" s="380"/>
      <c r="L353" s="380"/>
      <c r="M353" s="380"/>
      <c r="N353" s="380"/>
      <c r="O353" s="380"/>
      <c r="P353" s="380"/>
      <c r="Q353" s="380"/>
      <c r="R353" s="380"/>
      <c r="S353" s="380"/>
      <c r="T353" s="381"/>
      <c r="U353" s="381"/>
    </row>
    <row r="354" spans="1:54" s="376" customFormat="1" ht="15" customHeight="1">
      <c r="C354" s="382"/>
      <c r="D354" s="378"/>
      <c r="E354" s="378"/>
      <c r="F354" s="379"/>
      <c r="G354" s="380"/>
      <c r="H354" s="380"/>
      <c r="I354" s="380"/>
      <c r="J354" s="380"/>
      <c r="K354" s="380"/>
      <c r="L354" s="380"/>
      <c r="M354" s="380"/>
      <c r="N354" s="380"/>
      <c r="O354" s="380"/>
      <c r="P354" s="380"/>
      <c r="Q354" s="380"/>
      <c r="R354" s="380"/>
      <c r="S354" s="380"/>
      <c r="T354" s="381"/>
      <c r="U354" s="381"/>
    </row>
    <row r="355" spans="1:54" s="376" customFormat="1" ht="15" customHeight="1">
      <c r="C355" s="382"/>
      <c r="D355" s="378"/>
      <c r="E355" s="378"/>
      <c r="F355" s="379"/>
      <c r="G355" s="380"/>
      <c r="H355" s="380"/>
      <c r="I355" s="380"/>
      <c r="J355" s="380"/>
      <c r="K355" s="380"/>
      <c r="L355" s="380"/>
      <c r="M355" s="380"/>
      <c r="N355" s="380"/>
      <c r="O355" s="380"/>
      <c r="P355" s="380"/>
      <c r="Q355" s="380"/>
      <c r="R355" s="380"/>
      <c r="S355" s="380"/>
      <c r="T355" s="381"/>
      <c r="U355" s="381"/>
    </row>
    <row r="356" spans="1:54" s="376" customFormat="1" ht="15" customHeight="1">
      <c r="C356" s="382"/>
      <c r="D356" s="378"/>
      <c r="E356" s="378"/>
      <c r="F356" s="379"/>
      <c r="G356" s="380"/>
      <c r="H356" s="380"/>
      <c r="I356" s="380"/>
      <c r="J356" s="380"/>
      <c r="K356" s="380"/>
      <c r="L356" s="380"/>
      <c r="M356" s="380"/>
      <c r="N356" s="380"/>
      <c r="O356" s="380"/>
      <c r="P356" s="380"/>
      <c r="Q356" s="380"/>
      <c r="R356" s="380"/>
      <c r="S356" s="380"/>
      <c r="T356" s="381"/>
      <c r="U356" s="381"/>
    </row>
    <row r="357" spans="1:54" s="376" customFormat="1" ht="15" customHeight="1">
      <c r="C357" s="382"/>
      <c r="D357" s="378"/>
      <c r="E357" s="378"/>
      <c r="F357" s="379"/>
      <c r="G357" s="380"/>
      <c r="H357" s="380"/>
      <c r="I357" s="380"/>
      <c r="J357" s="380"/>
      <c r="K357" s="380"/>
      <c r="L357" s="380"/>
      <c r="M357" s="380"/>
      <c r="N357" s="380"/>
      <c r="O357" s="380"/>
      <c r="P357" s="380"/>
      <c r="Q357" s="380"/>
      <c r="R357" s="380"/>
      <c r="S357" s="380"/>
      <c r="T357" s="381"/>
      <c r="U357" s="381"/>
    </row>
    <row r="358" spans="1:54" s="376" customFormat="1" ht="15" customHeight="1">
      <c r="C358" s="382"/>
      <c r="D358" s="378"/>
      <c r="E358" s="378"/>
      <c r="F358" s="379"/>
      <c r="G358" s="380"/>
      <c r="H358" s="380"/>
      <c r="I358" s="380"/>
      <c r="J358" s="380"/>
      <c r="K358" s="380"/>
      <c r="L358" s="380"/>
      <c r="M358" s="380"/>
      <c r="N358" s="380"/>
      <c r="O358" s="380"/>
      <c r="P358" s="380"/>
      <c r="Q358" s="380"/>
      <c r="R358" s="380"/>
      <c r="S358" s="380"/>
      <c r="T358" s="381"/>
      <c r="U358" s="381"/>
    </row>
    <row r="359" spans="1:54" s="376" customFormat="1" ht="15" customHeight="1">
      <c r="C359" s="382"/>
      <c r="D359" s="378"/>
      <c r="E359" s="378"/>
      <c r="F359" s="379"/>
      <c r="G359" s="380"/>
      <c r="H359" s="380"/>
      <c r="I359" s="380"/>
      <c r="J359" s="380"/>
      <c r="K359" s="380"/>
      <c r="L359" s="380"/>
      <c r="M359" s="380"/>
      <c r="N359" s="380"/>
      <c r="O359" s="380"/>
      <c r="P359" s="380"/>
      <c r="Q359" s="380"/>
      <c r="R359" s="380"/>
      <c r="S359" s="380"/>
      <c r="T359" s="381"/>
      <c r="U359" s="381"/>
    </row>
    <row r="360" spans="1:54" s="376" customFormat="1" ht="15" customHeight="1">
      <c r="C360" s="382"/>
      <c r="D360" s="378"/>
      <c r="E360" s="378"/>
      <c r="F360" s="379"/>
      <c r="G360" s="380"/>
      <c r="H360" s="380"/>
      <c r="I360" s="380"/>
      <c r="J360" s="380"/>
      <c r="K360" s="380"/>
      <c r="L360" s="380"/>
      <c r="M360" s="380"/>
      <c r="N360" s="380"/>
      <c r="O360" s="380"/>
      <c r="P360" s="380"/>
      <c r="Q360" s="380"/>
      <c r="R360" s="380"/>
      <c r="S360" s="380"/>
      <c r="T360" s="381"/>
      <c r="U360" s="381"/>
    </row>
    <row r="361" spans="1:54" s="376" customFormat="1" ht="15" customHeight="1">
      <c r="C361" s="382"/>
      <c r="D361" s="378"/>
      <c r="E361" s="378"/>
      <c r="F361" s="379"/>
      <c r="G361" s="380"/>
      <c r="H361" s="380"/>
      <c r="I361" s="380"/>
      <c r="J361" s="380"/>
      <c r="K361" s="380"/>
      <c r="L361" s="380"/>
      <c r="M361" s="380"/>
      <c r="N361" s="380"/>
      <c r="O361" s="380"/>
      <c r="P361" s="380"/>
      <c r="Q361" s="380"/>
      <c r="R361" s="380"/>
      <c r="S361" s="380"/>
      <c r="T361" s="381"/>
      <c r="U361" s="381"/>
    </row>
    <row r="362" spans="1:54" s="376" customFormat="1" ht="15" customHeight="1">
      <c r="C362" s="382"/>
      <c r="D362" s="378"/>
      <c r="E362" s="378"/>
      <c r="F362" s="379"/>
      <c r="G362" s="380"/>
      <c r="H362" s="380"/>
      <c r="I362" s="380"/>
      <c r="J362" s="380"/>
      <c r="K362" s="380"/>
      <c r="L362" s="380"/>
      <c r="M362" s="380"/>
      <c r="N362" s="380"/>
      <c r="O362" s="380"/>
      <c r="P362" s="380"/>
      <c r="Q362" s="380"/>
      <c r="R362" s="380"/>
      <c r="S362" s="380"/>
      <c r="T362" s="381"/>
      <c r="U362" s="381"/>
    </row>
    <row r="363" spans="1:54" s="376" customFormat="1" ht="15" customHeight="1">
      <c r="C363" s="382"/>
      <c r="D363" s="378"/>
      <c r="E363" s="378"/>
      <c r="F363" s="379"/>
      <c r="G363" s="380"/>
      <c r="H363" s="380"/>
      <c r="I363" s="380"/>
      <c r="J363" s="380"/>
      <c r="K363" s="380"/>
      <c r="L363" s="380"/>
      <c r="M363" s="380"/>
      <c r="N363" s="380"/>
      <c r="O363" s="380"/>
      <c r="P363" s="380"/>
      <c r="Q363" s="380"/>
      <c r="R363" s="380"/>
      <c r="S363" s="380"/>
      <c r="T363" s="381"/>
      <c r="U363" s="381"/>
    </row>
    <row r="364" spans="1:54" s="376" customFormat="1" ht="15" customHeight="1">
      <c r="C364" s="382"/>
      <c r="D364" s="378"/>
      <c r="E364" s="378"/>
      <c r="F364" s="379"/>
      <c r="G364" s="380"/>
      <c r="H364" s="380"/>
      <c r="I364" s="380"/>
      <c r="J364" s="380"/>
      <c r="K364" s="380"/>
      <c r="L364" s="380"/>
      <c r="M364" s="380"/>
      <c r="N364" s="380"/>
      <c r="O364" s="380"/>
      <c r="P364" s="380"/>
      <c r="Q364" s="380"/>
      <c r="R364" s="380"/>
      <c r="S364" s="380"/>
      <c r="T364" s="381"/>
      <c r="U364" s="381"/>
    </row>
    <row r="365" spans="1:54" ht="15" customHeight="1">
      <c r="C365" s="259"/>
      <c r="D365" s="200" t="s">
        <v>374</v>
      </c>
      <c r="E365" s="200"/>
      <c r="F365" s="284"/>
      <c r="G365" s="284"/>
      <c r="H365" s="284"/>
      <c r="I365" s="284"/>
      <c r="J365" s="284"/>
      <c r="K365" s="284"/>
      <c r="L365" s="284"/>
      <c r="M365" s="284"/>
      <c r="N365" s="284"/>
      <c r="O365" s="284"/>
      <c r="P365" s="284"/>
      <c r="Q365" s="284"/>
      <c r="R365" s="284"/>
      <c r="S365" s="284"/>
      <c r="T365" s="213"/>
      <c r="U365" s="213"/>
    </row>
    <row r="366" spans="1:54" s="287" customFormat="1" ht="41.25" customHeight="1">
      <c r="A366" s="286"/>
      <c r="B366" s="314"/>
      <c r="C366" s="288"/>
      <c r="D366" s="289" t="s">
        <v>246</v>
      </c>
      <c r="E366" s="289"/>
      <c r="G366" s="389" t="str">
        <f>H6</f>
        <v>SGO SENEGAL</v>
      </c>
      <c r="H366" s="389" t="str">
        <f t="shared" ref="H366:J366" si="258">I6</f>
        <v>Royalty + CIT + SCF</v>
      </c>
      <c r="I366" s="389" t="str">
        <f t="shared" si="258"/>
        <v>Royalty + CIT + RRT</v>
      </c>
      <c r="J366" s="389" t="str">
        <f t="shared" si="258"/>
        <v>Alt1</v>
      </c>
      <c r="K366" s="291"/>
      <c r="L366" s="291"/>
      <c r="M366" s="291"/>
      <c r="N366" s="291"/>
      <c r="O366" s="291"/>
      <c r="P366" s="291"/>
      <c r="Q366" s="291"/>
      <c r="R366" s="291"/>
      <c r="S366" s="291"/>
      <c r="V366" s="291"/>
      <c r="W366" s="299"/>
      <c r="X366" s="299"/>
      <c r="Y366" s="299"/>
      <c r="Z366" s="299"/>
      <c r="AA366" s="299"/>
      <c r="AB366" s="299"/>
      <c r="AC366" s="299"/>
      <c r="AD366" s="299"/>
      <c r="AE366" s="299"/>
      <c r="AF366" s="299"/>
      <c r="AG366" s="299"/>
      <c r="AH366" s="291"/>
      <c r="AI366" s="291"/>
      <c r="AJ366" s="291"/>
      <c r="AK366" s="291"/>
      <c r="AL366" s="291"/>
      <c r="AM366" s="291"/>
      <c r="AN366" s="291"/>
      <c r="AO366" s="291"/>
      <c r="AP366" s="291"/>
      <c r="AQ366" s="291"/>
      <c r="AR366" s="291"/>
      <c r="AS366" s="291"/>
      <c r="AT366" s="291"/>
      <c r="AU366" s="291"/>
      <c r="AV366" s="291"/>
      <c r="AW366" s="291"/>
      <c r="AX366" s="291"/>
      <c r="AY366" s="291"/>
      <c r="AZ366" s="291"/>
      <c r="BA366" s="291"/>
      <c r="BB366" s="291"/>
    </row>
    <row r="367" spans="1:54" s="287" customFormat="1" ht="13">
      <c r="A367" s="286"/>
      <c r="B367" s="314"/>
      <c r="C367" s="288"/>
      <c r="D367" s="289"/>
      <c r="E367" s="289"/>
      <c r="G367" s="390">
        <f>H7</f>
        <v>1</v>
      </c>
      <c r="H367" s="390">
        <f t="shared" ref="H367:J367" si="259">I7</f>
        <v>2</v>
      </c>
      <c r="I367" s="390">
        <f t="shared" si="259"/>
        <v>3</v>
      </c>
      <c r="J367" s="390">
        <f t="shared" si="259"/>
        <v>4</v>
      </c>
      <c r="K367" s="291"/>
      <c r="L367" s="291"/>
      <c r="M367" s="291"/>
      <c r="N367" s="291"/>
      <c r="O367" s="291"/>
      <c r="P367" s="291"/>
      <c r="Q367" s="291"/>
      <c r="R367" s="291"/>
      <c r="S367" s="291"/>
      <c r="V367" s="291"/>
      <c r="W367" s="299"/>
      <c r="X367" s="299"/>
      <c r="Y367" s="299"/>
      <c r="Z367" s="299"/>
      <c r="AA367" s="299"/>
      <c r="AB367" s="299"/>
      <c r="AC367" s="299"/>
      <c r="AD367" s="299"/>
      <c r="AE367" s="299"/>
      <c r="AF367" s="299"/>
      <c r="AG367" s="299"/>
      <c r="AH367" s="291"/>
      <c r="AI367" s="291"/>
      <c r="AJ367" s="291"/>
      <c r="AK367" s="291"/>
      <c r="AL367" s="291"/>
      <c r="AM367" s="291"/>
      <c r="AN367" s="291"/>
      <c r="AO367" s="291"/>
      <c r="AP367" s="291"/>
      <c r="AQ367" s="291"/>
      <c r="AR367" s="291"/>
      <c r="AS367" s="291"/>
      <c r="AT367" s="291"/>
      <c r="AU367" s="291"/>
      <c r="AV367" s="291"/>
      <c r="AW367" s="291"/>
      <c r="AX367" s="291"/>
      <c r="AY367" s="291"/>
      <c r="AZ367" s="291"/>
      <c r="BA367" s="291"/>
      <c r="BB367" s="291"/>
    </row>
    <row r="368" spans="1:54" s="287" customFormat="1" ht="15" customHeight="1">
      <c r="A368" s="286"/>
      <c r="B368" s="314"/>
      <c r="C368" s="288"/>
      <c r="D368" s="289" t="str">
        <f>D339</f>
        <v>Signature bonus</v>
      </c>
      <c r="E368" s="289" t="s">
        <v>12</v>
      </c>
      <c r="F368" s="387">
        <f>C339</f>
        <v>0</v>
      </c>
      <c r="G368" s="311">
        <f t="dataTable" ref="G368:J375" dt2D="0" dtr="1" r1="F7"/>
        <v>0</v>
      </c>
      <c r="H368" s="311">
        <v>0</v>
      </c>
      <c r="I368" s="311">
        <v>0</v>
      </c>
      <c r="J368" s="311">
        <v>0</v>
      </c>
      <c r="K368" s="291"/>
      <c r="L368" s="291"/>
      <c r="M368" s="291"/>
      <c r="N368" s="291"/>
      <c r="O368" s="291"/>
      <c r="P368" s="291"/>
      <c r="Q368" s="291"/>
      <c r="R368" s="291"/>
      <c r="S368" s="291"/>
      <c r="V368" s="291"/>
      <c r="W368" s="299"/>
      <c r="X368" s="299"/>
      <c r="Y368" s="299"/>
      <c r="Z368" s="299"/>
      <c r="AA368" s="299"/>
      <c r="AB368" s="299"/>
      <c r="AC368" s="299"/>
      <c r="AD368" s="299"/>
      <c r="AE368" s="299"/>
      <c r="AF368" s="299"/>
      <c r="AG368" s="299"/>
      <c r="AH368" s="291"/>
      <c r="AI368" s="291"/>
      <c r="AJ368" s="291"/>
      <c r="AK368" s="291"/>
      <c r="AL368" s="291"/>
      <c r="AM368" s="291"/>
      <c r="AN368" s="291"/>
      <c r="AO368" s="291"/>
      <c r="AP368" s="291"/>
      <c r="AQ368" s="291"/>
      <c r="AR368" s="291"/>
      <c r="AS368" s="291"/>
      <c r="AT368" s="291"/>
      <c r="AU368" s="291"/>
      <c r="AV368" s="291"/>
      <c r="AW368" s="291"/>
      <c r="AX368" s="291"/>
      <c r="AY368" s="291"/>
      <c r="AZ368" s="291"/>
      <c r="BA368" s="291"/>
      <c r="BB368" s="291"/>
    </row>
    <row r="369" spans="1:54" s="287" customFormat="1" ht="15" customHeight="1">
      <c r="A369" s="286"/>
      <c r="B369" s="314"/>
      <c r="C369" s="288"/>
      <c r="D369" s="289" t="str">
        <f t="shared" ref="D369:D375" si="260">D340</f>
        <v>Royalty</v>
      </c>
      <c r="E369" s="289" t="s">
        <v>12</v>
      </c>
      <c r="F369" s="387">
        <f t="shared" ref="F369:F375" si="261">C340</f>
        <v>380</v>
      </c>
      <c r="G369" s="311">
        <v>380</v>
      </c>
      <c r="H369" s="311">
        <v>377.15</v>
      </c>
      <c r="I369" s="311">
        <v>377.15</v>
      </c>
      <c r="J369" s="311">
        <v>0</v>
      </c>
      <c r="K369" s="291"/>
      <c r="L369" s="291"/>
      <c r="M369" s="291"/>
      <c r="N369" s="291"/>
      <c r="O369" s="291"/>
      <c r="P369" s="291"/>
      <c r="Q369" s="291"/>
      <c r="R369" s="291"/>
      <c r="S369" s="291"/>
      <c r="V369" s="291"/>
      <c r="W369" s="299"/>
      <c r="X369" s="299"/>
      <c r="Y369" s="299"/>
      <c r="Z369" s="299"/>
      <c r="AA369" s="299"/>
      <c r="AB369" s="299"/>
      <c r="AC369" s="299"/>
      <c r="AD369" s="299"/>
      <c r="AE369" s="299"/>
      <c r="AF369" s="299"/>
      <c r="AG369" s="299"/>
      <c r="AH369" s="291"/>
      <c r="AI369" s="291"/>
      <c r="AJ369" s="291"/>
      <c r="AK369" s="291"/>
      <c r="AL369" s="291"/>
      <c r="AM369" s="291"/>
      <c r="AN369" s="291"/>
      <c r="AO369" s="291"/>
      <c r="AP369" s="291"/>
      <c r="AQ369" s="291"/>
      <c r="AR369" s="291"/>
      <c r="AS369" s="291"/>
      <c r="AT369" s="291"/>
      <c r="AU369" s="291"/>
      <c r="AV369" s="291"/>
      <c r="AW369" s="291"/>
      <c r="AX369" s="291"/>
      <c r="AY369" s="291"/>
      <c r="AZ369" s="291"/>
      <c r="BA369" s="291"/>
      <c r="BB369" s="291"/>
    </row>
    <row r="370" spans="1:54" s="287" customFormat="1" ht="15" customHeight="1">
      <c r="A370" s="286"/>
      <c r="B370" s="314"/>
      <c r="C370" s="288"/>
      <c r="D370" s="289" t="str">
        <f t="shared" si="260"/>
        <v>Corporate Income Tax</v>
      </c>
      <c r="E370" s="289" t="s">
        <v>12</v>
      </c>
      <c r="F370" s="387">
        <f t="shared" si="261"/>
        <v>1125.4964056294514</v>
      </c>
      <c r="G370" s="311">
        <v>1125.4964056294514</v>
      </c>
      <c r="H370" s="311">
        <v>1126.3514056294514</v>
      </c>
      <c r="I370" s="311">
        <v>1126.3514056294514</v>
      </c>
      <c r="J370" s="311">
        <v>0</v>
      </c>
      <c r="K370" s="291"/>
      <c r="L370" s="291"/>
      <c r="M370" s="291"/>
      <c r="N370" s="291"/>
      <c r="O370" s="291"/>
      <c r="P370" s="291"/>
      <c r="Q370" s="291"/>
      <c r="R370" s="291"/>
      <c r="S370" s="291"/>
      <c r="V370" s="291"/>
      <c r="W370" s="299"/>
      <c r="X370" s="299"/>
      <c r="Y370" s="299"/>
      <c r="Z370" s="299"/>
      <c r="AA370" s="299"/>
      <c r="AB370" s="299"/>
      <c r="AC370" s="299"/>
      <c r="AD370" s="299"/>
      <c r="AE370" s="299"/>
      <c r="AF370" s="299"/>
      <c r="AG370" s="299"/>
      <c r="AH370" s="291"/>
      <c r="AI370" s="291"/>
      <c r="AJ370" s="291"/>
      <c r="AK370" s="291"/>
      <c r="AL370" s="291"/>
      <c r="AM370" s="291"/>
      <c r="AN370" s="291"/>
      <c r="AO370" s="291"/>
      <c r="AP370" s="291"/>
      <c r="AQ370" s="291"/>
      <c r="AR370" s="291"/>
      <c r="AS370" s="291"/>
      <c r="AT370" s="291"/>
      <c r="AU370" s="291"/>
      <c r="AV370" s="291"/>
      <c r="AW370" s="291"/>
      <c r="AX370" s="291"/>
      <c r="AY370" s="291"/>
      <c r="AZ370" s="291"/>
      <c r="BA370" s="291"/>
      <c r="BB370" s="291"/>
    </row>
    <row r="371" spans="1:54" s="287" customFormat="1" ht="15" customHeight="1">
      <c r="A371" s="286"/>
      <c r="B371" s="314"/>
      <c r="C371" s="288"/>
      <c r="D371" s="289" t="str">
        <f t="shared" si="260"/>
        <v>Surcharge on Cash Flows</v>
      </c>
      <c r="E371" s="289" t="s">
        <v>12</v>
      </c>
      <c r="F371" s="387">
        <f t="shared" si="261"/>
        <v>0</v>
      </c>
      <c r="G371" s="311">
        <v>0</v>
      </c>
      <c r="H371" s="311">
        <v>533.49932799880526</v>
      </c>
      <c r="I371" s="311">
        <v>0</v>
      </c>
      <c r="J371" s="311">
        <v>0</v>
      </c>
      <c r="K371" s="291"/>
      <c r="L371" s="291"/>
      <c r="M371" s="291"/>
      <c r="N371" s="291"/>
      <c r="O371" s="291"/>
      <c r="P371" s="291"/>
      <c r="Q371" s="291"/>
      <c r="R371" s="291"/>
      <c r="S371" s="291"/>
      <c r="V371" s="291"/>
      <c r="W371" s="299"/>
      <c r="X371" s="299"/>
      <c r="Y371" s="299"/>
      <c r="Z371" s="299"/>
      <c r="AA371" s="299"/>
      <c r="AB371" s="299"/>
      <c r="AC371" s="299"/>
      <c r="AD371" s="299"/>
      <c r="AE371" s="299"/>
      <c r="AF371" s="299"/>
      <c r="AG371" s="299"/>
      <c r="AH371" s="291"/>
      <c r="AI371" s="291"/>
      <c r="AJ371" s="291"/>
      <c r="AK371" s="291"/>
      <c r="AL371" s="291"/>
      <c r="AM371" s="291"/>
      <c r="AN371" s="291"/>
      <c r="AO371" s="291"/>
      <c r="AP371" s="291"/>
      <c r="AQ371" s="291"/>
      <c r="AR371" s="291"/>
      <c r="AS371" s="291"/>
      <c r="AT371" s="291"/>
      <c r="AU371" s="291"/>
      <c r="AV371" s="291"/>
      <c r="AW371" s="291"/>
      <c r="AX371" s="291"/>
      <c r="AY371" s="291"/>
      <c r="AZ371" s="291"/>
      <c r="BA371" s="291"/>
      <c r="BB371" s="291"/>
    </row>
    <row r="372" spans="1:54" s="287" customFormat="1" ht="15" customHeight="1">
      <c r="A372" s="286"/>
      <c r="B372" s="314"/>
      <c r="C372" s="288"/>
      <c r="D372" s="289" t="str">
        <f t="shared" si="260"/>
        <v>Resource Rent Tax</v>
      </c>
      <c r="E372" s="289" t="s">
        <v>12</v>
      </c>
      <c r="F372" s="387">
        <f t="shared" si="261"/>
        <v>0</v>
      </c>
      <c r="G372" s="311">
        <v>0</v>
      </c>
      <c r="H372" s="311">
        <v>0</v>
      </c>
      <c r="I372" s="311">
        <v>520.53277667239229</v>
      </c>
      <c r="J372" s="311">
        <v>0</v>
      </c>
      <c r="K372" s="291"/>
      <c r="L372" s="291"/>
      <c r="M372" s="291"/>
      <c r="N372" s="291"/>
      <c r="O372" s="291"/>
      <c r="P372" s="291"/>
      <c r="Q372" s="291"/>
      <c r="R372" s="291"/>
      <c r="S372" s="291"/>
      <c r="V372" s="291"/>
      <c r="W372" s="299"/>
      <c r="X372" s="299"/>
      <c r="Y372" s="299"/>
      <c r="Z372" s="299"/>
      <c r="AA372" s="299"/>
      <c r="AB372" s="299"/>
      <c r="AC372" s="299"/>
      <c r="AD372" s="299"/>
      <c r="AE372" s="299"/>
      <c r="AF372" s="299"/>
      <c r="AG372" s="299"/>
      <c r="AH372" s="291"/>
      <c r="AI372" s="291"/>
      <c r="AJ372" s="291"/>
      <c r="AK372" s="291"/>
      <c r="AL372" s="291"/>
      <c r="AM372" s="291"/>
      <c r="AN372" s="291"/>
      <c r="AO372" s="291"/>
      <c r="AP372" s="291"/>
      <c r="AQ372" s="291"/>
      <c r="AR372" s="291"/>
      <c r="AS372" s="291"/>
      <c r="AT372" s="291"/>
      <c r="AU372" s="291"/>
      <c r="AV372" s="291"/>
      <c r="AW372" s="291"/>
      <c r="AX372" s="291"/>
      <c r="AY372" s="291"/>
      <c r="AZ372" s="291"/>
      <c r="BA372" s="291"/>
      <c r="BB372" s="291"/>
    </row>
    <row r="373" spans="1:54" s="287" customFormat="1" ht="15" customHeight="1">
      <c r="A373" s="286"/>
      <c r="B373" s="314"/>
      <c r="C373" s="288"/>
      <c r="D373" s="289" t="str">
        <f t="shared" si="260"/>
        <v>State participation</v>
      </c>
      <c r="E373" s="289" t="s">
        <v>12</v>
      </c>
      <c r="F373" s="387">
        <f t="shared" si="261"/>
        <v>263.19799407066978</v>
      </c>
      <c r="G373" s="311">
        <v>263.19799407066978</v>
      </c>
      <c r="H373" s="311">
        <v>210.04756127078929</v>
      </c>
      <c r="I373" s="311">
        <v>211.34421640343061</v>
      </c>
      <c r="J373" s="311">
        <v>0</v>
      </c>
      <c r="K373" s="291"/>
      <c r="L373" s="291"/>
      <c r="M373" s="291"/>
      <c r="N373" s="291"/>
      <c r="O373" s="291"/>
      <c r="P373" s="291"/>
      <c r="Q373" s="291"/>
      <c r="R373" s="291"/>
      <c r="S373" s="291"/>
      <c r="V373" s="291"/>
      <c r="W373" s="299"/>
      <c r="X373" s="299"/>
      <c r="Y373" s="299"/>
      <c r="Z373" s="299"/>
      <c r="AA373" s="299"/>
      <c r="AB373" s="299"/>
      <c r="AC373" s="299"/>
      <c r="AD373" s="299"/>
      <c r="AE373" s="299"/>
      <c r="AF373" s="299"/>
      <c r="AG373" s="299"/>
      <c r="AH373" s="291"/>
      <c r="AI373" s="291"/>
      <c r="AJ373" s="291"/>
      <c r="AK373" s="291"/>
      <c r="AL373" s="291"/>
      <c r="AM373" s="291"/>
      <c r="AN373" s="291"/>
      <c r="AO373" s="291"/>
      <c r="AP373" s="291"/>
      <c r="AQ373" s="291"/>
      <c r="AR373" s="291"/>
      <c r="AS373" s="291"/>
      <c r="AT373" s="291"/>
      <c r="AU373" s="291"/>
      <c r="AV373" s="291"/>
      <c r="AW373" s="291"/>
      <c r="AX373" s="291"/>
      <c r="AY373" s="291"/>
      <c r="AZ373" s="291"/>
      <c r="BA373" s="291"/>
      <c r="BB373" s="291"/>
    </row>
    <row r="374" spans="1:54" s="287" customFormat="1" ht="15" customHeight="1">
      <c r="A374" s="286"/>
      <c r="B374" s="314"/>
      <c r="C374" s="288"/>
      <c r="D374" s="289" t="str">
        <f t="shared" si="260"/>
        <v>Dividend Withholding Tax</v>
      </c>
      <c r="E374" s="289" t="s">
        <v>12</v>
      </c>
      <c r="F374" s="387">
        <f t="shared" si="261"/>
        <v>236.87819466360284</v>
      </c>
      <c r="G374" s="311">
        <v>236.87819466360284</v>
      </c>
      <c r="H374" s="311">
        <v>189.04280514371035</v>
      </c>
      <c r="I374" s="311">
        <v>190.20979476308753</v>
      </c>
      <c r="J374" s="311">
        <v>418.99665744535406</v>
      </c>
      <c r="K374" s="291"/>
      <c r="L374" s="291"/>
      <c r="M374" s="291"/>
      <c r="N374" s="291"/>
      <c r="O374" s="291"/>
      <c r="P374" s="291"/>
      <c r="Q374" s="291"/>
      <c r="R374" s="291"/>
      <c r="S374" s="291"/>
      <c r="V374" s="291"/>
      <c r="W374" s="299"/>
      <c r="X374" s="299"/>
      <c r="Y374" s="299"/>
      <c r="Z374" s="299"/>
      <c r="AA374" s="299"/>
      <c r="AB374" s="299"/>
      <c r="AC374" s="299"/>
      <c r="AD374" s="299"/>
      <c r="AE374" s="299"/>
      <c r="AF374" s="299"/>
      <c r="AG374" s="299"/>
      <c r="AH374" s="291"/>
      <c r="AI374" s="291"/>
      <c r="AJ374" s="291"/>
      <c r="AK374" s="291"/>
      <c r="AL374" s="291"/>
      <c r="AM374" s="291"/>
      <c r="AN374" s="291"/>
      <c r="AO374" s="291"/>
      <c r="AP374" s="291"/>
      <c r="AQ374" s="291"/>
      <c r="AR374" s="291"/>
      <c r="AS374" s="291"/>
      <c r="AT374" s="291"/>
      <c r="AU374" s="291"/>
      <c r="AV374" s="291"/>
      <c r="AW374" s="291"/>
      <c r="AX374" s="291"/>
      <c r="AY374" s="291"/>
      <c r="AZ374" s="291"/>
      <c r="BA374" s="291"/>
      <c r="BB374" s="291"/>
    </row>
    <row r="375" spans="1:54" s="287" customFormat="1" ht="15" customHeight="1">
      <c r="A375" s="286"/>
      <c r="B375" s="314"/>
      <c r="C375" s="288"/>
      <c r="D375" s="289" t="str">
        <f t="shared" si="260"/>
        <v>Total government revenue</v>
      </c>
      <c r="E375" s="289" t="s">
        <v>12</v>
      </c>
      <c r="F375" s="387">
        <f t="shared" si="261"/>
        <v>2005.5725943637244</v>
      </c>
      <c r="G375" s="388">
        <v>2005.5725943637244</v>
      </c>
      <c r="H375" s="388">
        <v>2436.0911000427564</v>
      </c>
      <c r="I375" s="388">
        <v>2425.5881934683616</v>
      </c>
      <c r="J375" s="388">
        <v>418.99665744535406</v>
      </c>
      <c r="K375" s="291"/>
      <c r="L375" s="291"/>
      <c r="M375" s="291"/>
      <c r="N375" s="291"/>
      <c r="O375" s="291"/>
      <c r="P375" s="291"/>
      <c r="Q375" s="291"/>
      <c r="R375" s="291"/>
      <c r="S375" s="291"/>
      <c r="V375" s="291"/>
      <c r="W375" s="299"/>
      <c r="X375" s="299"/>
      <c r="Y375" s="299"/>
      <c r="Z375" s="299"/>
      <c r="AA375" s="299"/>
      <c r="AB375" s="299"/>
      <c r="AC375" s="299"/>
      <c r="AD375" s="299"/>
      <c r="AE375" s="299"/>
      <c r="AF375" s="299"/>
      <c r="AG375" s="299"/>
      <c r="AH375" s="291"/>
      <c r="AI375" s="291"/>
      <c r="AJ375" s="291"/>
      <c r="AK375" s="291"/>
      <c r="AL375" s="291"/>
      <c r="AM375" s="291"/>
      <c r="AN375" s="291"/>
      <c r="AO375" s="291"/>
      <c r="AP375" s="291"/>
      <c r="AQ375" s="291"/>
      <c r="AR375" s="291"/>
      <c r="AS375" s="291"/>
      <c r="AT375" s="291"/>
      <c r="AU375" s="291"/>
      <c r="AV375" s="291"/>
      <c r="AW375" s="291"/>
      <c r="AX375" s="291"/>
      <c r="AY375" s="291"/>
      <c r="AZ375" s="291"/>
      <c r="BA375" s="291"/>
      <c r="BB375" s="291"/>
    </row>
    <row r="376" spans="1:54" s="376" customFormat="1" ht="15" customHeight="1">
      <c r="C376" s="382"/>
      <c r="D376" s="378"/>
      <c r="E376" s="378"/>
      <c r="F376" s="379"/>
      <c r="G376" s="380"/>
      <c r="H376" s="380"/>
      <c r="I376" s="380"/>
      <c r="J376" s="380"/>
      <c r="K376" s="380"/>
      <c r="L376" s="380"/>
      <c r="M376" s="380"/>
      <c r="N376" s="380"/>
      <c r="O376" s="380"/>
      <c r="P376" s="380"/>
      <c r="Q376" s="380"/>
      <c r="R376" s="380"/>
      <c r="S376" s="380"/>
      <c r="T376" s="381"/>
      <c r="U376" s="381"/>
    </row>
    <row r="377" spans="1:54" ht="15" customHeight="1">
      <c r="C377" s="259"/>
      <c r="D377" s="200" t="s">
        <v>363</v>
      </c>
      <c r="E377" s="200"/>
      <c r="F377" s="284"/>
      <c r="G377" s="284"/>
      <c r="H377" s="284"/>
      <c r="I377" s="284"/>
      <c r="J377" s="284"/>
      <c r="K377" s="284"/>
      <c r="L377" s="284"/>
      <c r="M377" s="284"/>
      <c r="N377" s="284"/>
      <c r="O377" s="284"/>
      <c r="P377" s="284"/>
      <c r="Q377" s="284"/>
      <c r="R377" s="284"/>
      <c r="S377" s="284"/>
      <c r="T377" s="213"/>
      <c r="U377" s="213"/>
    </row>
    <row r="378" spans="1:54" s="372" customFormat="1" ht="15" customHeight="1">
      <c r="C378" s="267">
        <f>SUM(G378:S378)</f>
        <v>2005.5725943637244</v>
      </c>
      <c r="D378" s="384" t="s">
        <v>244</v>
      </c>
      <c r="E378" s="384" t="s">
        <v>12</v>
      </c>
      <c r="F378" s="385"/>
      <c r="G378" s="246">
        <f>G346</f>
        <v>0</v>
      </c>
      <c r="H378" s="246">
        <f t="shared" ref="H378:S378" si="262">H346</f>
        <v>0</v>
      </c>
      <c r="I378" s="246">
        <f t="shared" si="262"/>
        <v>96.46149115584987</v>
      </c>
      <c r="J378" s="246">
        <f t="shared" si="262"/>
        <v>209.03020392102616</v>
      </c>
      <c r="K378" s="246">
        <f t="shared" si="262"/>
        <v>209.75220383164771</v>
      </c>
      <c r="L378" s="246">
        <f t="shared" si="262"/>
        <v>210.4979214098137</v>
      </c>
      <c r="M378" s="246">
        <f t="shared" si="262"/>
        <v>211.26954282021705</v>
      </c>
      <c r="N378" s="246">
        <f t="shared" si="262"/>
        <v>218.25789999999998</v>
      </c>
      <c r="O378" s="246">
        <f t="shared" si="262"/>
        <v>212.73715000000001</v>
      </c>
      <c r="P378" s="246">
        <f t="shared" si="262"/>
        <v>212.70106666666666</v>
      </c>
      <c r="Q378" s="246">
        <f t="shared" si="262"/>
        <v>212.59352418300648</v>
      </c>
      <c r="R378" s="246">
        <f t="shared" si="262"/>
        <v>212.27159037549657</v>
      </c>
      <c r="S378" s="246">
        <f t="shared" si="262"/>
        <v>0</v>
      </c>
      <c r="T378" s="386"/>
      <c r="U378" s="386"/>
    </row>
    <row r="379" spans="1:54" ht="15" customHeight="1">
      <c r="C379" s="267">
        <f>SUM(G379:S379)</f>
        <v>2005.5725943637244</v>
      </c>
      <c r="D379" s="461" t="str">
        <f>H6</f>
        <v>SGO SENEGAL</v>
      </c>
      <c r="E379" s="202" t="s">
        <v>12</v>
      </c>
      <c r="F379" s="308">
        <v>1</v>
      </c>
      <c r="G379" s="246">
        <f t="dataTable" ref="G379:S382" dt2D="0" dtr="0" r1="F7" ca="1"/>
        <v>0</v>
      </c>
      <c r="H379" s="246">
        <v>0</v>
      </c>
      <c r="I379" s="246">
        <v>96.46149115584987</v>
      </c>
      <c r="J379" s="246">
        <v>209.03020392102616</v>
      </c>
      <c r="K379" s="246">
        <v>209.75220383164771</v>
      </c>
      <c r="L379" s="246">
        <v>210.4979214098137</v>
      </c>
      <c r="M379" s="246">
        <v>211.26954282021705</v>
      </c>
      <c r="N379" s="246">
        <v>218.25789999999998</v>
      </c>
      <c r="O379" s="246">
        <v>212.73715000000001</v>
      </c>
      <c r="P379" s="246">
        <v>212.70106666666666</v>
      </c>
      <c r="Q379" s="246">
        <v>212.59352418300648</v>
      </c>
      <c r="R379" s="246">
        <v>212.27159037549657</v>
      </c>
      <c r="S379" s="246">
        <v>0</v>
      </c>
    </row>
    <row r="380" spans="1:54" ht="15" customHeight="1">
      <c r="C380" s="267">
        <f t="shared" ref="C380:C382" si="263">SUM(G380:S380)</f>
        <v>2436.0911000427564</v>
      </c>
      <c r="D380" s="461" t="str">
        <f>I6</f>
        <v>Royalty + CIT + SCF</v>
      </c>
      <c r="E380" s="202" t="s">
        <v>12</v>
      </c>
      <c r="F380" s="308">
        <f>F379+1</f>
        <v>2</v>
      </c>
      <c r="G380" s="246">
        <v>0</v>
      </c>
      <c r="H380" s="246">
        <v>0</v>
      </c>
      <c r="I380" s="246">
        <v>107.92709017315089</v>
      </c>
      <c r="J380" s="246">
        <v>256.61516019140515</v>
      </c>
      <c r="K380" s="246">
        <v>257.21902927569488</v>
      </c>
      <c r="L380" s="246">
        <v>257.84135741253397</v>
      </c>
      <c r="M380" s="246">
        <v>258.4839036333139</v>
      </c>
      <c r="N380" s="246">
        <v>265.33704399999999</v>
      </c>
      <c r="O380" s="246">
        <v>258.37044399999996</v>
      </c>
      <c r="P380" s="246">
        <v>258.32491066666665</v>
      </c>
      <c r="Q380" s="246">
        <v>258.18920347712418</v>
      </c>
      <c r="R380" s="246">
        <v>257.78295721286679</v>
      </c>
      <c r="S380" s="246">
        <v>0</v>
      </c>
    </row>
    <row r="381" spans="1:54" ht="15" customHeight="1">
      <c r="C381" s="267">
        <f t="shared" si="263"/>
        <v>2425.5881934683616</v>
      </c>
      <c r="D381" s="461" t="str">
        <f>J6</f>
        <v>Royalty + CIT + RRT</v>
      </c>
      <c r="E381" s="202" t="s">
        <v>12</v>
      </c>
      <c r="F381" s="308">
        <f>F380+1</f>
        <v>3</v>
      </c>
      <c r="G381" s="246">
        <v>0</v>
      </c>
      <c r="H381" s="246">
        <v>0</v>
      </c>
      <c r="I381" s="246">
        <v>97.424183598756429</v>
      </c>
      <c r="J381" s="246">
        <v>256.61516019140515</v>
      </c>
      <c r="K381" s="246">
        <v>257.21902927569488</v>
      </c>
      <c r="L381" s="246">
        <v>257.84135741253397</v>
      </c>
      <c r="M381" s="246">
        <v>258.4839036333139</v>
      </c>
      <c r="N381" s="246">
        <v>265.33704399999999</v>
      </c>
      <c r="O381" s="246">
        <v>258.37044399999996</v>
      </c>
      <c r="P381" s="246">
        <v>258.32491066666665</v>
      </c>
      <c r="Q381" s="246">
        <v>258.18920347712418</v>
      </c>
      <c r="R381" s="246">
        <v>257.78295721286679</v>
      </c>
      <c r="S381" s="246">
        <v>0</v>
      </c>
    </row>
    <row r="382" spans="1:54" ht="15" customHeight="1">
      <c r="C382" s="267">
        <f t="shared" si="263"/>
        <v>418.99665744535406</v>
      </c>
      <c r="D382" s="461" t="str">
        <f>K6</f>
        <v>Alt1</v>
      </c>
      <c r="E382" s="202" t="s">
        <v>12</v>
      </c>
      <c r="F382" s="308">
        <f>F381+1</f>
        <v>4</v>
      </c>
      <c r="G382" s="246">
        <v>0</v>
      </c>
      <c r="H382" s="246">
        <v>0</v>
      </c>
      <c r="I382" s="246">
        <v>23.819665532763832</v>
      </c>
      <c r="J382" s="246">
        <v>41.904402775221719</v>
      </c>
      <c r="K382" s="246">
        <v>41.973532132570313</v>
      </c>
      <c r="L382" s="246">
        <v>42.041306012323837</v>
      </c>
      <c r="M382" s="246">
        <v>42.107750992474351</v>
      </c>
      <c r="N382" s="246">
        <v>45.43</v>
      </c>
      <c r="O382" s="246">
        <v>45.430000000000007</v>
      </c>
      <c r="P382" s="246">
        <v>45.429999999999993</v>
      </c>
      <c r="Q382" s="246">
        <v>45.43</v>
      </c>
      <c r="R382" s="246">
        <v>45.429999999999993</v>
      </c>
      <c r="S382" s="246">
        <v>0</v>
      </c>
    </row>
    <row r="383" spans="1:54" ht="15" customHeight="1">
      <c r="C383" s="267"/>
      <c r="F383" s="308"/>
      <c r="G383" s="246"/>
      <c r="H383" s="246"/>
      <c r="I383" s="246"/>
      <c r="J383" s="246"/>
      <c r="K383" s="246"/>
      <c r="L383" s="246"/>
      <c r="M383" s="246"/>
      <c r="N383" s="246"/>
      <c r="O383" s="246"/>
      <c r="P383" s="246"/>
      <c r="Q383" s="246"/>
      <c r="R383" s="246"/>
      <c r="S383" s="246"/>
    </row>
    <row r="384" spans="1:54" ht="15" customHeight="1">
      <c r="C384" s="267"/>
      <c r="F384" s="308"/>
      <c r="G384" s="246"/>
      <c r="H384" s="246"/>
      <c r="I384" s="246"/>
      <c r="J384" s="246"/>
      <c r="K384" s="246"/>
      <c r="L384" s="246"/>
      <c r="M384" s="246"/>
      <c r="N384" s="246"/>
      <c r="O384" s="246"/>
      <c r="P384" s="246"/>
      <c r="Q384" s="246"/>
      <c r="R384" s="246"/>
      <c r="S384" s="246"/>
    </row>
    <row r="385" spans="3:19" ht="15" customHeight="1">
      <c r="C385" s="267"/>
      <c r="F385" s="308"/>
      <c r="G385" s="246"/>
      <c r="H385" s="246"/>
      <c r="I385" s="246"/>
      <c r="J385" s="246"/>
      <c r="K385" s="246"/>
      <c r="L385" s="246"/>
      <c r="M385" s="246"/>
      <c r="N385" s="246"/>
      <c r="O385" s="246"/>
      <c r="P385" s="246"/>
      <c r="Q385" s="246"/>
      <c r="R385" s="246"/>
      <c r="S385" s="246"/>
    </row>
    <row r="386" spans="3:19" ht="15" customHeight="1">
      <c r="C386" s="267"/>
      <c r="F386" s="308"/>
      <c r="G386" s="246"/>
      <c r="H386" s="246"/>
      <c r="I386" s="246"/>
      <c r="J386" s="246"/>
      <c r="K386" s="246"/>
      <c r="L386" s="246"/>
      <c r="M386" s="246"/>
      <c r="N386" s="246"/>
      <c r="O386" s="246"/>
      <c r="P386" s="246"/>
      <c r="Q386" s="246"/>
      <c r="R386" s="246"/>
      <c r="S386" s="246"/>
    </row>
    <row r="387" spans="3:19" ht="15" customHeight="1">
      <c r="C387" s="267"/>
      <c r="F387" s="308"/>
      <c r="G387" s="246"/>
      <c r="H387" s="246"/>
      <c r="I387" s="246"/>
      <c r="J387" s="246"/>
      <c r="K387" s="246"/>
      <c r="L387" s="246"/>
      <c r="M387" s="246"/>
      <c r="N387" s="246"/>
      <c r="O387" s="246"/>
      <c r="P387" s="246"/>
      <c r="Q387" s="246"/>
      <c r="R387" s="246"/>
      <c r="S387" s="246"/>
    </row>
    <row r="388" spans="3:19" ht="15" customHeight="1">
      <c r="C388" s="267"/>
      <c r="F388" s="308"/>
      <c r="G388" s="246"/>
      <c r="H388" s="246"/>
      <c r="I388" s="246"/>
      <c r="J388" s="246"/>
      <c r="K388" s="246"/>
      <c r="L388" s="246"/>
      <c r="M388" s="246"/>
      <c r="N388" s="246"/>
      <c r="O388" s="246"/>
      <c r="P388" s="246"/>
      <c r="Q388" s="246"/>
      <c r="R388" s="246"/>
      <c r="S388" s="246"/>
    </row>
    <row r="389" spans="3:19" ht="15" customHeight="1">
      <c r="C389" s="267"/>
      <c r="F389" s="308"/>
      <c r="G389" s="246"/>
      <c r="H389" s="246"/>
      <c r="I389" s="246"/>
      <c r="J389" s="246"/>
      <c r="K389" s="246"/>
      <c r="L389" s="246"/>
      <c r="M389" s="246"/>
      <c r="N389" s="246"/>
      <c r="O389" s="246"/>
      <c r="P389" s="246"/>
      <c r="Q389" s="246"/>
      <c r="R389" s="246"/>
      <c r="S389" s="246"/>
    </row>
    <row r="390" spans="3:19" ht="15" customHeight="1">
      <c r="C390" s="267"/>
      <c r="F390" s="308"/>
      <c r="G390" s="246"/>
      <c r="H390" s="246"/>
      <c r="I390" s="246"/>
      <c r="J390" s="246"/>
      <c r="K390" s="246"/>
      <c r="L390" s="246"/>
      <c r="M390" s="246"/>
      <c r="N390" s="246"/>
      <c r="O390" s="246"/>
      <c r="P390" s="246"/>
      <c r="Q390" s="246"/>
      <c r="R390" s="246"/>
      <c r="S390" s="246"/>
    </row>
    <row r="391" spans="3:19" ht="15" customHeight="1">
      <c r="C391" s="267"/>
      <c r="F391" s="308"/>
      <c r="G391" s="246"/>
      <c r="H391" s="246"/>
      <c r="I391" s="246"/>
      <c r="J391" s="246"/>
      <c r="K391" s="246"/>
      <c r="L391" s="246"/>
      <c r="M391" s="246"/>
      <c r="N391" s="246"/>
      <c r="O391" s="246"/>
      <c r="P391" s="246"/>
      <c r="Q391" s="246"/>
      <c r="R391" s="246"/>
      <c r="S391" s="246"/>
    </row>
    <row r="392" spans="3:19" ht="15" customHeight="1">
      <c r="C392" s="267"/>
      <c r="F392" s="308"/>
      <c r="G392" s="246"/>
      <c r="H392" s="246"/>
      <c r="I392" s="246"/>
      <c r="J392" s="246"/>
      <c r="K392" s="246"/>
      <c r="L392" s="246"/>
      <c r="M392" s="246"/>
      <c r="N392" s="246"/>
      <c r="O392" s="246"/>
      <c r="P392" s="246"/>
      <c r="Q392" s="246"/>
      <c r="R392" s="246"/>
      <c r="S392" s="246"/>
    </row>
    <row r="393" spans="3:19" ht="15" customHeight="1">
      <c r="C393" s="267"/>
      <c r="F393" s="308"/>
      <c r="G393" s="246"/>
      <c r="H393" s="246"/>
      <c r="I393" s="246"/>
      <c r="J393" s="246"/>
      <c r="K393" s="246"/>
      <c r="L393" s="246"/>
      <c r="M393" s="246"/>
      <c r="N393" s="246"/>
      <c r="O393" s="246"/>
      <c r="P393" s="246"/>
      <c r="Q393" s="246"/>
      <c r="R393" s="246"/>
      <c r="S393" s="246"/>
    </row>
    <row r="394" spans="3:19" ht="15" customHeight="1">
      <c r="C394" s="267"/>
      <c r="F394" s="308"/>
      <c r="G394" s="246"/>
      <c r="H394" s="246"/>
      <c r="I394" s="246"/>
      <c r="J394" s="246"/>
      <c r="K394" s="246"/>
      <c r="L394" s="246"/>
      <c r="M394" s="246"/>
      <c r="N394" s="246"/>
      <c r="O394" s="246"/>
      <c r="P394" s="246"/>
      <c r="Q394" s="246"/>
      <c r="R394" s="246"/>
      <c r="S394" s="246"/>
    </row>
    <row r="395" spans="3:19" ht="15" customHeight="1">
      <c r="C395" s="267"/>
      <c r="F395" s="308"/>
      <c r="G395" s="246"/>
      <c r="H395" s="246"/>
      <c r="I395" s="246"/>
      <c r="J395" s="246"/>
      <c r="K395" s="246"/>
      <c r="L395" s="246"/>
      <c r="M395" s="246"/>
      <c r="N395" s="246"/>
      <c r="O395" s="246"/>
      <c r="P395" s="246"/>
      <c r="Q395" s="246"/>
      <c r="R395" s="246"/>
      <c r="S395" s="246"/>
    </row>
    <row r="396" spans="3:19" ht="15" customHeight="1">
      <c r="C396" s="267"/>
      <c r="F396" s="308"/>
      <c r="G396" s="246"/>
      <c r="H396" s="246"/>
      <c r="I396" s="246"/>
      <c r="J396" s="246"/>
      <c r="K396" s="246"/>
      <c r="L396" s="246"/>
      <c r="M396" s="246"/>
      <c r="N396" s="246"/>
      <c r="O396" s="246"/>
      <c r="P396" s="246"/>
      <c r="Q396" s="246"/>
      <c r="R396" s="246"/>
      <c r="S396" s="246"/>
    </row>
    <row r="397" spans="3:19" ht="15" customHeight="1">
      <c r="C397" s="267"/>
      <c r="F397" s="308"/>
      <c r="G397" s="246"/>
      <c r="H397" s="246"/>
      <c r="I397" s="246"/>
      <c r="J397" s="246"/>
      <c r="K397" s="246"/>
      <c r="L397" s="246"/>
      <c r="M397" s="246"/>
      <c r="N397" s="246"/>
      <c r="O397" s="246"/>
      <c r="P397" s="246"/>
      <c r="Q397" s="246"/>
      <c r="R397" s="246"/>
      <c r="S397" s="246"/>
    </row>
    <row r="398" spans="3:19" ht="15" customHeight="1">
      <c r="C398" s="267"/>
      <c r="F398" s="308"/>
      <c r="G398" s="246"/>
      <c r="H398" s="246"/>
      <c r="I398" s="246"/>
      <c r="J398" s="246"/>
      <c r="K398" s="246"/>
      <c r="L398" s="246"/>
      <c r="M398" s="246"/>
      <c r="N398" s="246"/>
      <c r="O398" s="246"/>
      <c r="P398" s="246"/>
      <c r="Q398" s="246"/>
      <c r="R398" s="246"/>
      <c r="S398" s="246"/>
    </row>
    <row r="399" spans="3:19" ht="15" customHeight="1">
      <c r="C399" s="267"/>
      <c r="F399" s="308"/>
      <c r="G399" s="246"/>
      <c r="H399" s="246"/>
      <c r="I399" s="246"/>
      <c r="J399" s="246"/>
      <c r="K399" s="246"/>
      <c r="L399" s="246"/>
      <c r="M399" s="246"/>
      <c r="N399" s="246"/>
      <c r="O399" s="246"/>
      <c r="P399" s="246"/>
      <c r="Q399" s="246"/>
      <c r="R399" s="246"/>
      <c r="S399" s="246"/>
    </row>
    <row r="400" spans="3:19" ht="15" customHeight="1">
      <c r="C400" s="267"/>
      <c r="F400" s="308"/>
      <c r="G400" s="246"/>
      <c r="H400" s="246"/>
      <c r="I400" s="246"/>
      <c r="J400" s="246"/>
      <c r="K400" s="246"/>
      <c r="L400" s="246"/>
      <c r="M400" s="246"/>
      <c r="N400" s="246"/>
      <c r="O400" s="246"/>
      <c r="P400" s="246"/>
      <c r="Q400" s="246"/>
      <c r="R400" s="246"/>
      <c r="S400" s="246"/>
    </row>
    <row r="401" spans="1:54" ht="15" customHeight="1">
      <c r="C401" s="391"/>
      <c r="D401" s="200" t="str">
        <f>"Average Effective Tax Rate (AETR) - selected regime: "&amp;F6</f>
        <v>Average Effective Tax Rate (AETR) - selected regime: SGO SENEGAL</v>
      </c>
      <c r="E401" s="200"/>
      <c r="F401" s="284"/>
      <c r="G401" s="284"/>
      <c r="H401" s="284"/>
      <c r="I401" s="284"/>
      <c r="J401" s="284"/>
      <c r="K401" s="284"/>
      <c r="L401" s="284"/>
      <c r="M401" s="284"/>
      <c r="N401" s="284"/>
      <c r="O401" s="284"/>
      <c r="P401" s="284"/>
      <c r="Q401" s="284"/>
      <c r="R401" s="284"/>
      <c r="S401" s="284"/>
      <c r="T401" s="213"/>
      <c r="U401" s="213"/>
    </row>
    <row r="402" spans="1:54" ht="15" customHeight="1">
      <c r="C402" s="383"/>
      <c r="D402" s="202" t="s">
        <v>365</v>
      </c>
      <c r="E402" s="202" t="s">
        <v>17</v>
      </c>
      <c r="F402" s="308"/>
      <c r="G402" s="313">
        <f>G$324</f>
        <v>0</v>
      </c>
      <c r="H402" s="313">
        <f t="shared" ref="H402:J402" si="264">H$324</f>
        <v>0.1</v>
      </c>
      <c r="I402" s="313">
        <f t="shared" si="264"/>
        <v>0.125</v>
      </c>
      <c r="J402" s="313">
        <f t="shared" si="264"/>
        <v>0.15</v>
      </c>
      <c r="K402" s="246"/>
      <c r="L402" s="246"/>
      <c r="M402" s="246"/>
      <c r="N402" s="246"/>
      <c r="O402" s="246"/>
      <c r="P402" s="246"/>
      <c r="Q402" s="246"/>
      <c r="R402" s="246"/>
      <c r="S402" s="246"/>
    </row>
    <row r="403" spans="1:54" ht="15" customHeight="1">
      <c r="C403" s="267"/>
      <c r="D403" s="202" t="s">
        <v>361</v>
      </c>
      <c r="E403" s="202" t="s">
        <v>12</v>
      </c>
      <c r="F403" s="308"/>
      <c r="G403" s="393">
        <f>G$326</f>
        <v>2005.5725943637244</v>
      </c>
      <c r="H403" s="393">
        <f t="shared" ref="H403:J403" si="265">H$326</f>
        <v>1087.8042848310283</v>
      </c>
      <c r="I403" s="393">
        <f t="shared" si="265"/>
        <v>950.86816023035681</v>
      </c>
      <c r="J403" s="393">
        <f t="shared" si="265"/>
        <v>836.53283036623759</v>
      </c>
      <c r="K403" s="246"/>
      <c r="L403" s="246"/>
      <c r="M403" s="246"/>
      <c r="N403" s="246"/>
      <c r="O403" s="246"/>
      <c r="P403" s="246"/>
      <c r="Q403" s="246"/>
      <c r="R403" s="246"/>
      <c r="S403" s="246"/>
    </row>
    <row r="404" spans="1:54" ht="15" customHeight="1">
      <c r="C404" s="267"/>
      <c r="D404" s="202" t="s">
        <v>366</v>
      </c>
      <c r="E404" s="202" t="s">
        <v>12</v>
      </c>
      <c r="G404" s="250">
        <f>G325</f>
        <v>4161.0000000000009</v>
      </c>
      <c r="H404" s="250">
        <f t="shared" ref="H404:J404" si="266">H325</f>
        <v>2191.6837646796052</v>
      </c>
      <c r="I404" s="250">
        <f t="shared" si="266"/>
        <v>1893.9013560020999</v>
      </c>
      <c r="J404" s="250">
        <f t="shared" si="266"/>
        <v>1644.0255874694287</v>
      </c>
      <c r="K404" s="267"/>
      <c r="L404" s="267"/>
      <c r="M404" s="267"/>
      <c r="N404" s="267"/>
      <c r="O404" s="267"/>
      <c r="P404" s="267"/>
      <c r="Q404" s="267"/>
      <c r="R404" s="267"/>
      <c r="S404" s="267"/>
    </row>
    <row r="405" spans="1:54" s="198" customFormat="1" ht="15" customHeight="1">
      <c r="A405" s="392"/>
      <c r="C405" s="383"/>
      <c r="D405" s="394" t="s">
        <v>25</v>
      </c>
      <c r="E405" s="394" t="s">
        <v>17</v>
      </c>
      <c r="F405" s="394"/>
      <c r="G405" s="395">
        <f>G403/G404</f>
        <v>0.48199293303622304</v>
      </c>
      <c r="H405" s="395">
        <f t="shared" ref="H405:J405" si="267">H403/H404</f>
        <v>0.49633268373918477</v>
      </c>
      <c r="I405" s="395">
        <f t="shared" si="267"/>
        <v>0.50206847216033279</v>
      </c>
      <c r="J405" s="395">
        <f t="shared" si="267"/>
        <v>0.50883200160763509</v>
      </c>
      <c r="K405" s="377"/>
      <c r="L405" s="377"/>
      <c r="M405" s="377"/>
      <c r="N405" s="377"/>
      <c r="O405" s="377"/>
      <c r="P405" s="377"/>
      <c r="Q405" s="377"/>
      <c r="R405" s="377"/>
      <c r="S405" s="377"/>
    </row>
    <row r="406" spans="1:54" ht="15" customHeight="1">
      <c r="G406" s="267"/>
    </row>
    <row r="407" spans="1:54" ht="15" customHeight="1">
      <c r="C407" s="391"/>
      <c r="D407" s="200" t="s">
        <v>364</v>
      </c>
      <c r="E407" s="200"/>
      <c r="F407" s="284"/>
      <c r="G407" s="284"/>
      <c r="H407" s="284"/>
      <c r="I407" s="284"/>
      <c r="J407" s="284"/>
      <c r="K407" s="284"/>
      <c r="L407" s="284"/>
      <c r="M407" s="284"/>
      <c r="N407" s="284"/>
      <c r="O407" s="284"/>
      <c r="P407" s="284"/>
      <c r="Q407" s="284"/>
      <c r="R407" s="284"/>
      <c r="S407" s="284"/>
      <c r="T407" s="213"/>
      <c r="U407" s="213"/>
    </row>
    <row r="408" spans="1:54" s="287" customFormat="1" ht="26">
      <c r="A408" s="286"/>
      <c r="B408" s="314"/>
      <c r="C408" s="288"/>
      <c r="D408" s="289" t="s">
        <v>246</v>
      </c>
      <c r="E408" s="289"/>
      <c r="G408" s="389" t="str">
        <f>H6</f>
        <v>SGO SENEGAL</v>
      </c>
      <c r="H408" s="389" t="str">
        <f t="shared" ref="H408:J408" si="268">I6</f>
        <v>Royalty + CIT + SCF</v>
      </c>
      <c r="I408" s="389" t="str">
        <f t="shared" si="268"/>
        <v>Royalty + CIT + RRT</v>
      </c>
      <c r="J408" s="389" t="str">
        <f t="shared" si="268"/>
        <v>Alt1</v>
      </c>
      <c r="K408" s="291"/>
      <c r="L408" s="291"/>
      <c r="M408" s="291"/>
      <c r="N408" s="291"/>
      <c r="O408" s="291"/>
      <c r="P408" s="291"/>
      <c r="Q408" s="291"/>
      <c r="R408" s="291"/>
      <c r="S408" s="291"/>
      <c r="V408" s="291"/>
      <c r="W408" s="299"/>
      <c r="X408" s="299"/>
      <c r="Y408" s="299"/>
      <c r="Z408" s="299"/>
      <c r="AA408" s="299"/>
      <c r="AB408" s="299"/>
      <c r="AC408" s="299"/>
      <c r="AD408" s="299"/>
      <c r="AE408" s="299"/>
      <c r="AF408" s="299"/>
      <c r="AG408" s="299"/>
      <c r="AH408" s="291"/>
      <c r="AI408" s="291"/>
      <c r="AJ408" s="291"/>
      <c r="AK408" s="291"/>
      <c r="AL408" s="291"/>
      <c r="AM408" s="291"/>
      <c r="AN408" s="291"/>
      <c r="AO408" s="291"/>
      <c r="AP408" s="291"/>
      <c r="AQ408" s="291"/>
      <c r="AR408" s="291"/>
      <c r="AS408" s="291"/>
      <c r="AT408" s="291"/>
      <c r="AU408" s="291"/>
      <c r="AV408" s="291"/>
      <c r="AW408" s="291"/>
      <c r="AX408" s="291"/>
      <c r="AY408" s="291"/>
      <c r="AZ408" s="291"/>
      <c r="BA408" s="291"/>
      <c r="BB408" s="291"/>
    </row>
    <row r="409" spans="1:54" s="287" customFormat="1" ht="13">
      <c r="A409" s="286"/>
      <c r="B409" s="314"/>
      <c r="C409" s="288"/>
      <c r="D409" s="289"/>
      <c r="E409" s="289"/>
      <c r="G409" s="390">
        <f t="shared" ref="G409:J409" si="269">H7</f>
        <v>1</v>
      </c>
      <c r="H409" s="390">
        <f t="shared" si="269"/>
        <v>2</v>
      </c>
      <c r="I409" s="390">
        <f t="shared" si="269"/>
        <v>3</v>
      </c>
      <c r="J409" s="390">
        <f t="shared" si="269"/>
        <v>4</v>
      </c>
      <c r="K409" s="291"/>
      <c r="L409" s="291"/>
      <c r="M409" s="291"/>
      <c r="N409" s="291"/>
      <c r="O409" s="291"/>
      <c r="P409" s="291"/>
      <c r="Q409" s="291"/>
      <c r="R409" s="291"/>
      <c r="S409" s="291"/>
      <c r="V409" s="291"/>
      <c r="W409" s="299"/>
      <c r="X409" s="299"/>
      <c r="Y409" s="299"/>
      <c r="Z409" s="299"/>
      <c r="AA409" s="299"/>
      <c r="AB409" s="299"/>
      <c r="AC409" s="299"/>
      <c r="AD409" s="299"/>
      <c r="AE409" s="299"/>
      <c r="AF409" s="299"/>
      <c r="AG409" s="299"/>
      <c r="AH409" s="291"/>
      <c r="AI409" s="291"/>
      <c r="AJ409" s="291"/>
      <c r="AK409" s="291"/>
      <c r="AL409" s="291"/>
      <c r="AM409" s="291"/>
      <c r="AN409" s="291"/>
      <c r="AO409" s="291"/>
      <c r="AP409" s="291"/>
      <c r="AQ409" s="291"/>
      <c r="AR409" s="291"/>
      <c r="AS409" s="291"/>
      <c r="AT409" s="291"/>
      <c r="AU409" s="291"/>
      <c r="AV409" s="291"/>
      <c r="AW409" s="291"/>
      <c r="AX409" s="291"/>
      <c r="AY409" s="291"/>
      <c r="AZ409" s="291"/>
      <c r="BA409" s="291"/>
      <c r="BB409" s="291"/>
    </row>
    <row r="410" spans="1:54" ht="15" customHeight="1">
      <c r="C410" s="371"/>
      <c r="D410" s="202" t="str">
        <f>"Average Effective Tax Rate (AETR) NPV"&amp;G324*100</f>
        <v>Average Effective Tax Rate (AETR) NPV0</v>
      </c>
      <c r="E410" s="202" t="s">
        <v>17</v>
      </c>
      <c r="F410" s="312">
        <f>G329</f>
        <v>0.48199293303622304</v>
      </c>
      <c r="G410" s="397">
        <f t="dataTable" ref="G410:J413" dt2D="0" dtr="1" r1="F7" ca="1"/>
        <v>0.48199293303622304</v>
      </c>
      <c r="H410" s="397">
        <v>0.58545808700859303</v>
      </c>
      <c r="I410" s="397">
        <v>0.58293395661340086</v>
      </c>
      <c r="J410" s="397">
        <v>0.10069614454346407</v>
      </c>
      <c r="K410" s="370"/>
      <c r="L410" s="370"/>
      <c r="M410" s="370"/>
      <c r="N410" s="370"/>
      <c r="O410" s="370"/>
      <c r="P410" s="370"/>
      <c r="Q410" s="370"/>
      <c r="R410" s="370"/>
      <c r="S410" s="370"/>
    </row>
    <row r="411" spans="1:54" ht="15" customHeight="1">
      <c r="C411" s="371"/>
      <c r="D411" s="202" t="str">
        <f>"Average Effective Tax Rate (AETR) NPV"&amp;H324*100</f>
        <v>Average Effective Tax Rate (AETR) NPV10</v>
      </c>
      <c r="E411" s="202" t="s">
        <v>17</v>
      </c>
      <c r="F411" s="312">
        <f>H329</f>
        <v>0.49633268373918477</v>
      </c>
      <c r="G411" s="398">
        <v>0.49633268373918477</v>
      </c>
      <c r="H411" s="398">
        <v>0.60219746866365909</v>
      </c>
      <c r="I411" s="398">
        <v>0.59823700309928463</v>
      </c>
      <c r="J411" s="398">
        <v>0.10353763705535805</v>
      </c>
      <c r="K411" s="370"/>
      <c r="L411" s="370"/>
      <c r="M411" s="370"/>
      <c r="N411" s="370"/>
      <c r="O411" s="370"/>
      <c r="P411" s="370"/>
      <c r="Q411" s="370"/>
      <c r="R411" s="370"/>
      <c r="S411" s="370"/>
    </row>
    <row r="412" spans="1:54" ht="15" customHeight="1">
      <c r="C412" s="371"/>
      <c r="D412" s="202" t="str">
        <f>"Average Effective Tax Rate (AETR) NPV"&amp;I324*100</f>
        <v>Average Effective Tax Rate (AETR) NPV12.5</v>
      </c>
      <c r="E412" s="202" t="s">
        <v>17</v>
      </c>
      <c r="F412" s="312">
        <f>I329</f>
        <v>0.50206847216033279</v>
      </c>
      <c r="G412" s="398">
        <v>0.50206847216033279</v>
      </c>
      <c r="H412" s="398">
        <v>0.60894159161854156</v>
      </c>
      <c r="I412" s="398">
        <v>0.60455984659121764</v>
      </c>
      <c r="J412" s="398">
        <v>0.10472842239156228</v>
      </c>
      <c r="K412" s="370"/>
      <c r="L412" s="370"/>
      <c r="M412" s="370"/>
      <c r="N412" s="370"/>
      <c r="O412" s="370"/>
      <c r="P412" s="370"/>
      <c r="Q412" s="370"/>
      <c r="R412" s="370"/>
      <c r="S412" s="370"/>
    </row>
    <row r="413" spans="1:54" ht="15" customHeight="1">
      <c r="C413" s="371"/>
      <c r="D413" s="202" t="str">
        <f>"Average Effective Tax Rate (AETR) NPV"&amp;J324*100</f>
        <v>Average Effective Tax Rate (AETR) NPV15</v>
      </c>
      <c r="E413" s="202" t="s">
        <v>17</v>
      </c>
      <c r="F413" s="312">
        <f>J329</f>
        <v>0.50883200160763509</v>
      </c>
      <c r="G413" s="399">
        <v>0.50883200160763509</v>
      </c>
      <c r="H413" s="399">
        <v>0.61691147272283342</v>
      </c>
      <c r="I413" s="399">
        <v>0.61208082631746785</v>
      </c>
      <c r="J413" s="399">
        <v>0.10614627981641205</v>
      </c>
      <c r="K413" s="370"/>
      <c r="L413" s="370"/>
      <c r="M413" s="370"/>
      <c r="N413" s="370"/>
      <c r="O413" s="370"/>
      <c r="P413" s="370"/>
      <c r="Q413" s="370"/>
      <c r="R413" s="370"/>
      <c r="S413" s="370"/>
    </row>
    <row r="414" spans="1:54" ht="15" customHeight="1">
      <c r="C414" s="371"/>
      <c r="F414" s="308"/>
      <c r="G414" s="370"/>
      <c r="H414" s="370"/>
      <c r="I414" s="370"/>
      <c r="J414" s="370"/>
      <c r="K414" s="370"/>
      <c r="L414" s="370"/>
      <c r="M414" s="370"/>
      <c r="N414" s="370"/>
      <c r="O414" s="370"/>
      <c r="P414" s="370"/>
      <c r="Q414" s="370"/>
      <c r="R414" s="370"/>
      <c r="S414" s="370"/>
    </row>
    <row r="415" spans="1:54" ht="15" customHeight="1">
      <c r="C415" s="371"/>
      <c r="F415" s="308"/>
      <c r="G415" s="370"/>
      <c r="H415" s="370"/>
      <c r="I415" s="370"/>
      <c r="J415" s="370"/>
      <c r="K415" s="370"/>
      <c r="L415" s="370"/>
      <c r="M415" s="370"/>
      <c r="N415" s="370"/>
      <c r="O415" s="370"/>
      <c r="P415" s="370"/>
      <c r="Q415" s="370"/>
      <c r="R415" s="370"/>
      <c r="S415" s="370"/>
    </row>
    <row r="416" spans="1:54" ht="15" customHeight="1">
      <c r="C416" s="371"/>
      <c r="F416" s="308"/>
      <c r="G416" s="370"/>
      <c r="H416" s="370"/>
      <c r="I416" s="370"/>
      <c r="J416" s="370"/>
      <c r="K416" s="370"/>
      <c r="L416" s="370"/>
      <c r="M416" s="370"/>
      <c r="N416" s="370"/>
      <c r="O416" s="370"/>
      <c r="P416" s="370"/>
      <c r="Q416" s="370"/>
      <c r="R416" s="370"/>
      <c r="S416" s="370"/>
    </row>
    <row r="417" spans="3:21" ht="15" customHeight="1">
      <c r="C417" s="371"/>
      <c r="F417" s="308"/>
      <c r="G417" s="370"/>
      <c r="H417" s="370"/>
      <c r="I417" s="370"/>
      <c r="J417" s="370"/>
      <c r="K417" s="370"/>
      <c r="L417" s="370"/>
      <c r="M417" s="370"/>
      <c r="N417" s="370"/>
      <c r="O417" s="370"/>
      <c r="P417" s="370"/>
      <c r="Q417" s="370"/>
      <c r="R417" s="370"/>
      <c r="S417" s="370"/>
    </row>
    <row r="418" spans="3:21" ht="15" customHeight="1">
      <c r="C418" s="371"/>
      <c r="F418" s="308"/>
      <c r="G418" s="370"/>
      <c r="H418" s="370"/>
      <c r="I418" s="370"/>
      <c r="J418" s="370"/>
      <c r="K418" s="370"/>
      <c r="L418" s="370"/>
      <c r="M418" s="370"/>
      <c r="N418" s="370"/>
      <c r="O418" s="370"/>
      <c r="P418" s="370"/>
      <c r="Q418" s="370"/>
      <c r="R418" s="370"/>
      <c r="S418" s="370"/>
    </row>
    <row r="419" spans="3:21" ht="15" customHeight="1">
      <c r="C419" s="371"/>
      <c r="F419" s="308"/>
      <c r="G419" s="370"/>
      <c r="H419" s="370"/>
      <c r="I419" s="370"/>
      <c r="J419" s="370"/>
      <c r="K419" s="370"/>
      <c r="L419" s="370"/>
      <c r="M419" s="370"/>
      <c r="N419" s="370"/>
      <c r="O419" s="370"/>
      <c r="P419" s="370"/>
      <c r="Q419" s="370"/>
      <c r="R419" s="370"/>
      <c r="S419" s="370"/>
    </row>
    <row r="420" spans="3:21" ht="15" customHeight="1">
      <c r="C420" s="371"/>
      <c r="F420" s="308"/>
      <c r="G420" s="370"/>
      <c r="H420" s="370"/>
      <c r="I420" s="370"/>
      <c r="J420" s="370"/>
      <c r="K420" s="370"/>
      <c r="L420" s="370"/>
      <c r="M420" s="370"/>
      <c r="N420" s="370"/>
      <c r="O420" s="370"/>
      <c r="P420" s="370"/>
      <c r="Q420" s="370"/>
      <c r="R420" s="370"/>
      <c r="S420" s="370"/>
    </row>
    <row r="421" spans="3:21" ht="15" customHeight="1">
      <c r="C421" s="371"/>
      <c r="F421" s="308"/>
      <c r="G421" s="370"/>
      <c r="H421" s="370"/>
      <c r="I421" s="370"/>
      <c r="J421" s="370"/>
      <c r="K421" s="370"/>
      <c r="L421" s="370"/>
      <c r="M421" s="370"/>
      <c r="N421" s="370"/>
      <c r="O421" s="370"/>
      <c r="P421" s="370"/>
      <c r="Q421" s="370"/>
      <c r="R421" s="370"/>
      <c r="S421" s="370"/>
    </row>
    <row r="422" spans="3:21" ht="15" customHeight="1">
      <c r="C422" s="371"/>
      <c r="F422" s="308"/>
      <c r="G422" s="370"/>
      <c r="H422" s="370"/>
      <c r="I422" s="370"/>
      <c r="J422" s="370"/>
      <c r="K422" s="370"/>
      <c r="L422" s="370"/>
      <c r="M422" s="370"/>
      <c r="N422" s="370"/>
      <c r="O422" s="370"/>
      <c r="P422" s="370"/>
      <c r="Q422" s="370"/>
      <c r="R422" s="370"/>
      <c r="S422" s="370"/>
    </row>
    <row r="423" spans="3:21" ht="15" customHeight="1">
      <c r="C423" s="371"/>
      <c r="F423" s="308"/>
      <c r="G423" s="370"/>
      <c r="H423" s="370"/>
      <c r="I423" s="370"/>
      <c r="J423" s="370"/>
      <c r="K423" s="370"/>
      <c r="L423" s="370"/>
      <c r="M423" s="370"/>
      <c r="N423" s="370"/>
      <c r="O423" s="370"/>
      <c r="P423" s="370"/>
      <c r="Q423" s="370"/>
      <c r="R423" s="370"/>
      <c r="S423" s="370"/>
    </row>
    <row r="424" spans="3:21" ht="15" customHeight="1">
      <c r="C424" s="371"/>
      <c r="F424" s="308"/>
      <c r="G424" s="370"/>
      <c r="H424" s="370"/>
      <c r="I424" s="370"/>
      <c r="J424" s="370"/>
      <c r="K424" s="370"/>
      <c r="L424" s="370"/>
      <c r="M424" s="370"/>
      <c r="N424" s="370"/>
      <c r="O424" s="370"/>
      <c r="P424" s="370"/>
      <c r="Q424" s="370"/>
      <c r="R424" s="370"/>
      <c r="S424" s="370"/>
    </row>
    <row r="425" spans="3:21" ht="15" customHeight="1">
      <c r="C425" s="371"/>
      <c r="F425" s="308"/>
      <c r="G425" s="370"/>
      <c r="H425" s="370"/>
      <c r="I425" s="370"/>
      <c r="J425" s="370"/>
      <c r="K425" s="370"/>
      <c r="L425" s="370"/>
      <c r="M425" s="370"/>
      <c r="N425" s="370"/>
      <c r="O425" s="370"/>
      <c r="P425" s="370"/>
      <c r="Q425" s="370"/>
      <c r="R425" s="370"/>
      <c r="S425" s="370"/>
    </row>
    <row r="426" spans="3:21" ht="15" customHeight="1">
      <c r="C426" s="371"/>
      <c r="F426" s="308"/>
      <c r="G426" s="370"/>
      <c r="H426" s="370"/>
      <c r="I426" s="370"/>
      <c r="J426" s="370"/>
      <c r="K426" s="370"/>
      <c r="L426" s="370"/>
      <c r="M426" s="370"/>
      <c r="N426" s="370"/>
      <c r="O426" s="370"/>
      <c r="P426" s="370"/>
      <c r="Q426" s="370"/>
      <c r="R426" s="370"/>
      <c r="S426" s="370"/>
    </row>
    <row r="427" spans="3:21" ht="15" customHeight="1">
      <c r="C427" s="371"/>
      <c r="F427" s="308"/>
      <c r="G427" s="370"/>
      <c r="H427" s="370"/>
      <c r="I427" s="370"/>
      <c r="J427" s="370"/>
      <c r="K427" s="370"/>
      <c r="L427" s="370"/>
      <c r="M427" s="370"/>
      <c r="N427" s="370"/>
      <c r="O427" s="370"/>
      <c r="P427" s="370"/>
      <c r="Q427" s="370"/>
      <c r="R427" s="370"/>
      <c r="S427" s="370"/>
    </row>
    <row r="428" spans="3:21" ht="15" customHeight="1">
      <c r="C428" s="371"/>
      <c r="F428" s="308"/>
      <c r="G428" s="370"/>
      <c r="H428" s="370"/>
      <c r="I428" s="370"/>
      <c r="J428" s="370"/>
      <c r="K428" s="370"/>
      <c r="L428" s="370"/>
      <c r="M428" s="370"/>
      <c r="N428" s="370"/>
      <c r="O428" s="370"/>
      <c r="P428" s="370"/>
      <c r="Q428" s="370"/>
      <c r="R428" s="370"/>
      <c r="S428" s="370"/>
    </row>
    <row r="429" spans="3:21" ht="15" customHeight="1">
      <c r="C429" s="371"/>
      <c r="F429" s="308"/>
      <c r="G429" s="370"/>
      <c r="H429" s="370"/>
      <c r="I429" s="370"/>
      <c r="J429" s="370"/>
      <c r="K429" s="370"/>
      <c r="L429" s="370"/>
      <c r="M429" s="370"/>
      <c r="N429" s="370"/>
      <c r="O429" s="370"/>
      <c r="P429" s="370"/>
      <c r="Q429" s="370"/>
      <c r="R429" s="370"/>
      <c r="S429" s="370"/>
    </row>
    <row r="430" spans="3:21" ht="15" customHeight="1">
      <c r="C430" s="371"/>
      <c r="F430" s="308"/>
      <c r="G430" s="370"/>
      <c r="H430" s="370"/>
      <c r="I430" s="370"/>
      <c r="J430" s="370"/>
      <c r="K430" s="370"/>
      <c r="L430" s="370"/>
      <c r="M430" s="370"/>
      <c r="N430" s="370"/>
      <c r="O430" s="370"/>
      <c r="P430" s="370"/>
      <c r="Q430" s="370"/>
      <c r="R430" s="370"/>
      <c r="S430" s="370"/>
    </row>
    <row r="431" spans="3:21" ht="15" customHeight="1">
      <c r="C431" s="371"/>
      <c r="F431" s="308"/>
      <c r="G431" s="370"/>
      <c r="H431" s="370"/>
      <c r="I431" s="370"/>
      <c r="J431" s="370"/>
      <c r="K431" s="370"/>
      <c r="L431" s="370"/>
      <c r="M431" s="370"/>
      <c r="N431" s="370"/>
      <c r="O431" s="370"/>
      <c r="P431" s="370"/>
      <c r="Q431" s="370"/>
      <c r="R431" s="370"/>
      <c r="S431" s="370"/>
    </row>
    <row r="432" spans="3:21" ht="15" customHeight="1">
      <c r="C432" s="391"/>
      <c r="D432" s="200" t="str">
        <f>"Average Effective Tax Rate (AETR) NPV"&amp;I324*100&amp;" Price Sensitivity - regime comparison"</f>
        <v>Average Effective Tax Rate (AETR) NPV12.5 Price Sensitivity - regime comparison</v>
      </c>
      <c r="E432" s="200"/>
      <c r="F432" s="284"/>
      <c r="G432" s="284"/>
      <c r="H432" s="284"/>
      <c r="I432" s="284"/>
      <c r="J432" s="284"/>
      <c r="K432" s="284"/>
      <c r="L432" s="284"/>
      <c r="M432" s="284"/>
      <c r="N432" s="284"/>
      <c r="O432" s="284"/>
      <c r="P432" s="284"/>
      <c r="Q432" s="284"/>
      <c r="R432" s="284"/>
      <c r="S432" s="284"/>
      <c r="T432" s="213"/>
      <c r="U432" s="213"/>
    </row>
    <row r="433" spans="1:54" ht="15" customHeight="1">
      <c r="C433" s="371"/>
      <c r="D433" s="202" t="s">
        <v>367</v>
      </c>
      <c r="E433" s="202" t="s">
        <v>356</v>
      </c>
      <c r="F433" s="312">
        <f>I329</f>
        <v>0.50206847216033279</v>
      </c>
      <c r="G433" s="485">
        <v>1000</v>
      </c>
      <c r="H433" s="486">
        <f>G433+100</f>
        <v>1100</v>
      </c>
      <c r="I433" s="486">
        <f t="shared" ref="I433" si="270">H433+100</f>
        <v>1200</v>
      </c>
      <c r="J433" s="486">
        <f t="shared" ref="J433" si="271">I433+100</f>
        <v>1300</v>
      </c>
      <c r="K433" s="486">
        <f t="shared" ref="K433" si="272">J433+100</f>
        <v>1400</v>
      </c>
      <c r="L433" s="487">
        <f t="shared" ref="L433" si="273">K433+100</f>
        <v>1500</v>
      </c>
      <c r="M433" s="370"/>
      <c r="N433" s="370"/>
      <c r="O433" s="370"/>
      <c r="P433" s="370"/>
      <c r="Q433" s="370"/>
      <c r="R433" s="370"/>
      <c r="S433" s="370"/>
    </row>
    <row r="434" spans="1:54" ht="15" customHeight="1">
      <c r="C434" s="371"/>
      <c r="D434" s="400" t="str">
        <f>H6</f>
        <v>SGO SENEGAL</v>
      </c>
      <c r="E434" s="202" t="s">
        <v>17</v>
      </c>
      <c r="F434" s="308">
        <v>1</v>
      </c>
      <c r="G434" s="401">
        <f t="dataTable" ref="G434:L437" dt2D="1" dtr="1" r1="F35" r2="F7" ca="1"/>
        <v>4.8675581862117028</v>
      </c>
      <c r="H434" s="402">
        <v>0.89519222392748354</v>
      </c>
      <c r="I434" s="402">
        <v>0.6768028983869232</v>
      </c>
      <c r="J434" s="402">
        <v>0.60251389631216512</v>
      </c>
      <c r="K434" s="402">
        <v>0.56590977372885298</v>
      </c>
      <c r="L434" s="403">
        <v>0.54425799190624025</v>
      </c>
      <c r="M434" s="370"/>
      <c r="N434" s="370"/>
      <c r="O434" s="370"/>
      <c r="P434" s="370"/>
      <c r="Q434" s="370"/>
      <c r="R434" s="370"/>
      <c r="S434" s="370"/>
    </row>
    <row r="435" spans="1:54" ht="15" customHeight="1">
      <c r="C435" s="371"/>
      <c r="D435" s="400" t="str">
        <f>I6</f>
        <v>Royalty + CIT + SCF</v>
      </c>
      <c r="E435" s="202" t="s">
        <v>17</v>
      </c>
      <c r="F435" s="308">
        <f>F434+1</f>
        <v>2</v>
      </c>
      <c r="G435" s="404">
        <v>5.1867340359649088</v>
      </c>
      <c r="H435" s="396">
        <v>1.014039418475402</v>
      </c>
      <c r="I435" s="396">
        <v>0.78707963379137702</v>
      </c>
      <c r="J435" s="396">
        <v>0.7102967511899585</v>
      </c>
      <c r="K435" s="396">
        <v>0.67322305888226408</v>
      </c>
      <c r="L435" s="405">
        <v>0.65122467519659033</v>
      </c>
      <c r="M435" s="370"/>
      <c r="N435" s="370"/>
      <c r="O435" s="370"/>
      <c r="P435" s="370"/>
      <c r="Q435" s="370"/>
      <c r="R435" s="370"/>
      <c r="S435" s="370"/>
    </row>
    <row r="436" spans="1:54" ht="15" customHeight="1">
      <c r="C436" s="371"/>
      <c r="D436" s="400" t="str">
        <f>J6</f>
        <v>Royalty + CIT + RRT</v>
      </c>
      <c r="E436" s="202" t="s">
        <v>17</v>
      </c>
      <c r="F436" s="308">
        <f t="shared" ref="F436:F437" si="274">F435+1</f>
        <v>3</v>
      </c>
      <c r="G436" s="404">
        <v>4.8268108108143197</v>
      </c>
      <c r="H436" s="396">
        <v>0.96238895024713567</v>
      </c>
      <c r="I436" s="396">
        <v>0.7617244267949036</v>
      </c>
      <c r="J436" s="396">
        <v>0.69432125648376797</v>
      </c>
      <c r="K436" s="396">
        <v>0.66129173340586023</v>
      </c>
      <c r="L436" s="405">
        <v>0.64195775447032255</v>
      </c>
      <c r="M436" s="370"/>
      <c r="N436" s="370"/>
      <c r="O436" s="370"/>
      <c r="P436" s="370"/>
      <c r="Q436" s="370"/>
      <c r="R436" s="370"/>
      <c r="S436" s="370"/>
    </row>
    <row r="437" spans="1:54" ht="15" customHeight="1">
      <c r="C437" s="371"/>
      <c r="D437" s="400" t="str">
        <f>K6</f>
        <v>Alt1</v>
      </c>
      <c r="E437" s="202" t="s">
        <v>17</v>
      </c>
      <c r="F437" s="308">
        <f t="shared" si="274"/>
        <v>4</v>
      </c>
      <c r="G437" s="406">
        <v>0.59898990197564117</v>
      </c>
      <c r="H437" s="407">
        <v>0.14853578090291014</v>
      </c>
      <c r="I437" s="407">
        <v>0.12418964904368308</v>
      </c>
      <c r="J437" s="407">
        <v>0.11579491101466295</v>
      </c>
      <c r="K437" s="407">
        <v>0.11160218903409128</v>
      </c>
      <c r="L437" s="408">
        <v>0.10933939085911328</v>
      </c>
      <c r="M437" s="370"/>
      <c r="N437" s="370"/>
      <c r="O437" s="370"/>
      <c r="P437" s="370"/>
      <c r="Q437" s="370"/>
      <c r="R437" s="370"/>
      <c r="S437" s="370"/>
    </row>
    <row r="438" spans="1:54" ht="15" customHeight="1"/>
    <row r="439" spans="1:54" ht="15" customHeight="1">
      <c r="C439" s="391"/>
      <c r="D439" s="200" t="str">
        <f>"Government Share of Total Benefits - selected regime: "&amp;F6</f>
        <v>Government Share of Total Benefits - selected regime: SGO SENEGAL</v>
      </c>
      <c r="E439" s="200"/>
      <c r="F439" s="284"/>
      <c r="G439" s="284"/>
      <c r="H439" s="284"/>
      <c r="I439" s="284"/>
      <c r="J439" s="284"/>
      <c r="K439" s="284"/>
      <c r="L439" s="284"/>
      <c r="M439" s="284"/>
      <c r="N439" s="284"/>
      <c r="O439" s="284"/>
      <c r="P439" s="284"/>
      <c r="Q439" s="284"/>
      <c r="R439" s="284"/>
      <c r="S439" s="284"/>
      <c r="T439" s="213"/>
      <c r="U439" s="213"/>
    </row>
    <row r="440" spans="1:54" ht="15" customHeight="1">
      <c r="C440" s="383"/>
      <c r="D440" s="202" t="s">
        <v>365</v>
      </c>
      <c r="E440" s="202" t="s">
        <v>17</v>
      </c>
      <c r="F440" s="308"/>
      <c r="G440" s="313">
        <f>G$324</f>
        <v>0</v>
      </c>
      <c r="H440" s="313">
        <f t="shared" ref="H440:J440" si="275">H$324</f>
        <v>0.1</v>
      </c>
      <c r="I440" s="313">
        <f t="shared" si="275"/>
        <v>0.125</v>
      </c>
      <c r="J440" s="313">
        <f t="shared" si="275"/>
        <v>0.15</v>
      </c>
      <c r="K440" s="246"/>
      <c r="L440" s="246"/>
      <c r="M440" s="246"/>
      <c r="N440" s="246"/>
      <c r="O440" s="246"/>
      <c r="P440" s="246"/>
      <c r="Q440" s="246"/>
      <c r="R440" s="246"/>
      <c r="S440" s="246"/>
    </row>
    <row r="441" spans="1:54" ht="15" customHeight="1">
      <c r="C441" s="267"/>
      <c r="D441" s="202" t="s">
        <v>361</v>
      </c>
      <c r="E441" s="202" t="s">
        <v>12</v>
      </c>
      <c r="F441" s="308"/>
      <c r="G441" s="393">
        <f>G$326</f>
        <v>2005.5725943637244</v>
      </c>
      <c r="H441" s="393">
        <f t="shared" ref="H441:J441" si="276">H$326</f>
        <v>1087.8042848310283</v>
      </c>
      <c r="I441" s="393">
        <f t="shared" si="276"/>
        <v>950.86816023035681</v>
      </c>
      <c r="J441" s="393">
        <f t="shared" si="276"/>
        <v>836.53283036623759</v>
      </c>
      <c r="K441" s="246"/>
      <c r="L441" s="246"/>
      <c r="M441" s="246"/>
      <c r="N441" s="246"/>
      <c r="O441" s="246"/>
      <c r="P441" s="246"/>
      <c r="Q441" s="246"/>
      <c r="R441" s="246"/>
      <c r="S441" s="246"/>
    </row>
    <row r="442" spans="1:54" ht="15" customHeight="1">
      <c r="C442" s="267"/>
      <c r="D442" s="202" t="s">
        <v>362</v>
      </c>
      <c r="E442" s="202" t="s">
        <v>12</v>
      </c>
      <c r="G442" s="250">
        <f>G330</f>
        <v>4493.0000000000009</v>
      </c>
      <c r="H442" s="250">
        <f t="shared" ref="H442:J442" si="277">H330</f>
        <v>2521.7746737705147</v>
      </c>
      <c r="I442" s="250">
        <f t="shared" si="277"/>
        <v>2223.5680226687668</v>
      </c>
      <c r="J442" s="250">
        <f t="shared" si="277"/>
        <v>1973.2864570346462</v>
      </c>
      <c r="K442" s="267"/>
      <c r="L442" s="267"/>
      <c r="M442" s="267"/>
      <c r="N442" s="267"/>
      <c r="O442" s="267"/>
      <c r="P442" s="267"/>
      <c r="Q442" s="267"/>
      <c r="R442" s="267"/>
      <c r="S442" s="267"/>
    </row>
    <row r="443" spans="1:54" s="198" customFormat="1" ht="15" customHeight="1">
      <c r="A443" s="392"/>
      <c r="C443" s="383"/>
      <c r="D443" s="394" t="s">
        <v>368</v>
      </c>
      <c r="E443" s="394" t="s">
        <v>17</v>
      </c>
      <c r="F443" s="394"/>
      <c r="G443" s="395">
        <f>G441/G442</f>
        <v>0.44637716322361987</v>
      </c>
      <c r="H443" s="395">
        <f t="shared" ref="H443:J443" si="278">H441/H442</f>
        <v>0.43136458468930605</v>
      </c>
      <c r="I443" s="395">
        <f t="shared" si="278"/>
        <v>0.42763169398753431</v>
      </c>
      <c r="J443" s="395">
        <f t="shared" si="278"/>
        <v>0.42392873441362194</v>
      </c>
      <c r="K443" s="377"/>
      <c r="L443" s="377"/>
      <c r="M443" s="377"/>
      <c r="N443" s="377"/>
      <c r="O443" s="377"/>
      <c r="P443" s="377"/>
      <c r="Q443" s="377"/>
      <c r="R443" s="377"/>
      <c r="S443" s="377"/>
    </row>
    <row r="444" spans="1:54" ht="15" customHeight="1">
      <c r="C444" s="267"/>
      <c r="G444" s="267"/>
      <c r="H444" s="267"/>
      <c r="I444" s="267"/>
      <c r="J444" s="267"/>
      <c r="K444" s="267"/>
      <c r="L444" s="267"/>
      <c r="M444" s="267"/>
      <c r="N444" s="267"/>
      <c r="O444" s="267"/>
      <c r="P444" s="267"/>
      <c r="Q444" s="267"/>
      <c r="R444" s="267"/>
      <c r="S444" s="267"/>
    </row>
    <row r="445" spans="1:54" ht="15" customHeight="1">
      <c r="C445" s="391"/>
      <c r="D445" s="200" t="s">
        <v>369</v>
      </c>
      <c r="E445" s="200"/>
      <c r="F445" s="284"/>
      <c r="G445" s="284"/>
      <c r="H445" s="284"/>
      <c r="I445" s="284"/>
      <c r="J445" s="284"/>
      <c r="K445" s="284"/>
      <c r="L445" s="284"/>
      <c r="M445" s="284"/>
      <c r="N445" s="284"/>
      <c r="O445" s="284"/>
      <c r="P445" s="284"/>
      <c r="Q445" s="284"/>
      <c r="R445" s="284"/>
      <c r="S445" s="284"/>
      <c r="T445" s="213"/>
      <c r="U445" s="213"/>
    </row>
    <row r="446" spans="1:54" s="287" customFormat="1" ht="26">
      <c r="A446" s="286"/>
      <c r="B446" s="314"/>
      <c r="C446" s="288"/>
      <c r="D446" s="289" t="s">
        <v>246</v>
      </c>
      <c r="E446" s="289"/>
      <c r="G446" s="389" t="str">
        <f>H6</f>
        <v>SGO SENEGAL</v>
      </c>
      <c r="H446" s="389" t="str">
        <f t="shared" ref="H446:J446" si="279">I6</f>
        <v>Royalty + CIT + SCF</v>
      </c>
      <c r="I446" s="389" t="str">
        <f t="shared" si="279"/>
        <v>Royalty + CIT + RRT</v>
      </c>
      <c r="J446" s="389" t="str">
        <f t="shared" si="279"/>
        <v>Alt1</v>
      </c>
      <c r="K446" s="291"/>
      <c r="L446" s="291"/>
      <c r="M446" s="291"/>
      <c r="N446" s="291"/>
      <c r="O446" s="291"/>
      <c r="P446" s="291"/>
      <c r="Q446" s="291"/>
      <c r="R446" s="291"/>
      <c r="S446" s="291"/>
      <c r="V446" s="291"/>
      <c r="W446" s="299"/>
      <c r="X446" s="299"/>
      <c r="Y446" s="299"/>
      <c r="Z446" s="299"/>
      <c r="AA446" s="299"/>
      <c r="AB446" s="299"/>
      <c r="AC446" s="299"/>
      <c r="AD446" s="299"/>
      <c r="AE446" s="299"/>
      <c r="AF446" s="299"/>
      <c r="AG446" s="299"/>
      <c r="AH446" s="291"/>
      <c r="AI446" s="291"/>
      <c r="AJ446" s="291"/>
      <c r="AK446" s="291"/>
      <c r="AL446" s="291"/>
      <c r="AM446" s="291"/>
      <c r="AN446" s="291"/>
      <c r="AO446" s="291"/>
      <c r="AP446" s="291"/>
      <c r="AQ446" s="291"/>
      <c r="AR446" s="291"/>
      <c r="AS446" s="291"/>
      <c r="AT446" s="291"/>
      <c r="AU446" s="291"/>
      <c r="AV446" s="291"/>
      <c r="AW446" s="291"/>
      <c r="AX446" s="291"/>
      <c r="AY446" s="291"/>
      <c r="AZ446" s="291"/>
      <c r="BA446" s="291"/>
      <c r="BB446" s="291"/>
    </row>
    <row r="447" spans="1:54" s="287" customFormat="1" ht="15" customHeight="1">
      <c r="A447" s="286"/>
      <c r="B447" s="314"/>
      <c r="C447" s="288"/>
      <c r="G447" s="390">
        <f t="shared" ref="G447:J447" si="280">H7</f>
        <v>1</v>
      </c>
      <c r="H447" s="390">
        <f t="shared" si="280"/>
        <v>2</v>
      </c>
      <c r="I447" s="390">
        <f t="shared" si="280"/>
        <v>3</v>
      </c>
      <c r="J447" s="390">
        <f t="shared" si="280"/>
        <v>4</v>
      </c>
      <c r="K447" s="291"/>
      <c r="L447" s="291"/>
      <c r="M447" s="291"/>
      <c r="N447" s="291"/>
      <c r="O447" s="291"/>
      <c r="P447" s="291"/>
      <c r="Q447" s="291"/>
      <c r="R447" s="291"/>
      <c r="S447" s="291"/>
      <c r="V447" s="291"/>
      <c r="W447" s="299"/>
      <c r="X447" s="299"/>
      <c r="Y447" s="299"/>
      <c r="Z447" s="299"/>
      <c r="AA447" s="299"/>
      <c r="AB447" s="299"/>
      <c r="AC447" s="299"/>
      <c r="AD447" s="299"/>
      <c r="AE447" s="299"/>
      <c r="AF447" s="299"/>
      <c r="AG447" s="299"/>
      <c r="AH447" s="291"/>
      <c r="AI447" s="291"/>
      <c r="AJ447" s="291"/>
      <c r="AK447" s="291"/>
      <c r="AL447" s="291"/>
      <c r="AM447" s="291"/>
      <c r="AN447" s="291"/>
      <c r="AO447" s="291"/>
      <c r="AP447" s="291"/>
      <c r="AQ447" s="291"/>
      <c r="AR447" s="291"/>
      <c r="AS447" s="291"/>
      <c r="AT447" s="291"/>
      <c r="AU447" s="291"/>
      <c r="AV447" s="291"/>
      <c r="AW447" s="291"/>
      <c r="AX447" s="291"/>
      <c r="AY447" s="291"/>
      <c r="AZ447" s="291"/>
      <c r="BA447" s="291"/>
      <c r="BB447" s="291"/>
    </row>
    <row r="448" spans="1:54" s="287" customFormat="1" ht="15" customHeight="1">
      <c r="A448" s="286"/>
      <c r="B448" s="314"/>
      <c r="C448" s="288"/>
      <c r="D448" s="289" t="str">
        <f>"Government Share of Total Benefits NPV"&amp;G324*100</f>
        <v>Government Share of Total Benefits NPV0</v>
      </c>
      <c r="E448" s="289" t="s">
        <v>17</v>
      </c>
      <c r="F448" s="312">
        <f>G331</f>
        <v>0.44637716322361987</v>
      </c>
      <c r="G448" s="397">
        <f t="dataTable" ref="G448:J451" dt2D="0" dtr="1" r1="F7" ca="1"/>
        <v>0.44637716322361987</v>
      </c>
      <c r="H448" s="397">
        <v>0.54219699533557886</v>
      </c>
      <c r="I448" s="397">
        <v>0.53985937980600074</v>
      </c>
      <c r="J448" s="397">
        <v>9.3255432327031818E-2</v>
      </c>
      <c r="K448" s="291"/>
      <c r="L448" s="291"/>
      <c r="M448" s="291"/>
      <c r="N448" s="291"/>
      <c r="O448" s="291"/>
      <c r="P448" s="291"/>
      <c r="Q448" s="291"/>
      <c r="R448" s="291"/>
      <c r="S448" s="291"/>
      <c r="V448" s="291"/>
      <c r="W448" s="299"/>
      <c r="X448" s="299"/>
      <c r="Y448" s="299"/>
      <c r="Z448" s="299"/>
      <c r="AA448" s="299"/>
      <c r="AB448" s="299"/>
      <c r="AC448" s="299"/>
      <c r="AD448" s="299"/>
      <c r="AE448" s="299"/>
      <c r="AF448" s="299"/>
      <c r="AG448" s="299"/>
      <c r="AH448" s="291"/>
      <c r="AI448" s="291"/>
      <c r="AJ448" s="291"/>
      <c r="AK448" s="291"/>
      <c r="AL448" s="291"/>
      <c r="AM448" s="291"/>
      <c r="AN448" s="291"/>
      <c r="AO448" s="291"/>
      <c r="AP448" s="291"/>
      <c r="AQ448" s="291"/>
      <c r="AR448" s="291"/>
      <c r="AS448" s="291"/>
      <c r="AT448" s="291"/>
      <c r="AU448" s="291"/>
      <c r="AV448" s="291"/>
      <c r="AW448" s="291"/>
      <c r="AX448" s="291"/>
      <c r="AY448" s="291"/>
      <c r="AZ448" s="291"/>
      <c r="BA448" s="291"/>
      <c r="BB448" s="291"/>
    </row>
    <row r="449" spans="1:54" s="287" customFormat="1" ht="15" customHeight="1">
      <c r="A449" s="286"/>
      <c r="B449" s="314"/>
      <c r="C449" s="288"/>
      <c r="D449" s="289" t="str">
        <f>"Government Share of Total Benefits NPV"&amp;H324*100</f>
        <v>Government Share of Total Benefits NPV10</v>
      </c>
      <c r="E449" s="289" t="s">
        <v>17</v>
      </c>
      <c r="F449" s="312">
        <f>H331</f>
        <v>0.43136458468930605</v>
      </c>
      <c r="G449" s="398">
        <v>0.43136458468930605</v>
      </c>
      <c r="H449" s="398">
        <v>0.52337206370143885</v>
      </c>
      <c r="I449" s="398">
        <v>0.51993000832341663</v>
      </c>
      <c r="J449" s="398">
        <v>8.9984946128524715E-2</v>
      </c>
      <c r="K449" s="291"/>
      <c r="L449" s="291"/>
      <c r="M449" s="291"/>
      <c r="N449" s="291"/>
      <c r="O449" s="291"/>
      <c r="P449" s="291"/>
      <c r="Q449" s="291"/>
      <c r="R449" s="291"/>
      <c r="S449" s="291"/>
      <c r="V449" s="291"/>
      <c r="W449" s="299"/>
      <c r="X449" s="299"/>
      <c r="Y449" s="299"/>
      <c r="Z449" s="299"/>
      <c r="AA449" s="299"/>
      <c r="AB449" s="299"/>
      <c r="AC449" s="299"/>
      <c r="AD449" s="299"/>
      <c r="AE449" s="299"/>
      <c r="AF449" s="299"/>
      <c r="AG449" s="299"/>
      <c r="AH449" s="291"/>
      <c r="AI449" s="291"/>
      <c r="AJ449" s="291"/>
      <c r="AK449" s="291"/>
      <c r="AL449" s="291"/>
      <c r="AM449" s="291"/>
      <c r="AN449" s="291"/>
      <c r="AO449" s="291"/>
      <c r="AP449" s="291"/>
      <c r="AQ449" s="291"/>
      <c r="AR449" s="291"/>
      <c r="AS449" s="291"/>
      <c r="AT449" s="291"/>
      <c r="AU449" s="291"/>
      <c r="AV449" s="291"/>
      <c r="AW449" s="291"/>
      <c r="AX449" s="291"/>
      <c r="AY449" s="291"/>
      <c r="AZ449" s="291"/>
      <c r="BA449" s="291"/>
      <c r="BB449" s="291"/>
    </row>
    <row r="450" spans="1:54" s="287" customFormat="1" ht="15" customHeight="1">
      <c r="A450" s="286"/>
      <c r="B450" s="314"/>
      <c r="C450" s="288"/>
      <c r="D450" s="289" t="str">
        <f>"Government Share of Total Benefits NPV"&amp;I324*100</f>
        <v>Government Share of Total Benefits NPV12.5</v>
      </c>
      <c r="E450" s="289" t="s">
        <v>17</v>
      </c>
      <c r="F450" s="312">
        <f>I331</f>
        <v>0.42763169398753431</v>
      </c>
      <c r="G450" s="398">
        <v>0.42763169398753431</v>
      </c>
      <c r="H450" s="398">
        <v>0.51865978208674313</v>
      </c>
      <c r="I450" s="398">
        <v>0.51492767550655216</v>
      </c>
      <c r="J450" s="398">
        <v>8.9201364274560324E-2</v>
      </c>
      <c r="K450" s="291"/>
      <c r="L450" s="291"/>
      <c r="M450" s="291"/>
      <c r="N450" s="291"/>
      <c r="O450" s="291"/>
      <c r="P450" s="291"/>
      <c r="Q450" s="291"/>
      <c r="R450" s="291"/>
      <c r="S450" s="291"/>
      <c r="V450" s="291"/>
      <c r="W450" s="299"/>
      <c r="X450" s="299"/>
      <c r="Y450" s="299"/>
      <c r="Z450" s="299"/>
      <c r="AA450" s="299"/>
      <c r="AB450" s="299"/>
      <c r="AC450" s="299"/>
      <c r="AD450" s="299"/>
      <c r="AE450" s="299"/>
      <c r="AF450" s="299"/>
      <c r="AG450" s="299"/>
      <c r="AH450" s="291"/>
      <c r="AI450" s="291"/>
      <c r="AJ450" s="291"/>
      <c r="AK450" s="291"/>
      <c r="AL450" s="291"/>
      <c r="AM450" s="291"/>
      <c r="AN450" s="291"/>
      <c r="AO450" s="291"/>
      <c r="AP450" s="291"/>
      <c r="AQ450" s="291"/>
      <c r="AR450" s="291"/>
      <c r="AS450" s="291"/>
      <c r="AT450" s="291"/>
      <c r="AU450" s="291"/>
      <c r="AV450" s="291"/>
      <c r="AW450" s="291"/>
      <c r="AX450" s="291"/>
      <c r="AY450" s="291"/>
      <c r="AZ450" s="291"/>
      <c r="BA450" s="291"/>
      <c r="BB450" s="291"/>
    </row>
    <row r="451" spans="1:54" s="287" customFormat="1" ht="15" customHeight="1">
      <c r="A451" s="286"/>
      <c r="B451" s="314"/>
      <c r="C451" s="288"/>
      <c r="D451" s="289" t="str">
        <f>"Government Share of Total Benefits NPV"&amp;J324*100</f>
        <v>Government Share of Total Benefits NPV15</v>
      </c>
      <c r="E451" s="289" t="s">
        <v>17</v>
      </c>
      <c r="F451" s="312">
        <f>J331</f>
        <v>0.42392873441362194</v>
      </c>
      <c r="G451" s="399">
        <v>0.42392873441362194</v>
      </c>
      <c r="H451" s="399">
        <v>0.51397415856383155</v>
      </c>
      <c r="I451" s="399">
        <v>0.50994954963484074</v>
      </c>
      <c r="J451" s="399">
        <v>8.843480347760134E-2</v>
      </c>
      <c r="K451" s="291"/>
      <c r="L451" s="291"/>
      <c r="M451" s="291"/>
      <c r="N451" s="291"/>
      <c r="O451" s="291"/>
      <c r="P451" s="291"/>
      <c r="Q451" s="291"/>
      <c r="R451" s="291"/>
      <c r="S451" s="291"/>
      <c r="V451" s="291"/>
      <c r="W451" s="299"/>
      <c r="X451" s="299"/>
      <c r="Y451" s="299"/>
      <c r="Z451" s="299"/>
      <c r="AA451" s="299"/>
      <c r="AB451" s="299"/>
      <c r="AC451" s="299"/>
      <c r="AD451" s="299"/>
      <c r="AE451" s="299"/>
      <c r="AF451" s="299"/>
      <c r="AG451" s="299"/>
      <c r="AH451" s="291"/>
      <c r="AI451" s="291"/>
      <c r="AJ451" s="291"/>
      <c r="AK451" s="291"/>
      <c r="AL451" s="291"/>
      <c r="AM451" s="291"/>
      <c r="AN451" s="291"/>
      <c r="AO451" s="291"/>
      <c r="AP451" s="291"/>
      <c r="AQ451" s="291"/>
      <c r="AR451" s="291"/>
      <c r="AS451" s="291"/>
      <c r="AT451" s="291"/>
      <c r="AU451" s="291"/>
      <c r="AV451" s="291"/>
      <c r="AW451" s="291"/>
      <c r="AX451" s="291"/>
      <c r="AY451" s="291"/>
      <c r="AZ451" s="291"/>
      <c r="BA451" s="291"/>
      <c r="BB451" s="291"/>
    </row>
    <row r="452" spans="1:54" ht="15" customHeight="1">
      <c r="C452" s="267"/>
      <c r="G452" s="267"/>
      <c r="H452" s="267"/>
      <c r="I452" s="267"/>
      <c r="J452" s="267"/>
      <c r="K452" s="267"/>
      <c r="L452" s="267"/>
      <c r="M452" s="267"/>
      <c r="N452" s="267"/>
      <c r="O452" s="267"/>
      <c r="P452" s="267"/>
      <c r="Q452" s="267"/>
      <c r="R452" s="267"/>
      <c r="S452" s="267"/>
    </row>
    <row r="453" spans="1:54" ht="15" customHeight="1">
      <c r="C453" s="391"/>
      <c r="D453" s="200" t="str">
        <f>"Government Share of Total Benefits NPV"&amp;I324*100&amp;" Price Sensitivity (Progressivity) - regime comparison"</f>
        <v>Government Share of Total Benefits NPV12.5 Price Sensitivity (Progressivity) - regime comparison</v>
      </c>
      <c r="E453" s="200"/>
      <c r="F453" s="284"/>
      <c r="G453" s="284"/>
      <c r="H453" s="284"/>
      <c r="I453" s="284"/>
      <c r="J453" s="284"/>
      <c r="K453" s="284"/>
      <c r="L453" s="284"/>
      <c r="M453" s="284"/>
      <c r="N453" s="284"/>
      <c r="O453" s="284"/>
      <c r="P453" s="284"/>
      <c r="Q453" s="284"/>
      <c r="R453" s="284"/>
      <c r="S453" s="284"/>
      <c r="T453" s="213"/>
      <c r="U453" s="213"/>
    </row>
    <row r="454" spans="1:54" ht="15" customHeight="1">
      <c r="C454" s="371"/>
      <c r="D454" s="202" t="s">
        <v>367</v>
      </c>
      <c r="E454" s="202" t="s">
        <v>356</v>
      </c>
      <c r="F454" s="312">
        <f>I331</f>
        <v>0.42763169398753431</v>
      </c>
      <c r="G454" s="485">
        <v>1000</v>
      </c>
      <c r="H454" s="486">
        <f>G454+100</f>
        <v>1100</v>
      </c>
      <c r="I454" s="486">
        <f t="shared" ref="I454" si="281">H454+100</f>
        <v>1200</v>
      </c>
      <c r="J454" s="486">
        <f t="shared" ref="J454" si="282">I454+100</f>
        <v>1300</v>
      </c>
      <c r="K454" s="486">
        <f t="shared" ref="K454" si="283">J454+100</f>
        <v>1400</v>
      </c>
      <c r="L454" s="487">
        <f t="shared" ref="L454" si="284">K454+100</f>
        <v>1500</v>
      </c>
      <c r="M454" s="370"/>
      <c r="N454" s="370"/>
      <c r="O454" s="370"/>
      <c r="P454" s="370"/>
      <c r="Q454" s="370"/>
      <c r="R454" s="370"/>
      <c r="S454" s="370"/>
    </row>
    <row r="455" spans="1:54" ht="15" customHeight="1">
      <c r="C455" s="267"/>
      <c r="D455" s="400" t="str">
        <f>H6</f>
        <v>SGO SENEGAL</v>
      </c>
      <c r="E455" s="202" t="s">
        <v>17</v>
      </c>
      <c r="F455" s="308">
        <v>1</v>
      </c>
      <c r="G455" s="404">
        <f t="dataTable" ref="G455:L458" dt2D="1" dtr="1" r1="F35" r2="F7" ca="1"/>
        <v>0.32797960307966739</v>
      </c>
      <c r="H455" s="396">
        <v>0.34918143909180854</v>
      </c>
      <c r="I455" s="396">
        <v>0.37011020952577089</v>
      </c>
      <c r="J455" s="396">
        <v>0.38531691646641097</v>
      </c>
      <c r="K455" s="396">
        <v>0.39654206354341998</v>
      </c>
      <c r="L455" s="405">
        <v>0.40501076987112861</v>
      </c>
      <c r="M455" s="267"/>
      <c r="N455" s="267"/>
      <c r="O455" s="267"/>
      <c r="P455" s="267"/>
      <c r="Q455" s="267"/>
      <c r="R455" s="267"/>
      <c r="S455" s="267"/>
    </row>
    <row r="456" spans="1:54" ht="15" customHeight="1">
      <c r="C456" s="267"/>
      <c r="D456" s="400" t="str">
        <f>I6</f>
        <v>Royalty + CIT + SCF</v>
      </c>
      <c r="E456" s="202" t="s">
        <v>17</v>
      </c>
      <c r="F456" s="308">
        <f>F455+1</f>
        <v>2</v>
      </c>
      <c r="G456" s="404">
        <v>0.34948590346888658</v>
      </c>
      <c r="H456" s="396">
        <v>0.39553934224940795</v>
      </c>
      <c r="I456" s="396">
        <v>0.43041513100828355</v>
      </c>
      <c r="J456" s="396">
        <v>0.45424571220648607</v>
      </c>
      <c r="K456" s="396">
        <v>0.47173820525336385</v>
      </c>
      <c r="L456" s="405">
        <v>0.4846102601758096</v>
      </c>
      <c r="M456" s="267"/>
      <c r="N456" s="267"/>
      <c r="O456" s="267"/>
      <c r="P456" s="267"/>
      <c r="Q456" s="267"/>
      <c r="R456" s="267"/>
      <c r="S456" s="267"/>
    </row>
    <row r="457" spans="1:54" ht="15" customHeight="1">
      <c r="C457" s="267"/>
      <c r="D457" s="400" t="str">
        <f>J6</f>
        <v>Royalty + CIT + RRT</v>
      </c>
      <c r="E457" s="202" t="s">
        <v>17</v>
      </c>
      <c r="F457" s="308">
        <f t="shared" ref="F457:F458" si="285">F456+1</f>
        <v>3</v>
      </c>
      <c r="G457" s="404">
        <v>0.32523401535413615</v>
      </c>
      <c r="H457" s="396">
        <v>0.37539240135375873</v>
      </c>
      <c r="I457" s="396">
        <v>0.41654961566193938</v>
      </c>
      <c r="J457" s="396">
        <v>0.44402913729113247</v>
      </c>
      <c r="K457" s="396">
        <v>0.46337773394705228</v>
      </c>
      <c r="L457" s="405">
        <v>0.47771426093740615</v>
      </c>
      <c r="M457" s="267"/>
      <c r="N457" s="267"/>
      <c r="O457" s="267"/>
      <c r="P457" s="267"/>
      <c r="Q457" s="267"/>
      <c r="R457" s="267"/>
      <c r="S457" s="267"/>
    </row>
    <row r="458" spans="1:54" ht="15" customHeight="1">
      <c r="C458" s="267"/>
      <c r="D458" s="400" t="str">
        <f>K6</f>
        <v>Alt1</v>
      </c>
      <c r="E458" s="202" t="s">
        <v>17</v>
      </c>
      <c r="F458" s="308">
        <f t="shared" si="285"/>
        <v>4</v>
      </c>
      <c r="G458" s="406">
        <v>4.0360374295103543E-2</v>
      </c>
      <c r="H458" s="407">
        <v>5.7938324692714517E-2</v>
      </c>
      <c r="I458" s="407">
        <v>6.7913209500193819E-2</v>
      </c>
      <c r="J458" s="407">
        <v>7.405262903937361E-2</v>
      </c>
      <c r="K458" s="407">
        <v>7.8201445513018261E-2</v>
      </c>
      <c r="L458" s="408">
        <v>8.1365145808862088E-2</v>
      </c>
      <c r="M458" s="267"/>
      <c r="N458" s="267"/>
      <c r="O458" s="267"/>
      <c r="P458" s="267"/>
      <c r="Q458" s="267"/>
      <c r="R458" s="267"/>
      <c r="S458" s="267"/>
    </row>
    <row r="459" spans="1:54" ht="15" customHeight="1">
      <c r="C459" s="267"/>
      <c r="G459" s="267"/>
      <c r="H459" s="267"/>
      <c r="I459" s="267"/>
      <c r="J459" s="267"/>
      <c r="K459" s="267"/>
      <c r="L459" s="267"/>
      <c r="M459" s="267"/>
      <c r="N459" s="267"/>
      <c r="O459" s="267"/>
      <c r="P459" s="267"/>
      <c r="Q459" s="267"/>
      <c r="R459" s="267"/>
      <c r="S459" s="267"/>
    </row>
    <row r="460" spans="1:54" ht="15" customHeight="1">
      <c r="C460" s="267"/>
      <c r="G460" s="496">
        <f>G454</f>
        <v>1000</v>
      </c>
      <c r="H460" s="497">
        <f t="shared" ref="H460:L460" si="286">H454</f>
        <v>1100</v>
      </c>
      <c r="I460" s="497">
        <f t="shared" si="286"/>
        <v>1200</v>
      </c>
      <c r="J460" s="497">
        <f t="shared" si="286"/>
        <v>1300</v>
      </c>
      <c r="K460" s="497">
        <f t="shared" si="286"/>
        <v>1400</v>
      </c>
      <c r="L460" s="498">
        <f t="shared" si="286"/>
        <v>1500</v>
      </c>
      <c r="M460" s="267"/>
      <c r="N460" s="267"/>
      <c r="O460" s="267"/>
      <c r="P460" s="267"/>
      <c r="Q460" s="267"/>
      <c r="R460" s="267"/>
      <c r="S460" s="267"/>
    </row>
    <row r="461" spans="1:54" ht="15" customHeight="1">
      <c r="C461" s="267"/>
      <c r="D461" s="400" t="s">
        <v>394</v>
      </c>
      <c r="E461" s="202" t="s">
        <v>17</v>
      </c>
      <c r="F461" s="312">
        <f>C70</f>
        <v>0.78571836501587033</v>
      </c>
      <c r="G461" s="499">
        <f t="dataTable" ref="G461:L461" dt2D="0" dtr="1" r1="F35" ca="1"/>
        <v>0.14010914869865032</v>
      </c>
      <c r="H461" s="500">
        <v>0.24138228170912179</v>
      </c>
      <c r="I461" s="500">
        <v>0.32457522422599028</v>
      </c>
      <c r="J461" s="500">
        <v>0.39761769883920173</v>
      </c>
      <c r="K461" s="500">
        <v>0.4638991767206786</v>
      </c>
      <c r="L461" s="501">
        <v>0.52522558937875918</v>
      </c>
      <c r="M461" s="267"/>
      <c r="N461" s="267"/>
      <c r="O461" s="267"/>
      <c r="P461" s="267"/>
      <c r="Q461" s="267"/>
      <c r="R461" s="267"/>
      <c r="S461" s="267"/>
    </row>
    <row r="462" spans="1:54" ht="15" customHeight="1">
      <c r="C462" s="267"/>
      <c r="G462" s="267"/>
      <c r="H462" s="267"/>
      <c r="I462" s="267"/>
      <c r="J462" s="267"/>
      <c r="K462" s="267"/>
      <c r="L462" s="267"/>
      <c r="M462" s="267"/>
      <c r="N462" s="267"/>
      <c r="O462" s="267"/>
      <c r="P462" s="267"/>
      <c r="Q462" s="267"/>
      <c r="R462" s="267"/>
      <c r="S462" s="267"/>
    </row>
    <row r="463" spans="1:54" ht="15" customHeight="1">
      <c r="C463" s="267"/>
      <c r="G463" s="267"/>
      <c r="H463" s="267"/>
      <c r="I463" s="267"/>
      <c r="J463" s="267"/>
      <c r="K463" s="267"/>
      <c r="L463" s="267"/>
      <c r="M463" s="267"/>
      <c r="N463" s="267"/>
      <c r="O463" s="267"/>
      <c r="P463" s="267"/>
      <c r="Q463" s="267"/>
      <c r="R463" s="267"/>
      <c r="S463" s="267"/>
    </row>
    <row r="464" spans="1:54" ht="15" customHeight="1">
      <c r="C464" s="267"/>
      <c r="G464" s="267"/>
      <c r="H464" s="267"/>
      <c r="I464" s="267"/>
      <c r="J464" s="267"/>
      <c r="K464" s="267"/>
      <c r="L464" s="267"/>
      <c r="M464" s="267"/>
      <c r="N464" s="267"/>
      <c r="O464" s="267"/>
      <c r="P464" s="267"/>
      <c r="Q464" s="267"/>
      <c r="R464" s="267"/>
      <c r="S464" s="267"/>
    </row>
    <row r="465" spans="3:19" ht="15" customHeight="1">
      <c r="C465" s="267"/>
      <c r="G465" s="267"/>
      <c r="H465" s="267"/>
      <c r="I465" s="267"/>
      <c r="J465" s="267"/>
      <c r="K465" s="267"/>
      <c r="L465" s="267"/>
      <c r="M465" s="267"/>
      <c r="N465" s="267"/>
      <c r="O465" s="267"/>
      <c r="P465" s="267"/>
      <c r="Q465" s="267"/>
      <c r="R465" s="267"/>
      <c r="S465" s="267"/>
    </row>
    <row r="466" spans="3:19" ht="15" customHeight="1">
      <c r="C466" s="267"/>
      <c r="G466" s="267"/>
      <c r="H466" s="267"/>
      <c r="I466" s="267"/>
      <c r="J466" s="267"/>
      <c r="K466" s="267"/>
      <c r="L466" s="267"/>
      <c r="M466" s="267"/>
      <c r="N466" s="267"/>
      <c r="O466" s="267"/>
      <c r="P466" s="267"/>
      <c r="Q466" s="267"/>
      <c r="R466" s="267"/>
      <c r="S466" s="267"/>
    </row>
    <row r="467" spans="3:19" ht="15" customHeight="1">
      <c r="C467" s="267"/>
      <c r="G467" s="267"/>
      <c r="H467" s="267"/>
      <c r="I467" s="267"/>
      <c r="J467" s="267"/>
      <c r="K467" s="267"/>
      <c r="L467" s="267"/>
      <c r="M467" s="267"/>
      <c r="N467" s="267"/>
      <c r="O467" s="267"/>
      <c r="P467" s="267"/>
      <c r="Q467" s="267"/>
      <c r="R467" s="267"/>
      <c r="S467" s="267"/>
    </row>
    <row r="468" spans="3:19" ht="15" customHeight="1">
      <c r="C468" s="267"/>
      <c r="G468" s="267"/>
      <c r="H468" s="267"/>
      <c r="I468" s="267"/>
      <c r="J468" s="267"/>
      <c r="K468" s="267"/>
      <c r="L468" s="267"/>
      <c r="M468" s="267"/>
      <c r="N468" s="267"/>
      <c r="O468" s="267"/>
      <c r="P468" s="267"/>
      <c r="Q468" s="267"/>
      <c r="R468" s="267"/>
      <c r="S468" s="267"/>
    </row>
    <row r="469" spans="3:19" ht="15" customHeight="1">
      <c r="C469" s="267"/>
      <c r="G469" s="267"/>
      <c r="H469" s="267"/>
      <c r="I469" s="267"/>
      <c r="J469" s="267"/>
      <c r="K469" s="267"/>
      <c r="L469" s="267"/>
      <c r="M469" s="267"/>
      <c r="N469" s="267"/>
      <c r="O469" s="267"/>
      <c r="P469" s="267"/>
      <c r="Q469" s="267"/>
      <c r="R469" s="267"/>
      <c r="S469" s="267"/>
    </row>
    <row r="470" spans="3:19" ht="15" customHeight="1">
      <c r="C470" s="267"/>
      <c r="G470" s="267"/>
      <c r="H470" s="267"/>
      <c r="I470" s="267"/>
      <c r="J470" s="267"/>
      <c r="K470" s="267"/>
      <c r="L470" s="267"/>
      <c r="M470" s="267"/>
      <c r="N470" s="267"/>
      <c r="O470" s="267"/>
      <c r="P470" s="267"/>
      <c r="Q470" s="267"/>
      <c r="R470" s="267"/>
      <c r="S470" s="267"/>
    </row>
    <row r="471" spans="3:19" ht="15" customHeight="1">
      <c r="C471" s="267"/>
      <c r="G471" s="267"/>
      <c r="H471" s="267"/>
      <c r="I471" s="267"/>
      <c r="J471" s="267"/>
      <c r="K471" s="267"/>
      <c r="L471" s="267"/>
      <c r="M471" s="267"/>
      <c r="N471" s="267"/>
      <c r="O471" s="267"/>
      <c r="P471" s="267"/>
      <c r="Q471" s="267"/>
      <c r="R471" s="267"/>
      <c r="S471" s="267"/>
    </row>
    <row r="472" spans="3:19" ht="15" customHeight="1">
      <c r="C472" s="267"/>
      <c r="G472" s="267"/>
      <c r="H472" s="267"/>
      <c r="I472" s="267"/>
      <c r="J472" s="267"/>
      <c r="K472" s="267"/>
      <c r="L472" s="267"/>
      <c r="M472" s="267"/>
      <c r="N472" s="267"/>
      <c r="O472" s="267"/>
      <c r="P472" s="267"/>
      <c r="Q472" s="267"/>
      <c r="R472" s="267"/>
      <c r="S472" s="267"/>
    </row>
    <row r="473" spans="3:19" ht="15" customHeight="1">
      <c r="C473" s="267"/>
      <c r="G473" s="267"/>
      <c r="H473" s="267"/>
      <c r="I473" s="267"/>
      <c r="J473" s="267"/>
      <c r="K473" s="267"/>
      <c r="L473" s="267"/>
      <c r="M473" s="267"/>
      <c r="N473" s="267"/>
      <c r="O473" s="267"/>
      <c r="P473" s="267"/>
      <c r="Q473" s="267"/>
      <c r="R473" s="267"/>
      <c r="S473" s="267"/>
    </row>
    <row r="474" spans="3:19" ht="15" customHeight="1">
      <c r="C474" s="267"/>
      <c r="G474" s="267"/>
      <c r="H474" s="267"/>
      <c r="I474" s="267"/>
      <c r="J474" s="267"/>
      <c r="K474" s="267"/>
      <c r="L474" s="267"/>
      <c r="M474" s="267"/>
      <c r="N474" s="267"/>
      <c r="O474" s="267"/>
      <c r="P474" s="267"/>
      <c r="Q474" s="267"/>
      <c r="R474" s="267"/>
      <c r="S474" s="267"/>
    </row>
    <row r="475" spans="3:19" ht="15" customHeight="1">
      <c r="C475" s="267"/>
      <c r="G475" s="267"/>
      <c r="H475" s="267"/>
      <c r="I475" s="267"/>
      <c r="J475" s="267"/>
      <c r="K475" s="267"/>
      <c r="L475" s="267"/>
      <c r="M475" s="267"/>
      <c r="N475" s="267"/>
      <c r="O475" s="267"/>
      <c r="P475" s="267"/>
      <c r="Q475" s="267"/>
      <c r="R475" s="267"/>
      <c r="S475" s="267"/>
    </row>
    <row r="476" spans="3:19" ht="15" customHeight="1">
      <c r="C476" s="267"/>
      <c r="G476" s="267"/>
      <c r="H476" s="267"/>
      <c r="I476" s="267"/>
      <c r="J476" s="267"/>
      <c r="K476" s="267"/>
      <c r="L476" s="267"/>
      <c r="M476" s="267"/>
      <c r="N476" s="267"/>
      <c r="O476" s="267"/>
      <c r="P476" s="267"/>
      <c r="Q476" s="267"/>
      <c r="R476" s="267"/>
      <c r="S476" s="267"/>
    </row>
    <row r="477" spans="3:19" ht="15" customHeight="1">
      <c r="C477" s="267"/>
      <c r="G477" s="267"/>
      <c r="H477" s="267"/>
      <c r="I477" s="267"/>
      <c r="J477" s="267"/>
      <c r="K477" s="267"/>
      <c r="L477" s="267"/>
      <c r="M477" s="267"/>
      <c r="N477" s="267"/>
      <c r="O477" s="267"/>
      <c r="P477" s="267"/>
      <c r="Q477" s="267"/>
      <c r="R477" s="267"/>
      <c r="S477" s="267"/>
    </row>
    <row r="478" spans="3:19" ht="15" customHeight="1">
      <c r="C478" s="267"/>
      <c r="G478" s="267"/>
      <c r="H478" s="267"/>
      <c r="I478" s="267"/>
      <c r="J478" s="267"/>
      <c r="K478" s="267"/>
      <c r="L478" s="267"/>
      <c r="M478" s="267"/>
      <c r="N478" s="267"/>
      <c r="O478" s="267"/>
      <c r="P478" s="267"/>
      <c r="Q478" s="267"/>
      <c r="R478" s="267"/>
      <c r="S478" s="267"/>
    </row>
    <row r="479" spans="3:19" ht="15" customHeight="1">
      <c r="C479" s="267"/>
      <c r="G479" s="267"/>
      <c r="H479" s="267"/>
      <c r="I479" s="267"/>
      <c r="J479" s="267"/>
      <c r="K479" s="267"/>
      <c r="L479" s="267"/>
      <c r="M479" s="267"/>
      <c r="N479" s="267"/>
      <c r="O479" s="267"/>
      <c r="P479" s="267"/>
      <c r="Q479" s="267"/>
      <c r="R479" s="267"/>
      <c r="S479" s="267"/>
    </row>
    <row r="480" spans="3:19" ht="15" customHeight="1">
      <c r="C480" s="267"/>
      <c r="G480" s="267"/>
      <c r="H480" s="267"/>
      <c r="I480" s="267"/>
      <c r="J480" s="267"/>
      <c r="K480" s="267"/>
      <c r="L480" s="267"/>
      <c r="M480" s="267"/>
      <c r="N480" s="267"/>
      <c r="O480" s="267"/>
      <c r="P480" s="267"/>
      <c r="Q480" s="267"/>
      <c r="R480" s="267"/>
      <c r="S480" s="267"/>
    </row>
    <row r="481" spans="1:21" ht="15" customHeight="1">
      <c r="C481" s="267"/>
      <c r="G481" s="267"/>
      <c r="H481" s="267"/>
      <c r="I481" s="267"/>
      <c r="J481" s="267"/>
      <c r="K481" s="267"/>
      <c r="L481" s="267"/>
      <c r="M481" s="267"/>
      <c r="N481" s="267"/>
      <c r="O481" s="267"/>
      <c r="P481" s="267"/>
      <c r="Q481" s="267"/>
      <c r="R481" s="267"/>
      <c r="S481" s="267"/>
    </row>
    <row r="482" spans="1:21" ht="15" customHeight="1">
      <c r="C482" s="267"/>
      <c r="G482" s="267"/>
      <c r="H482" s="267"/>
      <c r="I482" s="267"/>
      <c r="J482" s="267"/>
      <c r="K482" s="267"/>
      <c r="L482" s="267"/>
      <c r="M482" s="267"/>
      <c r="N482" s="267"/>
      <c r="O482" s="267"/>
      <c r="P482" s="267"/>
      <c r="Q482" s="267"/>
      <c r="R482" s="267"/>
      <c r="S482" s="267"/>
    </row>
    <row r="483" spans="1:21" ht="15" customHeight="1">
      <c r="C483" s="391"/>
      <c r="D483" s="200" t="str">
        <f>"Breakeven price - selected regime: "&amp;F6</f>
        <v>Breakeven price - selected regime: SGO SENEGAL</v>
      </c>
      <c r="E483" s="200"/>
      <c r="F483" s="284"/>
      <c r="G483" s="284"/>
      <c r="H483" s="284"/>
      <c r="I483" s="284"/>
      <c r="J483" s="284"/>
      <c r="K483" s="284"/>
      <c r="L483" s="284"/>
      <c r="M483" s="284"/>
      <c r="N483" s="284"/>
      <c r="O483" s="284"/>
      <c r="P483" s="284"/>
      <c r="Q483" s="284"/>
      <c r="R483" s="284"/>
      <c r="S483" s="284"/>
      <c r="T483" s="213"/>
      <c r="U483" s="213"/>
    </row>
    <row r="484" spans="1:21" ht="15" customHeight="1">
      <c r="D484" s="202" t="s">
        <v>236</v>
      </c>
      <c r="E484" s="202" t="s">
        <v>17</v>
      </c>
      <c r="F484" s="458">
        <f>ROUND(C322,3)</f>
        <v>0.55600000000000005</v>
      </c>
      <c r="G484" s="15" t="str">
        <f>F33*100&amp;"% post-tax IRR"</f>
        <v>12.5% post-tax IRR</v>
      </c>
    </row>
    <row r="485" spans="1:21" ht="15" customHeight="1">
      <c r="D485" s="202" t="s">
        <v>45</v>
      </c>
      <c r="E485" s="202" t="s">
        <v>356</v>
      </c>
      <c r="F485" s="375">
        <f>F35</f>
        <v>2000</v>
      </c>
      <c r="G485" s="314" t="s">
        <v>247</v>
      </c>
    </row>
    <row r="486" spans="1:21" ht="15" customHeight="1">
      <c r="F486" s="460"/>
      <c r="G486" s="314"/>
    </row>
    <row r="487" spans="1:21" ht="33" customHeight="1">
      <c r="D487" s="459" t="s">
        <v>375</v>
      </c>
      <c r="E487" s="202" t="s">
        <v>356</v>
      </c>
      <c r="F487" s="212">
        <v>1300</v>
      </c>
    </row>
    <row r="488" spans="1:21" ht="15" customHeight="1">
      <c r="F488" s="287"/>
    </row>
    <row r="489" spans="1:21" ht="15" customHeight="1">
      <c r="C489" s="391"/>
      <c r="D489" s="200" t="str">
        <f>"Marginal Effective Tax Rate (METR) - selected regime: "&amp;F6</f>
        <v>Marginal Effective Tax Rate (METR) - selected regime: SGO SENEGAL</v>
      </c>
      <c r="E489" s="200"/>
      <c r="F489" s="409"/>
      <c r="G489" s="284"/>
      <c r="H489" s="284"/>
      <c r="I489" s="284"/>
      <c r="J489" s="284"/>
      <c r="K489" s="284"/>
      <c r="L489" s="284"/>
      <c r="M489" s="284"/>
      <c r="N489" s="284"/>
      <c r="O489" s="284"/>
      <c r="P489" s="284"/>
      <c r="Q489" s="284"/>
      <c r="R489" s="284"/>
      <c r="S489" s="284"/>
      <c r="T489" s="213"/>
      <c r="U489" s="213"/>
    </row>
    <row r="490" spans="1:21" ht="15" customHeight="1">
      <c r="D490" s="202" t="s">
        <v>358</v>
      </c>
      <c r="E490" s="202" t="s">
        <v>17</v>
      </c>
      <c r="F490" s="458">
        <f>F484</f>
        <v>0.55600000000000005</v>
      </c>
    </row>
    <row r="491" spans="1:21" ht="15" customHeight="1">
      <c r="D491" s="202" t="s">
        <v>360</v>
      </c>
      <c r="E491" s="202" t="s">
        <v>17</v>
      </c>
      <c r="F491" s="470">
        <f>(F492-F490)</f>
        <v>0.22971836501587029</v>
      </c>
    </row>
    <row r="492" spans="1:21" ht="15" customHeight="1">
      <c r="D492" s="202" t="s">
        <v>359</v>
      </c>
      <c r="E492" s="202" t="s">
        <v>17</v>
      </c>
      <c r="F492" s="458">
        <f>C70</f>
        <v>0.78571836501587033</v>
      </c>
    </row>
    <row r="493" spans="1:21" s="198" customFormat="1" ht="15" customHeight="1">
      <c r="A493" s="392"/>
      <c r="D493" s="198" t="s">
        <v>357</v>
      </c>
      <c r="E493" s="198" t="s">
        <v>17</v>
      </c>
      <c r="F493" s="471">
        <f>F491/F492</f>
        <v>0.29236731027819401</v>
      </c>
    </row>
    <row r="494" spans="1:21" ht="15" customHeight="1">
      <c r="F494" s="92"/>
    </row>
    <row r="495" spans="1:21" ht="15" customHeight="1">
      <c r="C495" s="391"/>
      <c r="D495" s="200" t="s">
        <v>370</v>
      </c>
      <c r="E495" s="200"/>
      <c r="F495" s="200"/>
      <c r="G495" s="200"/>
      <c r="H495" s="200"/>
      <c r="I495" s="284"/>
      <c r="J495" s="284"/>
      <c r="K495" s="284"/>
      <c r="L495" s="284"/>
      <c r="M495" s="284"/>
      <c r="N495" s="284"/>
      <c r="O495" s="284"/>
      <c r="P495" s="284"/>
      <c r="Q495" s="284"/>
      <c r="R495" s="284"/>
      <c r="S495" s="284"/>
      <c r="T495" s="213"/>
      <c r="U495" s="213"/>
    </row>
    <row r="496" spans="1:21" s="411" customFormat="1" ht="15" customHeight="1">
      <c r="A496" s="410"/>
      <c r="G496" s="474" t="s">
        <v>45</v>
      </c>
      <c r="H496" s="475"/>
      <c r="I496" s="475" t="s">
        <v>33</v>
      </c>
    </row>
    <row r="497" spans="4:17" ht="15" customHeight="1">
      <c r="D497" s="400" t="str">
        <f>H6</f>
        <v>SGO SENEGAL</v>
      </c>
      <c r="G497" s="413">
        <v>951.80255545696548</v>
      </c>
      <c r="I497" s="260">
        <v>0.39705377068384273</v>
      </c>
    </row>
    <row r="498" spans="4:17" ht="15" customHeight="1">
      <c r="D498" s="400" t="str">
        <f>I6</f>
        <v>Royalty + CIT + SCF</v>
      </c>
      <c r="G498" s="413">
        <v>990.04462241729016</v>
      </c>
      <c r="I498" s="260">
        <v>0.46226161988280579</v>
      </c>
    </row>
    <row r="499" spans="4:17" ht="15" customHeight="1">
      <c r="D499" s="400" t="str">
        <f>J6</f>
        <v>Royalty + CIT + RRT</v>
      </c>
      <c r="G499" s="413">
        <v>972.22381921377894</v>
      </c>
      <c r="I499" s="260">
        <v>0.4340857707706049</v>
      </c>
      <c r="O499" s="287"/>
      <c r="Q499" s="287"/>
    </row>
    <row r="500" spans="4:17" ht="15" customHeight="1">
      <c r="D500" s="400" t="str">
        <f>K6</f>
        <v>Alt1</v>
      </c>
      <c r="G500" s="413" t="s">
        <v>248</v>
      </c>
      <c r="I500" s="414" t="s">
        <v>248</v>
      </c>
    </row>
    <row r="501" spans="4:17" ht="15" customHeight="1"/>
    <row r="502" spans="4:17" ht="15" customHeight="1">
      <c r="O502" s="309" t="s">
        <v>245</v>
      </c>
    </row>
    <row r="503" spans="4:17" ht="15" customHeight="1">
      <c r="O503" s="310"/>
    </row>
    <row r="504" spans="4:17" ht="15" customHeight="1">
      <c r="I504" s="309" t="s">
        <v>245</v>
      </c>
    </row>
    <row r="505" spans="4:17" ht="15" customHeight="1">
      <c r="I505" s="310" t="str">
        <f>"Government Revenue ($mm), regime: "&amp;F6</f>
        <v>Government Revenue ($mm), regime: SGO SENEGAL</v>
      </c>
    </row>
    <row r="506" spans="4:17" ht="15" customHeight="1"/>
    <row r="507" spans="4:17" ht="15" customHeight="1"/>
    <row r="508" spans="4:17" ht="15" customHeight="1"/>
    <row r="509" spans="4:17" ht="15" customHeight="1"/>
    <row r="510" spans="4:17" ht="15" customHeight="1"/>
    <row r="511" spans="4:17" ht="15" customHeight="1"/>
    <row r="512" spans="4:17"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27" customHeight="1"/>
    <row r="523" ht="15" customHeight="1"/>
    <row r="524" ht="15" customHeight="1"/>
    <row r="525" ht="15" customHeight="1"/>
    <row r="526" ht="15" customHeight="1"/>
    <row r="527" ht="15" customHeight="1"/>
    <row r="528" ht="15" customHeight="1"/>
    <row r="529" ht="15" customHeight="1"/>
  </sheetData>
  <conditionalFormatting sqref="G334:J334 A317 A310 A297 A305 A196 A97 A89 C1 A68 A60 A166 A162">
    <cfRule type="cellIs" dxfId="4" priority="11" stopIfTrue="1" operator="equal">
      <formula>FALSE</formula>
    </cfRule>
    <cfRule type="cellIs" dxfId="3" priority="12" stopIfTrue="1" operator="equal">
      <formula>TRUE</formula>
    </cfRule>
  </conditionalFormatting>
  <conditionalFormatting sqref="C1">
    <cfRule type="cellIs" dxfId="2" priority="10" operator="equal">
      <formula>FALSE</formula>
    </cfRule>
  </conditionalFormatting>
  <conditionalFormatting sqref="F490:F493 F484">
    <cfRule type="expression" dxfId="1" priority="7">
      <formula>$F$484&gt;=$F$33+0.3%</formula>
    </cfRule>
    <cfRule type="expression" dxfId="0" priority="9">
      <formula>$F$484&lt;=$F$33-0.3%</formula>
    </cfRule>
  </conditionalFormatting>
  <dataValidations count="3">
    <dataValidation type="list" allowBlank="1" showInputMessage="1" showErrorMessage="1" sqref="H14:K16" xr:uid="{00000000-0002-0000-0300-000000000000}">
      <formula1>"immediate, deferred"</formula1>
    </dataValidation>
    <dataValidation type="list" allowBlank="1" showInputMessage="1" showErrorMessage="1" sqref="H10:K10" xr:uid="{00000000-0002-0000-0300-000001000000}">
      <formula1>"gross, net"</formula1>
    </dataValidation>
    <dataValidation type="list" allowBlank="1" showInputMessage="1" showErrorMessage="1" sqref="H22:K22 H11:K11 H19:K19" xr:uid="{00000000-0002-0000-0300-000002000000}">
      <formula1>"yes, no"</formula1>
    </dataValidation>
  </dataValidations>
  <hyperlinks>
    <hyperlink ref="A1" location="ReadMe!A1" display="Back to ReadMe" xr:uid="{00000000-0004-0000-0300-000000000000}"/>
  </hyperlinks>
  <pageMargins left="0.7" right="0.7" top="0.75" bottom="0.75" header="0.3" footer="0.3"/>
  <pageSetup scale="18" orientation="portrait" horizontalDpi="1200" verticalDpi="120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Terms</vt:lpstr>
      <vt:lpstr>ReadMe</vt:lpstr>
      <vt:lpstr>Petroleum model</vt:lpstr>
      <vt:lpstr>Mining model</vt:lpstr>
    </vt:vector>
  </TitlesOfParts>
  <Company>International Monetary Fund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dmesapuyo</dc:creator>
  <cp:lastModifiedBy>sie rachid traore</cp:lastModifiedBy>
  <dcterms:created xsi:type="dcterms:W3CDTF">2015-09-09T20:49:50Z</dcterms:created>
  <dcterms:modified xsi:type="dcterms:W3CDTF">2026-06-01T02:27:15Z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-685997883</vt:i4>
  </property>
  <property fmtid="{D5CDD505-2E9C-101B-9397-08002B2CF9AE}" pid="3" name="_NewReviewCycle">
    <vt:lpwstr/>
  </property>
  <property fmtid="{D5CDD505-2E9C-101B-9397-08002B2CF9AE}" pid="4" name="_EmailSubject">
    <vt:lpwstr>Update FARI Website</vt:lpwstr>
  </property>
  <property fmtid="{D5CDD505-2E9C-101B-9397-08002B2CF9AE}" pid="5" name="_AuthorEmail">
    <vt:lpwstr>CSalgado@imf.org</vt:lpwstr>
  </property>
  <property fmtid="{D5CDD505-2E9C-101B-9397-08002B2CF9AE}" pid="6" name="_AuthorEmailDisplayName">
    <vt:lpwstr>Salgado, Claudia</vt:lpwstr>
  </property>
  <property fmtid="{D5CDD505-2E9C-101B-9397-08002B2CF9AE}" pid="7" name="_PreviousAdHocReviewCycleID">
    <vt:i4>864262349</vt:i4>
  </property>
  <property fmtid="{D5CDD505-2E9C-101B-9397-08002B2CF9AE}" pid="8" name="_ReviewingToolsShownOnce">
    <vt:lpwstr/>
  </property>
</Properties>
</file>